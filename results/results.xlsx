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ytedance/Downloads/"/>
    </mc:Choice>
  </mc:AlternateContent>
  <xr:revisionPtr revIDLastSave="0" documentId="13_ncr:1_{E5EE5DB4-B35F-0D4B-AC91-93F29782791C}" xr6:coauthVersionLast="47" xr6:coauthVersionMax="47" xr10:uidLastSave="{00000000-0000-0000-0000-000000000000}"/>
  <bookViews>
    <workbookView xWindow="-39420" yWindow="620" windowWidth="39420" windowHeight="16540" activeTab="4" xr2:uid="{91D532B0-88FA-4FCA-B1AC-FC85B21607AA}"/>
  </bookViews>
  <sheets>
    <sheet name="SetA" sheetId="18" r:id="rId1"/>
    <sheet name="SetB" sheetId="17" r:id="rId2"/>
    <sheet name="SetC" sheetId="19" r:id="rId3"/>
    <sheet name="Results" sheetId="20" r:id="rId4"/>
    <sheet name="Summary" sheetId="15" r:id="rId5"/>
  </sheets>
  <definedNames>
    <definedName name="_xlnm._FilterDatabase" localSheetId="0" hidden="1">SetA!$A$1:$AP$55</definedName>
    <definedName name="_xlnm._FilterDatabase" localSheetId="1" hidden="1">SetB!$A$1:$X$253</definedName>
    <definedName name="_xlnm._FilterDatabase" localSheetId="2" hidden="1">SetC!$A$1:$AO$226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0" i="18" l="1"/>
  <c r="AB19" i="18"/>
  <c r="AB28" i="18"/>
  <c r="AB37" i="18"/>
  <c r="AB46" i="18"/>
  <c r="AB55" i="18"/>
  <c r="AC10" i="18"/>
  <c r="AC19" i="18"/>
  <c r="AC28" i="18"/>
  <c r="AC37" i="18"/>
  <c r="AC46" i="18"/>
  <c r="AC55" i="18"/>
  <c r="AD10" i="18"/>
  <c r="AD19" i="18"/>
  <c r="AD28" i="18"/>
  <c r="AD37" i="18"/>
  <c r="AD46" i="18"/>
  <c r="AD55" i="18"/>
  <c r="AE10" i="18"/>
  <c r="AE19" i="18"/>
  <c r="AE28" i="18"/>
  <c r="AE37" i="18"/>
  <c r="AE46" i="18"/>
  <c r="AE55" i="18"/>
  <c r="AB5" i="18"/>
  <c r="AB14" i="18"/>
  <c r="AB23" i="18"/>
  <c r="AB32" i="18"/>
  <c r="AB41" i="18"/>
  <c r="AB50" i="18"/>
  <c r="AC5" i="18"/>
  <c r="AC14" i="18"/>
  <c r="AC23" i="18"/>
  <c r="AC32" i="18"/>
  <c r="AC41" i="18"/>
  <c r="AC50" i="18"/>
  <c r="AD5" i="18"/>
  <c r="AD14" i="18"/>
  <c r="AD23" i="18"/>
  <c r="AD32" i="18"/>
  <c r="AD41" i="18"/>
  <c r="AD50" i="18"/>
  <c r="AE5" i="18"/>
  <c r="AE14" i="18"/>
  <c r="AE23" i="18"/>
  <c r="AE32" i="18"/>
  <c r="AE41" i="18"/>
  <c r="AE50" i="18"/>
  <c r="AB2" i="18"/>
  <c r="AB3" i="18"/>
  <c r="AB4" i="18"/>
  <c r="AB6" i="18"/>
  <c r="AB7" i="18"/>
  <c r="AB8" i="18"/>
  <c r="AB9" i="18"/>
  <c r="AB11" i="18"/>
  <c r="AB12" i="18"/>
  <c r="AB13" i="18"/>
  <c r="AB15" i="18"/>
  <c r="AB16" i="18"/>
  <c r="AB17" i="18"/>
  <c r="AB18" i="18"/>
  <c r="AB20" i="18"/>
  <c r="AB21" i="18"/>
  <c r="AB22" i="18"/>
  <c r="AB24" i="18"/>
  <c r="AB25" i="18"/>
  <c r="AB26" i="18"/>
  <c r="AB27" i="18"/>
  <c r="AB29" i="18"/>
  <c r="AB30" i="18"/>
  <c r="AB31" i="18"/>
  <c r="AB33" i="18"/>
  <c r="AB34" i="18"/>
  <c r="AB35" i="18"/>
  <c r="AB36" i="18"/>
  <c r="AB38" i="18"/>
  <c r="AB39" i="18"/>
  <c r="AB40" i="18"/>
  <c r="AB42" i="18"/>
  <c r="AB43" i="18"/>
  <c r="AB44" i="18"/>
  <c r="AB45" i="18"/>
  <c r="AB47" i="18"/>
  <c r="AB48" i="18"/>
  <c r="AB49" i="18"/>
  <c r="AB51" i="18"/>
  <c r="AB52" i="18"/>
  <c r="AB53" i="18"/>
  <c r="AB54" i="18"/>
  <c r="AC2" i="18"/>
  <c r="AC3" i="18"/>
  <c r="AC4" i="18"/>
  <c r="AC6" i="18"/>
  <c r="AC7" i="18"/>
  <c r="AC8" i="18"/>
  <c r="AC9" i="18"/>
  <c r="AC11" i="18"/>
  <c r="AC12" i="18"/>
  <c r="AC13" i="18"/>
  <c r="AC15" i="18"/>
  <c r="AC16" i="18"/>
  <c r="AC17" i="18"/>
  <c r="AC18" i="18"/>
  <c r="AC20" i="18"/>
  <c r="AC21" i="18"/>
  <c r="AC22" i="18"/>
  <c r="AC24" i="18"/>
  <c r="AC25" i="18"/>
  <c r="AC26" i="18"/>
  <c r="AC27" i="18"/>
  <c r="AC29" i="18"/>
  <c r="AC30" i="18"/>
  <c r="AC31" i="18"/>
  <c r="AC33" i="18"/>
  <c r="AC34" i="18"/>
  <c r="AC35" i="18"/>
  <c r="AC36" i="18"/>
  <c r="AC38" i="18"/>
  <c r="AC39" i="18"/>
  <c r="AC40" i="18"/>
  <c r="AC42" i="18"/>
  <c r="AC43" i="18"/>
  <c r="AC44" i="18"/>
  <c r="AC45" i="18"/>
  <c r="AC47" i="18"/>
  <c r="AC48" i="18"/>
  <c r="AC49" i="18"/>
  <c r="AC51" i="18"/>
  <c r="AC52" i="18"/>
  <c r="AC53" i="18"/>
  <c r="AC54" i="18"/>
  <c r="AD2" i="18"/>
  <c r="AD3" i="18"/>
  <c r="AD4" i="18"/>
  <c r="AD6" i="18"/>
  <c r="AD7" i="18"/>
  <c r="AD8" i="18"/>
  <c r="AD9" i="18"/>
  <c r="AD11" i="18"/>
  <c r="AD12" i="18"/>
  <c r="AD13" i="18"/>
  <c r="AD15" i="18"/>
  <c r="AD16" i="18"/>
  <c r="AD17" i="18"/>
  <c r="AD18" i="18"/>
  <c r="AD20" i="18"/>
  <c r="AD21" i="18"/>
  <c r="AD22" i="18"/>
  <c r="AD24" i="18"/>
  <c r="AD25" i="18"/>
  <c r="AD26" i="18"/>
  <c r="AD27" i="18"/>
  <c r="AD29" i="18"/>
  <c r="AD30" i="18"/>
  <c r="AD31" i="18"/>
  <c r="AD33" i="18"/>
  <c r="AD34" i="18"/>
  <c r="AD35" i="18"/>
  <c r="AD36" i="18"/>
  <c r="AD38" i="18"/>
  <c r="AD39" i="18"/>
  <c r="AD40" i="18"/>
  <c r="AD42" i="18"/>
  <c r="AD43" i="18"/>
  <c r="AD44" i="18"/>
  <c r="AD45" i="18"/>
  <c r="AD47" i="18"/>
  <c r="AD48" i="18"/>
  <c r="AD49" i="18"/>
  <c r="AD51" i="18"/>
  <c r="AD52" i="18"/>
  <c r="AD53" i="18"/>
  <c r="AD54" i="18"/>
  <c r="AE2" i="18"/>
  <c r="AE3" i="18"/>
  <c r="AE4" i="18"/>
  <c r="AE6" i="18"/>
  <c r="AE7" i="18"/>
  <c r="AE8" i="18"/>
  <c r="AE9" i="18"/>
  <c r="AE11" i="18"/>
  <c r="AE12" i="18"/>
  <c r="AE13" i="18"/>
  <c r="AE15" i="18"/>
  <c r="AE16" i="18"/>
  <c r="AE17" i="18"/>
  <c r="AE18" i="18"/>
  <c r="AE20" i="18"/>
  <c r="AE21" i="18"/>
  <c r="AE22" i="18"/>
  <c r="AE24" i="18"/>
  <c r="AE25" i="18"/>
  <c r="AE26" i="18"/>
  <c r="AE27" i="18"/>
  <c r="AE29" i="18"/>
  <c r="AE30" i="18"/>
  <c r="AE31" i="18"/>
  <c r="AE33" i="18"/>
  <c r="AE34" i="18"/>
  <c r="AE35" i="18"/>
  <c r="AE36" i="18"/>
  <c r="AE38" i="18"/>
  <c r="AE39" i="18"/>
  <c r="AE40" i="18"/>
  <c r="AE42" i="18"/>
  <c r="AE43" i="18"/>
  <c r="AE44" i="18"/>
  <c r="AE45" i="18"/>
  <c r="AE47" i="18"/>
  <c r="AE48" i="18"/>
  <c r="AE49" i="18"/>
  <c r="AE51" i="18"/>
  <c r="AE52" i="18"/>
  <c r="AE53" i="18"/>
  <c r="AE54" i="18"/>
  <c r="AA3" i="18"/>
  <c r="AA4" i="18"/>
  <c r="AA5" i="18"/>
  <c r="AA6" i="18"/>
  <c r="AA7" i="18"/>
  <c r="AA8" i="18"/>
  <c r="AA9" i="18"/>
  <c r="AA10" i="18"/>
  <c r="AA11" i="18"/>
  <c r="AA12" i="18"/>
  <c r="AA13" i="18"/>
  <c r="AA14" i="18"/>
  <c r="AA15" i="18"/>
  <c r="AA16" i="18"/>
  <c r="AA17" i="18"/>
  <c r="AA18" i="18"/>
  <c r="AA19" i="18"/>
  <c r="AA20" i="18"/>
  <c r="AA21" i="18"/>
  <c r="AA22" i="18"/>
  <c r="AA23" i="18"/>
  <c r="AA24" i="18"/>
  <c r="AA25" i="18"/>
  <c r="AA26" i="18"/>
  <c r="AA27" i="18"/>
  <c r="AA28" i="18"/>
  <c r="AA29" i="18"/>
  <c r="AA30" i="18"/>
  <c r="AA31" i="18"/>
  <c r="AA32" i="18"/>
  <c r="AA33" i="18"/>
  <c r="AA34" i="18"/>
  <c r="AA35" i="18"/>
  <c r="AA36" i="18"/>
  <c r="AA37" i="18"/>
  <c r="AA38" i="18"/>
  <c r="AA39" i="18"/>
  <c r="AA40" i="18"/>
  <c r="AA41" i="18"/>
  <c r="AA42" i="18"/>
  <c r="AA43" i="18"/>
  <c r="AA44" i="18"/>
  <c r="AA45" i="18"/>
  <c r="AA46" i="18"/>
  <c r="AA47" i="18"/>
  <c r="AA48" i="18"/>
  <c r="AA49" i="18"/>
  <c r="AA50" i="18"/>
  <c r="AA51" i="18"/>
  <c r="AA52" i="18"/>
  <c r="AA53" i="18"/>
  <c r="AA54" i="18"/>
  <c r="AA55" i="18"/>
  <c r="AA2" i="18"/>
  <c r="Z3" i="18"/>
  <c r="Z4" i="18"/>
  <c r="Z5" i="18"/>
  <c r="Z6" i="18"/>
  <c r="Z7" i="18"/>
  <c r="Z8" i="18"/>
  <c r="Z9" i="18"/>
  <c r="Z10" i="18"/>
  <c r="Z11" i="18"/>
  <c r="Z12" i="18"/>
  <c r="Z13" i="18"/>
  <c r="Z14" i="18"/>
  <c r="Z15" i="18"/>
  <c r="Z16" i="18"/>
  <c r="Z17" i="18"/>
  <c r="Z18" i="18"/>
  <c r="Z19" i="18"/>
  <c r="Z20" i="18"/>
  <c r="Z21" i="18"/>
  <c r="Z22" i="18"/>
  <c r="Z23" i="18"/>
  <c r="Z24" i="18"/>
  <c r="Z25" i="18"/>
  <c r="Z26" i="18"/>
  <c r="Z27" i="18"/>
  <c r="Z28" i="18"/>
  <c r="Z29" i="18"/>
  <c r="Z30" i="18"/>
  <c r="Z31" i="18"/>
  <c r="Z32" i="18"/>
  <c r="Z33" i="18"/>
  <c r="Z34" i="18"/>
  <c r="Z35" i="18"/>
  <c r="Z36" i="18"/>
  <c r="Z37" i="18"/>
  <c r="Z38" i="18"/>
  <c r="Z39" i="18"/>
  <c r="Z40" i="18"/>
  <c r="Z41" i="18"/>
  <c r="Z42" i="18"/>
  <c r="Z43" i="18"/>
  <c r="Z44" i="18"/>
  <c r="Z45" i="18"/>
  <c r="Z46" i="18"/>
  <c r="Z47" i="18"/>
  <c r="Z48" i="18"/>
  <c r="Z49" i="18"/>
  <c r="Z50" i="18"/>
  <c r="Z51" i="18"/>
  <c r="Z52" i="18"/>
  <c r="Z53" i="18"/>
  <c r="Z54" i="18"/>
  <c r="Z55" i="18"/>
  <c r="Z2" i="18"/>
  <c r="Y3" i="18"/>
  <c r="Y4" i="18"/>
  <c r="Y5" i="18"/>
  <c r="Y6" i="18"/>
  <c r="Y7" i="18"/>
  <c r="Y9" i="18"/>
  <c r="Y10" i="18"/>
  <c r="Y11" i="18"/>
  <c r="Y12" i="18"/>
  <c r="Y13" i="18"/>
  <c r="Y14" i="18"/>
  <c r="Y15" i="18"/>
  <c r="Y16" i="18"/>
  <c r="Y18" i="18"/>
  <c r="Y19" i="18"/>
  <c r="Y20" i="18"/>
  <c r="Y21" i="18"/>
  <c r="Y22" i="18"/>
  <c r="Y23" i="18"/>
  <c r="Y24" i="18"/>
  <c r="Y25" i="18"/>
  <c r="Y27" i="18"/>
  <c r="Y28" i="18"/>
  <c r="Y29" i="18"/>
  <c r="Y30" i="18"/>
  <c r="Y31" i="18"/>
  <c r="Y32" i="18"/>
  <c r="Y33" i="18"/>
  <c r="Y34" i="18"/>
  <c r="Y36" i="18"/>
  <c r="Y37" i="18"/>
  <c r="Y38" i="18"/>
  <c r="Y39" i="18"/>
  <c r="Y40" i="18"/>
  <c r="Y41" i="18"/>
  <c r="Y42" i="18"/>
  <c r="Y43" i="18"/>
  <c r="Y45" i="18"/>
  <c r="Y46" i="18"/>
  <c r="Y47" i="18"/>
  <c r="Y48" i="18"/>
  <c r="Y49" i="18"/>
  <c r="Y50" i="18"/>
  <c r="Y51" i="18"/>
  <c r="Y52" i="18"/>
  <c r="Y54" i="18"/>
  <c r="Y55" i="18"/>
  <c r="Y2" i="18"/>
  <c r="X2" i="18"/>
  <c r="X3" i="18"/>
  <c r="X4" i="18"/>
  <c r="X5" i="18"/>
  <c r="X6" i="18"/>
  <c r="X7" i="18"/>
  <c r="X9" i="18"/>
  <c r="X10" i="18"/>
  <c r="X11" i="18"/>
  <c r="X12" i="18"/>
  <c r="X13" i="18"/>
  <c r="X14" i="18"/>
  <c r="X15" i="18"/>
  <c r="X16" i="18"/>
  <c r="X18" i="18"/>
  <c r="X19" i="18"/>
  <c r="X20" i="18"/>
  <c r="X21" i="18"/>
  <c r="X22" i="18"/>
  <c r="X23" i="18"/>
  <c r="X24" i="18"/>
  <c r="X25" i="18"/>
  <c r="X27" i="18"/>
  <c r="X28" i="18"/>
  <c r="X29" i="18"/>
  <c r="X30" i="18"/>
  <c r="X31" i="18"/>
  <c r="X32" i="18"/>
  <c r="X33" i="18"/>
  <c r="X34" i="18"/>
  <c r="X36" i="18"/>
  <c r="X37" i="18"/>
  <c r="X38" i="18"/>
  <c r="X39" i="18"/>
  <c r="X40" i="18"/>
  <c r="X41" i="18"/>
  <c r="X42" i="18"/>
  <c r="X43" i="18"/>
  <c r="X45" i="18"/>
  <c r="X46" i="18"/>
  <c r="X47" i="18"/>
  <c r="X48" i="18"/>
  <c r="X49" i="18"/>
  <c r="X50" i="18"/>
  <c r="X51" i="18"/>
  <c r="X52" i="18"/>
  <c r="X54" i="18"/>
  <c r="X55" i="18"/>
  <c r="P2" i="17"/>
  <c r="N17" i="17"/>
  <c r="AB3" i="19"/>
  <c r="AH3" i="19" s="1"/>
  <c r="AB8" i="19"/>
  <c r="AH8" i="19" s="1"/>
  <c r="AB9" i="19"/>
  <c r="AH9" i="19" s="1"/>
  <c r="X218" i="19"/>
  <c r="X209" i="19"/>
  <c r="X200" i="19"/>
  <c r="X191" i="19"/>
  <c r="X182" i="19"/>
  <c r="X173" i="19"/>
  <c r="X164" i="19"/>
  <c r="X155" i="19"/>
  <c r="X146" i="19"/>
  <c r="X137" i="19"/>
  <c r="X128" i="19"/>
  <c r="X119" i="19"/>
  <c r="X110" i="19"/>
  <c r="X101" i="19"/>
  <c r="X92" i="19"/>
  <c r="X83" i="19"/>
  <c r="X74" i="19"/>
  <c r="X65" i="19"/>
  <c r="X56" i="19"/>
  <c r="X47" i="19"/>
  <c r="X38" i="19"/>
  <c r="X29" i="19"/>
  <c r="X20" i="19"/>
  <c r="X11" i="19"/>
  <c r="X2" i="19"/>
  <c r="Y3" i="19"/>
  <c r="Y4" i="19"/>
  <c r="Y5" i="19"/>
  <c r="Y6" i="19"/>
  <c r="Y7" i="19"/>
  <c r="Y8" i="19"/>
  <c r="Y9" i="19"/>
  <c r="Y10" i="19"/>
  <c r="Y11" i="19"/>
  <c r="Y12" i="19"/>
  <c r="Y13" i="19"/>
  <c r="Y14" i="19"/>
  <c r="Y15" i="19"/>
  <c r="Y16" i="19"/>
  <c r="Y17" i="19"/>
  <c r="Y18" i="19"/>
  <c r="Y19" i="19"/>
  <c r="Y20" i="19"/>
  <c r="Y21" i="19"/>
  <c r="Y22" i="19"/>
  <c r="Y23" i="19"/>
  <c r="Y24" i="19"/>
  <c r="Y25" i="19"/>
  <c r="Y26" i="19"/>
  <c r="Y27" i="19"/>
  <c r="Y28" i="19"/>
  <c r="Y29" i="19"/>
  <c r="Y30" i="19"/>
  <c r="Y31" i="19"/>
  <c r="Y32" i="19"/>
  <c r="Y33" i="19"/>
  <c r="Y34" i="19"/>
  <c r="Y35" i="19"/>
  <c r="Y36" i="19"/>
  <c r="Y37" i="19"/>
  <c r="Y38" i="19"/>
  <c r="Y39" i="19"/>
  <c r="Y40" i="19"/>
  <c r="Y41" i="19"/>
  <c r="Y42" i="19"/>
  <c r="Y43" i="19"/>
  <c r="Y44" i="19"/>
  <c r="Y45" i="19"/>
  <c r="Y46" i="19"/>
  <c r="Y47" i="19"/>
  <c r="Y48" i="19"/>
  <c r="Y49" i="19"/>
  <c r="Y50" i="19"/>
  <c r="Y51" i="19"/>
  <c r="Y52" i="19"/>
  <c r="Y53" i="19"/>
  <c r="Y54" i="19"/>
  <c r="Y55" i="19"/>
  <c r="Y56" i="19"/>
  <c r="Y57" i="19"/>
  <c r="Y58" i="19"/>
  <c r="Y59" i="19"/>
  <c r="Y60" i="19"/>
  <c r="Y61" i="19"/>
  <c r="Y62" i="19"/>
  <c r="Y63" i="19"/>
  <c r="Y64" i="19"/>
  <c r="Y65" i="19"/>
  <c r="Y66" i="19"/>
  <c r="Y67" i="19"/>
  <c r="Y68" i="19"/>
  <c r="Y69" i="19"/>
  <c r="Y70" i="19"/>
  <c r="Y71" i="19"/>
  <c r="Y72" i="19"/>
  <c r="Y73" i="19"/>
  <c r="Y74" i="19"/>
  <c r="Y75" i="19"/>
  <c r="Y76" i="19"/>
  <c r="Y77" i="19"/>
  <c r="Y78" i="19"/>
  <c r="Y79" i="19"/>
  <c r="Y80" i="19"/>
  <c r="Y81" i="19"/>
  <c r="Y82" i="19"/>
  <c r="Y83" i="19"/>
  <c r="Y84" i="19"/>
  <c r="Y85" i="19"/>
  <c r="Y86" i="19"/>
  <c r="Y87" i="19"/>
  <c r="Y88" i="19"/>
  <c r="Y89" i="19"/>
  <c r="Y90" i="19"/>
  <c r="Y91" i="19"/>
  <c r="Y92" i="19"/>
  <c r="Y93" i="19"/>
  <c r="Y94" i="19"/>
  <c r="Y95" i="19"/>
  <c r="Y96" i="19"/>
  <c r="Y97" i="19"/>
  <c r="Y98" i="19"/>
  <c r="Y99" i="19"/>
  <c r="Y100" i="19"/>
  <c r="Y101" i="19"/>
  <c r="Y102" i="19"/>
  <c r="Y103" i="19"/>
  <c r="Y104" i="19"/>
  <c r="Y105" i="19"/>
  <c r="Y106" i="19"/>
  <c r="Y107" i="19"/>
  <c r="Y108" i="19"/>
  <c r="Y109" i="19"/>
  <c r="Y110" i="19"/>
  <c r="Y111" i="19"/>
  <c r="Y112" i="19"/>
  <c r="Y113" i="19"/>
  <c r="Y114" i="19"/>
  <c r="Y115" i="19"/>
  <c r="Y116" i="19"/>
  <c r="Y117" i="19"/>
  <c r="Y118" i="19"/>
  <c r="Y119" i="19"/>
  <c r="Y120" i="19"/>
  <c r="Y121" i="19"/>
  <c r="Y122" i="19"/>
  <c r="Y123" i="19"/>
  <c r="Y124" i="19"/>
  <c r="Y125" i="19"/>
  <c r="Y126" i="19"/>
  <c r="Y127" i="19"/>
  <c r="Y128" i="19"/>
  <c r="Y129" i="19"/>
  <c r="Y130" i="19"/>
  <c r="Y131" i="19"/>
  <c r="Y132" i="19"/>
  <c r="Y133" i="19"/>
  <c r="Y134" i="19"/>
  <c r="Y135" i="19"/>
  <c r="Y136" i="19"/>
  <c r="Y137" i="19"/>
  <c r="Y138" i="19"/>
  <c r="Y139" i="19"/>
  <c r="Y140" i="19"/>
  <c r="Y141" i="19"/>
  <c r="Y142" i="19"/>
  <c r="Y143" i="19"/>
  <c r="Y144" i="19"/>
  <c r="Y145" i="19"/>
  <c r="Y146" i="19"/>
  <c r="Y147" i="19"/>
  <c r="Y148" i="19"/>
  <c r="Y149" i="19"/>
  <c r="Y150" i="19"/>
  <c r="Y151" i="19"/>
  <c r="Y152" i="19"/>
  <c r="Y153" i="19"/>
  <c r="Y154" i="19"/>
  <c r="Y155" i="19"/>
  <c r="Y156" i="19"/>
  <c r="Y157" i="19"/>
  <c r="Y158" i="19"/>
  <c r="Y159" i="19"/>
  <c r="Y160" i="19"/>
  <c r="Y161" i="19"/>
  <c r="Y162" i="19"/>
  <c r="Y163" i="19"/>
  <c r="Y164" i="19"/>
  <c r="Y165" i="19"/>
  <c r="Y166" i="19"/>
  <c r="Y167" i="19"/>
  <c r="Y168" i="19"/>
  <c r="Y169" i="19"/>
  <c r="Y170" i="19"/>
  <c r="Y171" i="19"/>
  <c r="Y172" i="19"/>
  <c r="Y173" i="19"/>
  <c r="Y174" i="19"/>
  <c r="Y175" i="19"/>
  <c r="Y176" i="19"/>
  <c r="Y177" i="19"/>
  <c r="Y178" i="19"/>
  <c r="Y179" i="19"/>
  <c r="Y180" i="19"/>
  <c r="Y181" i="19"/>
  <c r="Y182" i="19"/>
  <c r="Y183" i="19"/>
  <c r="Y184" i="19"/>
  <c r="Y185" i="19"/>
  <c r="Y186" i="19"/>
  <c r="Y187" i="19"/>
  <c r="Y188" i="19"/>
  <c r="Y189" i="19"/>
  <c r="Y190" i="19"/>
  <c r="Y191" i="19"/>
  <c r="Y192" i="19"/>
  <c r="Y193" i="19"/>
  <c r="Y194" i="19"/>
  <c r="Y195" i="19"/>
  <c r="Y196" i="19"/>
  <c r="Y197" i="19"/>
  <c r="Y198" i="19"/>
  <c r="Y199" i="19"/>
  <c r="Y200" i="19"/>
  <c r="Y201" i="19"/>
  <c r="Y202" i="19"/>
  <c r="Y203" i="19"/>
  <c r="Y204" i="19"/>
  <c r="Y205" i="19"/>
  <c r="Y206" i="19"/>
  <c r="Y207" i="19"/>
  <c r="Y208" i="19"/>
  <c r="Y209" i="19"/>
  <c r="Y210" i="19"/>
  <c r="Y211" i="19"/>
  <c r="Y212" i="19"/>
  <c r="Y213" i="19"/>
  <c r="Y214" i="19"/>
  <c r="Y215" i="19"/>
  <c r="Y216" i="19"/>
  <c r="Y217" i="19"/>
  <c r="Y218" i="19"/>
  <c r="Y219" i="19"/>
  <c r="Y220" i="19"/>
  <c r="Y221" i="19"/>
  <c r="Y222" i="19"/>
  <c r="Y223" i="19"/>
  <c r="Y224" i="19"/>
  <c r="Y225" i="19"/>
  <c r="Y226" i="19"/>
  <c r="Y2" i="19"/>
  <c r="X3" i="19"/>
  <c r="X4" i="19"/>
  <c r="X5" i="19"/>
  <c r="X6" i="19"/>
  <c r="X7" i="19"/>
  <c r="X8" i="19"/>
  <c r="X9" i="19"/>
  <c r="X10" i="19"/>
  <c r="X12" i="19"/>
  <c r="X13" i="19"/>
  <c r="X14" i="19"/>
  <c r="X15" i="19"/>
  <c r="X16" i="19"/>
  <c r="X17" i="19"/>
  <c r="X18" i="19"/>
  <c r="X19" i="19"/>
  <c r="X21" i="19"/>
  <c r="X22" i="19"/>
  <c r="X23" i="19"/>
  <c r="X24" i="19"/>
  <c r="X25" i="19"/>
  <c r="X26" i="19"/>
  <c r="X27" i="19"/>
  <c r="X28" i="19"/>
  <c r="X30" i="19"/>
  <c r="X31" i="19"/>
  <c r="X32" i="19"/>
  <c r="X33" i="19"/>
  <c r="X34" i="19"/>
  <c r="X35" i="19"/>
  <c r="X36" i="19"/>
  <c r="X37" i="19"/>
  <c r="X39" i="19"/>
  <c r="X40" i="19"/>
  <c r="X41" i="19"/>
  <c r="X42" i="19"/>
  <c r="X43" i="19"/>
  <c r="X44" i="19"/>
  <c r="X45" i="19"/>
  <c r="X46" i="19"/>
  <c r="X48" i="19"/>
  <c r="X49" i="19"/>
  <c r="X50" i="19"/>
  <c r="X51" i="19"/>
  <c r="X52" i="19"/>
  <c r="X53" i="19"/>
  <c r="X54" i="19"/>
  <c r="X55" i="19"/>
  <c r="X57" i="19"/>
  <c r="X58" i="19"/>
  <c r="X59" i="19"/>
  <c r="X60" i="19"/>
  <c r="X61" i="19"/>
  <c r="X62" i="19"/>
  <c r="X63" i="19"/>
  <c r="X64" i="19"/>
  <c r="X66" i="19"/>
  <c r="X67" i="19"/>
  <c r="X68" i="19"/>
  <c r="X69" i="19"/>
  <c r="X70" i="19"/>
  <c r="X71" i="19"/>
  <c r="X72" i="19"/>
  <c r="X73" i="19"/>
  <c r="X75" i="19"/>
  <c r="X76" i="19"/>
  <c r="X77" i="19"/>
  <c r="X78" i="19"/>
  <c r="X79" i="19"/>
  <c r="X80" i="19"/>
  <c r="X81" i="19"/>
  <c r="X82" i="19"/>
  <c r="X84" i="19"/>
  <c r="X85" i="19"/>
  <c r="X86" i="19"/>
  <c r="X87" i="19"/>
  <c r="X88" i="19"/>
  <c r="X89" i="19"/>
  <c r="X90" i="19"/>
  <c r="X91" i="19"/>
  <c r="X93" i="19"/>
  <c r="X94" i="19"/>
  <c r="X95" i="19"/>
  <c r="X96" i="19"/>
  <c r="X97" i="19"/>
  <c r="X98" i="19"/>
  <c r="X99" i="19"/>
  <c r="X100" i="19"/>
  <c r="X102" i="19"/>
  <c r="X103" i="19"/>
  <c r="X104" i="19"/>
  <c r="X105" i="19"/>
  <c r="X106" i="19"/>
  <c r="X107" i="19"/>
  <c r="X108" i="19"/>
  <c r="X109" i="19"/>
  <c r="X111" i="19"/>
  <c r="X112" i="19"/>
  <c r="X113" i="19"/>
  <c r="X114" i="19"/>
  <c r="X115" i="19"/>
  <c r="X116" i="19"/>
  <c r="X117" i="19"/>
  <c r="X118" i="19"/>
  <c r="X120" i="19"/>
  <c r="X121" i="19"/>
  <c r="X122" i="19"/>
  <c r="X123" i="19"/>
  <c r="X124" i="19"/>
  <c r="X125" i="19"/>
  <c r="X126" i="19"/>
  <c r="X127" i="19"/>
  <c r="X129" i="19"/>
  <c r="X130" i="19"/>
  <c r="X131" i="19"/>
  <c r="X132" i="19"/>
  <c r="X133" i="19"/>
  <c r="X134" i="19"/>
  <c r="X135" i="19"/>
  <c r="X136" i="19"/>
  <c r="X138" i="19"/>
  <c r="X139" i="19"/>
  <c r="X140" i="19"/>
  <c r="X141" i="19"/>
  <c r="X142" i="19"/>
  <c r="X143" i="19"/>
  <c r="X144" i="19"/>
  <c r="X145" i="19"/>
  <c r="X147" i="19"/>
  <c r="X148" i="19"/>
  <c r="X149" i="19"/>
  <c r="X150" i="19"/>
  <c r="X151" i="19"/>
  <c r="X152" i="19"/>
  <c r="X153" i="19"/>
  <c r="X154" i="19"/>
  <c r="X156" i="19"/>
  <c r="X157" i="19"/>
  <c r="X158" i="19"/>
  <c r="X159" i="19"/>
  <c r="X160" i="19"/>
  <c r="X161" i="19"/>
  <c r="X162" i="19"/>
  <c r="X163" i="19"/>
  <c r="X165" i="19"/>
  <c r="X166" i="19"/>
  <c r="X167" i="19"/>
  <c r="X168" i="19"/>
  <c r="X169" i="19"/>
  <c r="X170" i="19"/>
  <c r="X171" i="19"/>
  <c r="X172" i="19"/>
  <c r="X174" i="19"/>
  <c r="X175" i="19"/>
  <c r="X176" i="19"/>
  <c r="X177" i="19"/>
  <c r="X178" i="19"/>
  <c r="X179" i="19"/>
  <c r="X180" i="19"/>
  <c r="X181" i="19"/>
  <c r="X183" i="19"/>
  <c r="X184" i="19"/>
  <c r="X185" i="19"/>
  <c r="X186" i="19"/>
  <c r="X187" i="19"/>
  <c r="X188" i="19"/>
  <c r="X189" i="19"/>
  <c r="X190" i="19"/>
  <c r="X192" i="19"/>
  <c r="X193" i="19"/>
  <c r="X194" i="19"/>
  <c r="X195" i="19"/>
  <c r="X196" i="19"/>
  <c r="X197" i="19"/>
  <c r="X198" i="19"/>
  <c r="X199" i="19"/>
  <c r="X201" i="19"/>
  <c r="X202" i="19"/>
  <c r="X203" i="19"/>
  <c r="X204" i="19"/>
  <c r="X205" i="19"/>
  <c r="X206" i="19"/>
  <c r="X207" i="19"/>
  <c r="X208" i="19"/>
  <c r="X210" i="19"/>
  <c r="X211" i="19"/>
  <c r="X212" i="19"/>
  <c r="X213" i="19"/>
  <c r="X214" i="19"/>
  <c r="X215" i="19"/>
  <c r="X216" i="19"/>
  <c r="X217" i="19"/>
  <c r="X219" i="19"/>
  <c r="X220" i="19"/>
  <c r="X221" i="19"/>
  <c r="X222" i="19"/>
  <c r="X223" i="19"/>
  <c r="X224" i="19"/>
  <c r="X225" i="19"/>
  <c r="X226" i="19"/>
  <c r="W3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37" i="19"/>
  <c r="W38" i="19"/>
  <c r="W39" i="19"/>
  <c r="W40" i="19"/>
  <c r="W41" i="19"/>
  <c r="W42" i="19"/>
  <c r="W43" i="19"/>
  <c r="W44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W71" i="19"/>
  <c r="W72" i="19"/>
  <c r="W73" i="19"/>
  <c r="W74" i="19"/>
  <c r="W75" i="19"/>
  <c r="W76" i="19"/>
  <c r="W77" i="19"/>
  <c r="W78" i="19"/>
  <c r="W79" i="19"/>
  <c r="W80" i="19"/>
  <c r="W81" i="19"/>
  <c r="W82" i="19"/>
  <c r="W83" i="19"/>
  <c r="W84" i="19"/>
  <c r="W85" i="19"/>
  <c r="W86" i="19"/>
  <c r="W87" i="19"/>
  <c r="W88" i="19"/>
  <c r="W89" i="19"/>
  <c r="W90" i="19"/>
  <c r="W91" i="19"/>
  <c r="W92" i="19"/>
  <c r="W93" i="19"/>
  <c r="W94" i="19"/>
  <c r="W95" i="19"/>
  <c r="W96" i="19"/>
  <c r="W97" i="19"/>
  <c r="W98" i="19"/>
  <c r="W99" i="19"/>
  <c r="W100" i="19"/>
  <c r="W101" i="19"/>
  <c r="W102" i="19"/>
  <c r="W103" i="19"/>
  <c r="W104" i="19"/>
  <c r="W105" i="19"/>
  <c r="W106" i="19"/>
  <c r="W107" i="19"/>
  <c r="W108" i="19"/>
  <c r="W109" i="19"/>
  <c r="W110" i="19"/>
  <c r="W111" i="19"/>
  <c r="W112" i="19"/>
  <c r="W113" i="19"/>
  <c r="W114" i="19"/>
  <c r="W115" i="19"/>
  <c r="W116" i="19"/>
  <c r="W117" i="19"/>
  <c r="W118" i="19"/>
  <c r="W119" i="19"/>
  <c r="W120" i="19"/>
  <c r="W121" i="19"/>
  <c r="W122" i="19"/>
  <c r="W123" i="19"/>
  <c r="W124" i="19"/>
  <c r="W125" i="19"/>
  <c r="W126" i="19"/>
  <c r="W127" i="19"/>
  <c r="W128" i="19"/>
  <c r="W129" i="19"/>
  <c r="W130" i="19"/>
  <c r="W131" i="19"/>
  <c r="W132" i="19"/>
  <c r="W133" i="19"/>
  <c r="W134" i="19"/>
  <c r="W135" i="19"/>
  <c r="W136" i="19"/>
  <c r="W137" i="19"/>
  <c r="W138" i="19"/>
  <c r="W139" i="19"/>
  <c r="W140" i="19"/>
  <c r="W141" i="19"/>
  <c r="W142" i="19"/>
  <c r="W143" i="19"/>
  <c r="W144" i="19"/>
  <c r="W145" i="19"/>
  <c r="W146" i="19"/>
  <c r="W147" i="19"/>
  <c r="W148" i="19"/>
  <c r="W149" i="19"/>
  <c r="W150" i="19"/>
  <c r="W151" i="19"/>
  <c r="W152" i="19"/>
  <c r="W153" i="19"/>
  <c r="W154" i="19"/>
  <c r="W155" i="19"/>
  <c r="W156" i="19"/>
  <c r="W157" i="19"/>
  <c r="W158" i="19"/>
  <c r="W159" i="19"/>
  <c r="W160" i="19"/>
  <c r="W161" i="19"/>
  <c r="W162" i="19"/>
  <c r="W163" i="19"/>
  <c r="W164" i="19"/>
  <c r="W165" i="19"/>
  <c r="W166" i="19"/>
  <c r="W167" i="19"/>
  <c r="W168" i="19"/>
  <c r="W169" i="19"/>
  <c r="W170" i="19"/>
  <c r="W171" i="19"/>
  <c r="W172" i="19"/>
  <c r="W173" i="19"/>
  <c r="W174" i="19"/>
  <c r="W175" i="19"/>
  <c r="W176" i="19"/>
  <c r="W177" i="19"/>
  <c r="W178" i="19"/>
  <c r="W179" i="19"/>
  <c r="W180" i="19"/>
  <c r="W181" i="19"/>
  <c r="W182" i="19"/>
  <c r="W183" i="19"/>
  <c r="W184" i="19"/>
  <c r="W185" i="19"/>
  <c r="W186" i="19"/>
  <c r="W187" i="19"/>
  <c r="W188" i="19"/>
  <c r="W189" i="19"/>
  <c r="W190" i="19"/>
  <c r="W191" i="19"/>
  <c r="W192" i="19"/>
  <c r="W193" i="19"/>
  <c r="W194" i="19"/>
  <c r="W195" i="19"/>
  <c r="W196" i="19"/>
  <c r="W197" i="19"/>
  <c r="W198" i="19"/>
  <c r="W199" i="19"/>
  <c r="W200" i="19"/>
  <c r="W201" i="19"/>
  <c r="W202" i="19"/>
  <c r="W203" i="19"/>
  <c r="W204" i="19"/>
  <c r="W205" i="19"/>
  <c r="W206" i="19"/>
  <c r="W207" i="19"/>
  <c r="W208" i="19"/>
  <c r="W209" i="19"/>
  <c r="W210" i="19"/>
  <c r="W211" i="19"/>
  <c r="W212" i="19"/>
  <c r="W213" i="19"/>
  <c r="W214" i="19"/>
  <c r="W215" i="19"/>
  <c r="W216" i="19"/>
  <c r="W217" i="19"/>
  <c r="W218" i="19"/>
  <c r="W219" i="19"/>
  <c r="W220" i="19"/>
  <c r="W221" i="19"/>
  <c r="W222" i="19"/>
  <c r="W223" i="19"/>
  <c r="W224" i="19"/>
  <c r="W225" i="19"/>
  <c r="W226" i="19"/>
  <c r="W2" i="19"/>
  <c r="V3" i="19"/>
  <c r="V4" i="19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51" i="19"/>
  <c r="V52" i="19"/>
  <c r="V53" i="19"/>
  <c r="V54" i="19"/>
  <c r="V55" i="19"/>
  <c r="V56" i="19"/>
  <c r="V57" i="19"/>
  <c r="V58" i="19"/>
  <c r="V59" i="19"/>
  <c r="V60" i="19"/>
  <c r="V61" i="19"/>
  <c r="V62" i="19"/>
  <c r="V63" i="19"/>
  <c r="V64" i="19"/>
  <c r="V65" i="19"/>
  <c r="V66" i="19"/>
  <c r="V67" i="19"/>
  <c r="V68" i="19"/>
  <c r="V69" i="19"/>
  <c r="V70" i="19"/>
  <c r="V71" i="19"/>
  <c r="V72" i="19"/>
  <c r="V73" i="19"/>
  <c r="V74" i="19"/>
  <c r="V75" i="19"/>
  <c r="V76" i="19"/>
  <c r="V77" i="19"/>
  <c r="V78" i="19"/>
  <c r="V79" i="19"/>
  <c r="V80" i="19"/>
  <c r="V81" i="19"/>
  <c r="V82" i="19"/>
  <c r="V83" i="19"/>
  <c r="V84" i="19"/>
  <c r="V85" i="19"/>
  <c r="V86" i="19"/>
  <c r="V87" i="19"/>
  <c r="V88" i="19"/>
  <c r="V89" i="19"/>
  <c r="V90" i="19"/>
  <c r="V91" i="19"/>
  <c r="V92" i="19"/>
  <c r="V93" i="19"/>
  <c r="V94" i="19"/>
  <c r="V95" i="19"/>
  <c r="V96" i="19"/>
  <c r="V97" i="19"/>
  <c r="V98" i="19"/>
  <c r="V99" i="19"/>
  <c r="V100" i="19"/>
  <c r="V101" i="19"/>
  <c r="V102" i="19"/>
  <c r="V103" i="19"/>
  <c r="V104" i="19"/>
  <c r="V105" i="19"/>
  <c r="V106" i="19"/>
  <c r="V107" i="19"/>
  <c r="V108" i="19"/>
  <c r="V109" i="19"/>
  <c r="V110" i="19"/>
  <c r="V111" i="19"/>
  <c r="V112" i="19"/>
  <c r="V113" i="19"/>
  <c r="V114" i="19"/>
  <c r="V115" i="19"/>
  <c r="V116" i="19"/>
  <c r="V117" i="19"/>
  <c r="V118" i="19"/>
  <c r="V119" i="19"/>
  <c r="V120" i="19"/>
  <c r="V121" i="19"/>
  <c r="V122" i="19"/>
  <c r="V123" i="19"/>
  <c r="V124" i="19"/>
  <c r="V125" i="19"/>
  <c r="V126" i="19"/>
  <c r="V127" i="19"/>
  <c r="V128" i="19"/>
  <c r="V129" i="19"/>
  <c r="V130" i="19"/>
  <c r="V131" i="19"/>
  <c r="V132" i="19"/>
  <c r="V133" i="19"/>
  <c r="V134" i="19"/>
  <c r="V135" i="19"/>
  <c r="V136" i="19"/>
  <c r="V137" i="19"/>
  <c r="V138" i="19"/>
  <c r="V139" i="19"/>
  <c r="V140" i="19"/>
  <c r="V141" i="19"/>
  <c r="V142" i="19"/>
  <c r="V143" i="19"/>
  <c r="V144" i="19"/>
  <c r="V145" i="19"/>
  <c r="V146" i="19"/>
  <c r="V147" i="19"/>
  <c r="V148" i="19"/>
  <c r="V149" i="19"/>
  <c r="V150" i="19"/>
  <c r="V151" i="19"/>
  <c r="V152" i="19"/>
  <c r="V153" i="19"/>
  <c r="V154" i="19"/>
  <c r="V155" i="19"/>
  <c r="V156" i="19"/>
  <c r="V157" i="19"/>
  <c r="V158" i="19"/>
  <c r="V159" i="19"/>
  <c r="V160" i="19"/>
  <c r="V161" i="19"/>
  <c r="V162" i="19"/>
  <c r="V163" i="19"/>
  <c r="V164" i="19"/>
  <c r="V165" i="19"/>
  <c r="V166" i="19"/>
  <c r="V167" i="19"/>
  <c r="V168" i="19"/>
  <c r="V169" i="19"/>
  <c r="V170" i="19"/>
  <c r="V171" i="19"/>
  <c r="V172" i="19"/>
  <c r="V173" i="19"/>
  <c r="V174" i="19"/>
  <c r="V175" i="19"/>
  <c r="V176" i="19"/>
  <c r="V177" i="19"/>
  <c r="V178" i="19"/>
  <c r="V179" i="19"/>
  <c r="V180" i="19"/>
  <c r="V181" i="19"/>
  <c r="V182" i="19"/>
  <c r="V183" i="19"/>
  <c r="V184" i="19"/>
  <c r="V185" i="19"/>
  <c r="V186" i="19"/>
  <c r="V187" i="19"/>
  <c r="V188" i="19"/>
  <c r="V189" i="19"/>
  <c r="V190" i="19"/>
  <c r="V191" i="19"/>
  <c r="V192" i="19"/>
  <c r="V193" i="19"/>
  <c r="V194" i="19"/>
  <c r="V195" i="19"/>
  <c r="V196" i="19"/>
  <c r="V197" i="19"/>
  <c r="V198" i="19"/>
  <c r="V199" i="19"/>
  <c r="V200" i="19"/>
  <c r="V201" i="19"/>
  <c r="V202" i="19"/>
  <c r="V203" i="19"/>
  <c r="V204" i="19"/>
  <c r="V205" i="19"/>
  <c r="V206" i="19"/>
  <c r="V207" i="19"/>
  <c r="V208" i="19"/>
  <c r="V209" i="19"/>
  <c r="V210" i="19"/>
  <c r="V211" i="19"/>
  <c r="V212" i="19"/>
  <c r="V213" i="19"/>
  <c r="V214" i="19"/>
  <c r="V215" i="19"/>
  <c r="V216" i="19"/>
  <c r="V217" i="19"/>
  <c r="V218" i="19"/>
  <c r="V219" i="19"/>
  <c r="V220" i="19"/>
  <c r="V221" i="19"/>
  <c r="V222" i="19"/>
  <c r="V223" i="19"/>
  <c r="V224" i="19"/>
  <c r="V225" i="19"/>
  <c r="V226" i="19"/>
  <c r="V2" i="19"/>
  <c r="U3" i="19"/>
  <c r="U4" i="19"/>
  <c r="U5" i="19"/>
  <c r="U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52" i="19"/>
  <c r="U53" i="19"/>
  <c r="U54" i="19"/>
  <c r="U55" i="19"/>
  <c r="U56" i="19"/>
  <c r="U57" i="19"/>
  <c r="U58" i="19"/>
  <c r="U59" i="19"/>
  <c r="U60" i="19"/>
  <c r="U61" i="19"/>
  <c r="U62" i="19"/>
  <c r="U63" i="19"/>
  <c r="U64" i="19"/>
  <c r="U65" i="19"/>
  <c r="U66" i="19"/>
  <c r="U67" i="19"/>
  <c r="U68" i="19"/>
  <c r="U69" i="19"/>
  <c r="U70" i="19"/>
  <c r="U71" i="19"/>
  <c r="U72" i="19"/>
  <c r="U73" i="19"/>
  <c r="U74" i="19"/>
  <c r="U75" i="19"/>
  <c r="U76" i="19"/>
  <c r="U77" i="19"/>
  <c r="U78" i="19"/>
  <c r="U79" i="19"/>
  <c r="U80" i="19"/>
  <c r="U81" i="19"/>
  <c r="U82" i="19"/>
  <c r="U83" i="19"/>
  <c r="U84" i="19"/>
  <c r="U85" i="19"/>
  <c r="U86" i="19"/>
  <c r="U87" i="19"/>
  <c r="U88" i="19"/>
  <c r="U89" i="19"/>
  <c r="U90" i="19"/>
  <c r="U91" i="19"/>
  <c r="U92" i="19"/>
  <c r="U93" i="19"/>
  <c r="U94" i="19"/>
  <c r="U95" i="19"/>
  <c r="U96" i="19"/>
  <c r="U97" i="19"/>
  <c r="U98" i="19"/>
  <c r="U99" i="19"/>
  <c r="U100" i="19"/>
  <c r="U101" i="19"/>
  <c r="U102" i="19"/>
  <c r="U103" i="19"/>
  <c r="U104" i="19"/>
  <c r="U105" i="19"/>
  <c r="U106" i="19"/>
  <c r="U107" i="19"/>
  <c r="U108" i="19"/>
  <c r="U109" i="19"/>
  <c r="U110" i="19"/>
  <c r="U111" i="19"/>
  <c r="U112" i="19"/>
  <c r="U113" i="19"/>
  <c r="U114" i="19"/>
  <c r="U115" i="19"/>
  <c r="U116" i="19"/>
  <c r="U117" i="19"/>
  <c r="U118" i="19"/>
  <c r="U119" i="19"/>
  <c r="U120" i="19"/>
  <c r="U121" i="19"/>
  <c r="U122" i="19"/>
  <c r="U123" i="19"/>
  <c r="U124" i="19"/>
  <c r="U125" i="19"/>
  <c r="U126" i="19"/>
  <c r="U127" i="19"/>
  <c r="U128" i="19"/>
  <c r="U129" i="19"/>
  <c r="U130" i="19"/>
  <c r="U131" i="19"/>
  <c r="U132" i="19"/>
  <c r="U133" i="19"/>
  <c r="U134" i="19"/>
  <c r="U135" i="19"/>
  <c r="U136" i="19"/>
  <c r="U137" i="19"/>
  <c r="U138" i="19"/>
  <c r="U139" i="19"/>
  <c r="U140" i="19"/>
  <c r="U141" i="19"/>
  <c r="U142" i="19"/>
  <c r="U143" i="19"/>
  <c r="U144" i="19"/>
  <c r="U145" i="19"/>
  <c r="U146" i="19"/>
  <c r="U147" i="19"/>
  <c r="U148" i="19"/>
  <c r="U149" i="19"/>
  <c r="U150" i="19"/>
  <c r="U151" i="19"/>
  <c r="U152" i="19"/>
  <c r="U153" i="19"/>
  <c r="U154" i="19"/>
  <c r="U155" i="19"/>
  <c r="U156" i="19"/>
  <c r="U157" i="19"/>
  <c r="U158" i="19"/>
  <c r="U159" i="19"/>
  <c r="U160" i="19"/>
  <c r="U161" i="19"/>
  <c r="U162" i="19"/>
  <c r="U163" i="19"/>
  <c r="U164" i="19"/>
  <c r="U165" i="19"/>
  <c r="U166" i="19"/>
  <c r="U167" i="19"/>
  <c r="U168" i="19"/>
  <c r="U169" i="19"/>
  <c r="U170" i="19"/>
  <c r="U171" i="19"/>
  <c r="U172" i="19"/>
  <c r="U173" i="19"/>
  <c r="U174" i="19"/>
  <c r="U175" i="19"/>
  <c r="U176" i="19"/>
  <c r="U177" i="19"/>
  <c r="U178" i="19"/>
  <c r="U179" i="19"/>
  <c r="U180" i="19"/>
  <c r="U181" i="19"/>
  <c r="U182" i="19"/>
  <c r="U183" i="19"/>
  <c r="U184" i="19"/>
  <c r="U185" i="19"/>
  <c r="U186" i="19"/>
  <c r="U187" i="19"/>
  <c r="U188" i="19"/>
  <c r="U189" i="19"/>
  <c r="U190" i="19"/>
  <c r="U191" i="19"/>
  <c r="U192" i="19"/>
  <c r="U193" i="19"/>
  <c r="U194" i="19"/>
  <c r="U195" i="19"/>
  <c r="U196" i="19"/>
  <c r="U197" i="19"/>
  <c r="U198" i="19"/>
  <c r="U199" i="19"/>
  <c r="U200" i="19"/>
  <c r="U201" i="19"/>
  <c r="U202" i="19"/>
  <c r="U203" i="19"/>
  <c r="U204" i="19"/>
  <c r="U205" i="19"/>
  <c r="U206" i="19"/>
  <c r="U207" i="19"/>
  <c r="U208" i="19"/>
  <c r="U209" i="19"/>
  <c r="U210" i="19"/>
  <c r="U211" i="19"/>
  <c r="U212" i="19"/>
  <c r="U213" i="19"/>
  <c r="U214" i="19"/>
  <c r="U215" i="19"/>
  <c r="U216" i="19"/>
  <c r="U217" i="19"/>
  <c r="U218" i="19"/>
  <c r="U219" i="19"/>
  <c r="U220" i="19"/>
  <c r="U221" i="19"/>
  <c r="U222" i="19"/>
  <c r="U223" i="19"/>
  <c r="U224" i="19"/>
  <c r="U225" i="19"/>
  <c r="U226" i="19"/>
  <c r="U2" i="19"/>
  <c r="T3" i="19"/>
  <c r="T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T42" i="19"/>
  <c r="T43" i="19"/>
  <c r="T44" i="19"/>
  <c r="T45" i="19"/>
  <c r="T46" i="19"/>
  <c r="T47" i="19"/>
  <c r="T48" i="19"/>
  <c r="T49" i="19"/>
  <c r="T50" i="19"/>
  <c r="T51" i="19"/>
  <c r="T52" i="19"/>
  <c r="T53" i="19"/>
  <c r="T54" i="19"/>
  <c r="T55" i="19"/>
  <c r="T56" i="19"/>
  <c r="T57" i="19"/>
  <c r="T58" i="19"/>
  <c r="T59" i="19"/>
  <c r="T60" i="19"/>
  <c r="T61" i="19"/>
  <c r="T62" i="19"/>
  <c r="T63" i="19"/>
  <c r="T64" i="19"/>
  <c r="T65" i="19"/>
  <c r="T66" i="19"/>
  <c r="T67" i="19"/>
  <c r="T68" i="19"/>
  <c r="T69" i="19"/>
  <c r="T70" i="19"/>
  <c r="T71" i="19"/>
  <c r="T72" i="19"/>
  <c r="T73" i="19"/>
  <c r="T74" i="19"/>
  <c r="T75" i="19"/>
  <c r="T76" i="19"/>
  <c r="T77" i="19"/>
  <c r="T78" i="19"/>
  <c r="T79" i="19"/>
  <c r="T80" i="19"/>
  <c r="T81" i="19"/>
  <c r="T82" i="19"/>
  <c r="T83" i="19"/>
  <c r="T84" i="19"/>
  <c r="T85" i="19"/>
  <c r="T86" i="19"/>
  <c r="T87" i="19"/>
  <c r="T88" i="19"/>
  <c r="T89" i="19"/>
  <c r="T90" i="19"/>
  <c r="T91" i="19"/>
  <c r="T92" i="19"/>
  <c r="T93" i="19"/>
  <c r="T94" i="19"/>
  <c r="T95" i="19"/>
  <c r="T96" i="19"/>
  <c r="T97" i="19"/>
  <c r="T98" i="19"/>
  <c r="T99" i="19"/>
  <c r="T100" i="19"/>
  <c r="T101" i="19"/>
  <c r="T102" i="19"/>
  <c r="T103" i="19"/>
  <c r="T104" i="19"/>
  <c r="T105" i="19"/>
  <c r="T106" i="19"/>
  <c r="T107" i="19"/>
  <c r="T108" i="19"/>
  <c r="T109" i="19"/>
  <c r="T110" i="19"/>
  <c r="T111" i="19"/>
  <c r="T112" i="19"/>
  <c r="T113" i="19"/>
  <c r="T114" i="19"/>
  <c r="T115" i="19"/>
  <c r="T116" i="19"/>
  <c r="T117" i="19"/>
  <c r="T118" i="19"/>
  <c r="T119" i="19"/>
  <c r="T120" i="19"/>
  <c r="T121" i="19"/>
  <c r="T122" i="19"/>
  <c r="T123" i="19"/>
  <c r="T124" i="19"/>
  <c r="T125" i="19"/>
  <c r="T126" i="19"/>
  <c r="T127" i="19"/>
  <c r="T128" i="19"/>
  <c r="T129" i="19"/>
  <c r="T130" i="19"/>
  <c r="T131" i="19"/>
  <c r="T132" i="19"/>
  <c r="T133" i="19"/>
  <c r="T134" i="19"/>
  <c r="T135" i="19"/>
  <c r="T136" i="19"/>
  <c r="T137" i="19"/>
  <c r="T138" i="19"/>
  <c r="T139" i="19"/>
  <c r="T140" i="19"/>
  <c r="T141" i="19"/>
  <c r="T142" i="19"/>
  <c r="T143" i="19"/>
  <c r="T144" i="19"/>
  <c r="T145" i="19"/>
  <c r="T146" i="19"/>
  <c r="T147" i="19"/>
  <c r="T148" i="19"/>
  <c r="T149" i="19"/>
  <c r="T150" i="19"/>
  <c r="T151" i="19"/>
  <c r="T152" i="19"/>
  <c r="T153" i="19"/>
  <c r="T154" i="19"/>
  <c r="T155" i="19"/>
  <c r="T156" i="19"/>
  <c r="T157" i="19"/>
  <c r="T158" i="19"/>
  <c r="T159" i="19"/>
  <c r="T160" i="19"/>
  <c r="T161" i="19"/>
  <c r="T162" i="19"/>
  <c r="T163" i="19"/>
  <c r="T164" i="19"/>
  <c r="T165" i="19"/>
  <c r="T166" i="19"/>
  <c r="T167" i="19"/>
  <c r="T168" i="19"/>
  <c r="T169" i="19"/>
  <c r="T170" i="19"/>
  <c r="T171" i="19"/>
  <c r="T172" i="19"/>
  <c r="T173" i="19"/>
  <c r="T174" i="19"/>
  <c r="T175" i="19"/>
  <c r="T176" i="19"/>
  <c r="T177" i="19"/>
  <c r="T178" i="19"/>
  <c r="T179" i="19"/>
  <c r="T180" i="19"/>
  <c r="T181" i="19"/>
  <c r="T182" i="19"/>
  <c r="T183" i="19"/>
  <c r="T184" i="19"/>
  <c r="T185" i="19"/>
  <c r="T186" i="19"/>
  <c r="T187" i="19"/>
  <c r="T188" i="19"/>
  <c r="T189" i="19"/>
  <c r="T190" i="19"/>
  <c r="T191" i="19"/>
  <c r="T192" i="19"/>
  <c r="T193" i="19"/>
  <c r="T194" i="19"/>
  <c r="T195" i="19"/>
  <c r="T196" i="19"/>
  <c r="T197" i="19"/>
  <c r="T198" i="19"/>
  <c r="T199" i="19"/>
  <c r="T200" i="19"/>
  <c r="T201" i="19"/>
  <c r="T202" i="19"/>
  <c r="T203" i="19"/>
  <c r="T204" i="19"/>
  <c r="T205" i="19"/>
  <c r="T206" i="19"/>
  <c r="T207" i="19"/>
  <c r="T208" i="19"/>
  <c r="T209" i="19"/>
  <c r="T210" i="19"/>
  <c r="T211" i="19"/>
  <c r="T212" i="19"/>
  <c r="T213" i="19"/>
  <c r="T214" i="19"/>
  <c r="T215" i="19"/>
  <c r="T216" i="19"/>
  <c r="T217" i="19"/>
  <c r="T218" i="19"/>
  <c r="T219" i="19"/>
  <c r="T220" i="19"/>
  <c r="T221" i="19"/>
  <c r="T222" i="19"/>
  <c r="T223" i="19"/>
  <c r="T224" i="19"/>
  <c r="T225" i="19"/>
  <c r="T226" i="19"/>
  <c r="T2" i="19"/>
  <c r="AC3" i="19"/>
  <c r="AI3" i="19" s="1"/>
  <c r="AC4" i="19"/>
  <c r="AI4" i="19" s="1"/>
  <c r="AC5" i="19"/>
  <c r="AI5" i="19" s="1"/>
  <c r="AC6" i="19"/>
  <c r="AI6" i="19" s="1"/>
  <c r="AC7" i="19"/>
  <c r="AI7" i="19" s="1"/>
  <c r="AC8" i="19"/>
  <c r="AI8" i="19" s="1"/>
  <c r="AC9" i="19"/>
  <c r="AI9" i="19" s="1"/>
  <c r="AC10" i="19"/>
  <c r="AI10" i="19" s="1"/>
  <c r="AC11" i="19"/>
  <c r="AI11" i="19" s="1"/>
  <c r="AC12" i="19"/>
  <c r="AI12" i="19" s="1"/>
  <c r="AC13" i="19"/>
  <c r="AI13" i="19" s="1"/>
  <c r="AC14" i="19"/>
  <c r="AI14" i="19" s="1"/>
  <c r="AC15" i="19"/>
  <c r="AI15" i="19" s="1"/>
  <c r="AC16" i="19"/>
  <c r="AI16" i="19" s="1"/>
  <c r="AC17" i="19"/>
  <c r="AI17" i="19" s="1"/>
  <c r="AC18" i="19"/>
  <c r="AI18" i="19" s="1"/>
  <c r="AC19" i="19"/>
  <c r="AI19" i="19" s="1"/>
  <c r="AC20" i="19"/>
  <c r="AI20" i="19" s="1"/>
  <c r="AC21" i="19"/>
  <c r="AI21" i="19" s="1"/>
  <c r="AC22" i="19"/>
  <c r="AI22" i="19" s="1"/>
  <c r="AC23" i="19"/>
  <c r="AI23" i="19" s="1"/>
  <c r="AC24" i="19"/>
  <c r="AI24" i="19" s="1"/>
  <c r="AC25" i="19"/>
  <c r="AI25" i="19" s="1"/>
  <c r="AC26" i="19"/>
  <c r="AI26" i="19" s="1"/>
  <c r="AC27" i="19"/>
  <c r="AI27" i="19" s="1"/>
  <c r="AC28" i="19"/>
  <c r="AI28" i="19" s="1"/>
  <c r="AC29" i="19"/>
  <c r="AI29" i="19" s="1"/>
  <c r="AC30" i="19"/>
  <c r="AI30" i="19" s="1"/>
  <c r="AC31" i="19"/>
  <c r="AI31" i="19" s="1"/>
  <c r="AC32" i="19"/>
  <c r="AI32" i="19" s="1"/>
  <c r="AC33" i="19"/>
  <c r="AI33" i="19" s="1"/>
  <c r="AC34" i="19"/>
  <c r="AI34" i="19" s="1"/>
  <c r="AC35" i="19"/>
  <c r="AI35" i="19" s="1"/>
  <c r="AC36" i="19"/>
  <c r="AI36" i="19" s="1"/>
  <c r="AC37" i="19"/>
  <c r="AI37" i="19" s="1"/>
  <c r="AC38" i="19"/>
  <c r="AI38" i="19" s="1"/>
  <c r="AC39" i="19"/>
  <c r="AI39" i="19" s="1"/>
  <c r="AC40" i="19"/>
  <c r="AI40" i="19" s="1"/>
  <c r="AC41" i="19"/>
  <c r="AI41" i="19" s="1"/>
  <c r="AC42" i="19"/>
  <c r="AI42" i="19" s="1"/>
  <c r="AC43" i="19"/>
  <c r="AI43" i="19" s="1"/>
  <c r="AC44" i="19"/>
  <c r="AI44" i="19" s="1"/>
  <c r="AC45" i="19"/>
  <c r="AI45" i="19" s="1"/>
  <c r="AC46" i="19"/>
  <c r="AI46" i="19" s="1"/>
  <c r="AC47" i="19"/>
  <c r="AI47" i="19" s="1"/>
  <c r="AC48" i="19"/>
  <c r="AI48" i="19" s="1"/>
  <c r="AC49" i="19"/>
  <c r="AI49" i="19" s="1"/>
  <c r="AC50" i="19"/>
  <c r="AI50" i="19" s="1"/>
  <c r="AC51" i="19"/>
  <c r="AI51" i="19" s="1"/>
  <c r="AC52" i="19"/>
  <c r="AI52" i="19" s="1"/>
  <c r="AC53" i="19"/>
  <c r="AI53" i="19" s="1"/>
  <c r="AC54" i="19"/>
  <c r="AI54" i="19" s="1"/>
  <c r="AC55" i="19"/>
  <c r="AI55" i="19" s="1"/>
  <c r="AC56" i="19"/>
  <c r="AI56" i="19" s="1"/>
  <c r="AC57" i="19"/>
  <c r="AI57" i="19" s="1"/>
  <c r="AC58" i="19"/>
  <c r="AI58" i="19" s="1"/>
  <c r="AC59" i="19"/>
  <c r="AI59" i="19" s="1"/>
  <c r="AC60" i="19"/>
  <c r="AI60" i="19" s="1"/>
  <c r="AC61" i="19"/>
  <c r="AI61" i="19" s="1"/>
  <c r="AC62" i="19"/>
  <c r="AI62" i="19" s="1"/>
  <c r="AC63" i="19"/>
  <c r="AI63" i="19" s="1"/>
  <c r="AC64" i="19"/>
  <c r="AI64" i="19" s="1"/>
  <c r="AC65" i="19"/>
  <c r="AI65" i="19" s="1"/>
  <c r="AC66" i="19"/>
  <c r="AI66" i="19" s="1"/>
  <c r="AC67" i="19"/>
  <c r="AI67" i="19" s="1"/>
  <c r="AC68" i="19"/>
  <c r="AI68" i="19" s="1"/>
  <c r="AC69" i="19"/>
  <c r="AI69" i="19" s="1"/>
  <c r="AC70" i="19"/>
  <c r="AI70" i="19" s="1"/>
  <c r="AC71" i="19"/>
  <c r="AI71" i="19" s="1"/>
  <c r="AC72" i="19"/>
  <c r="AI72" i="19" s="1"/>
  <c r="AC73" i="19"/>
  <c r="AI73" i="19" s="1"/>
  <c r="AC74" i="19"/>
  <c r="AI74" i="19" s="1"/>
  <c r="AC75" i="19"/>
  <c r="AI75" i="19" s="1"/>
  <c r="AC76" i="19"/>
  <c r="AI76" i="19" s="1"/>
  <c r="AC77" i="19"/>
  <c r="AI77" i="19" s="1"/>
  <c r="AC78" i="19"/>
  <c r="AI78" i="19" s="1"/>
  <c r="AC79" i="19"/>
  <c r="AI79" i="19" s="1"/>
  <c r="AC80" i="19"/>
  <c r="AI80" i="19" s="1"/>
  <c r="AC81" i="19"/>
  <c r="AI81" i="19" s="1"/>
  <c r="AC82" i="19"/>
  <c r="AI82" i="19" s="1"/>
  <c r="AC83" i="19"/>
  <c r="AI83" i="19" s="1"/>
  <c r="AC84" i="19"/>
  <c r="AI84" i="19" s="1"/>
  <c r="AC85" i="19"/>
  <c r="AI85" i="19" s="1"/>
  <c r="AC86" i="19"/>
  <c r="AI86" i="19" s="1"/>
  <c r="AC87" i="19"/>
  <c r="AI87" i="19" s="1"/>
  <c r="AC88" i="19"/>
  <c r="AI88" i="19" s="1"/>
  <c r="AC89" i="19"/>
  <c r="AI89" i="19" s="1"/>
  <c r="AC90" i="19"/>
  <c r="AI90" i="19" s="1"/>
  <c r="AC91" i="19"/>
  <c r="AI91" i="19" s="1"/>
  <c r="AC92" i="19"/>
  <c r="AI92" i="19" s="1"/>
  <c r="AC93" i="19"/>
  <c r="AI93" i="19" s="1"/>
  <c r="AC94" i="19"/>
  <c r="AI94" i="19" s="1"/>
  <c r="AC95" i="19"/>
  <c r="AI95" i="19" s="1"/>
  <c r="AC96" i="19"/>
  <c r="AI96" i="19" s="1"/>
  <c r="AC97" i="19"/>
  <c r="AI97" i="19" s="1"/>
  <c r="AC98" i="19"/>
  <c r="AI98" i="19" s="1"/>
  <c r="AC99" i="19"/>
  <c r="AI99" i="19" s="1"/>
  <c r="AC100" i="19"/>
  <c r="AI100" i="19" s="1"/>
  <c r="AC101" i="19"/>
  <c r="AI101" i="19" s="1"/>
  <c r="AC102" i="19"/>
  <c r="AI102" i="19" s="1"/>
  <c r="AC103" i="19"/>
  <c r="AI103" i="19" s="1"/>
  <c r="AC104" i="19"/>
  <c r="AI104" i="19" s="1"/>
  <c r="AC105" i="19"/>
  <c r="AI105" i="19" s="1"/>
  <c r="AC106" i="19"/>
  <c r="AI106" i="19" s="1"/>
  <c r="AC107" i="19"/>
  <c r="AI107" i="19" s="1"/>
  <c r="AC108" i="19"/>
  <c r="AI108" i="19" s="1"/>
  <c r="AC109" i="19"/>
  <c r="AI109" i="19" s="1"/>
  <c r="AC110" i="19"/>
  <c r="AI110" i="19" s="1"/>
  <c r="AC111" i="19"/>
  <c r="AI111" i="19" s="1"/>
  <c r="AC112" i="19"/>
  <c r="AI112" i="19" s="1"/>
  <c r="AC113" i="19"/>
  <c r="AI113" i="19" s="1"/>
  <c r="AC114" i="19"/>
  <c r="AI114" i="19" s="1"/>
  <c r="AC115" i="19"/>
  <c r="AI115" i="19" s="1"/>
  <c r="AC116" i="19"/>
  <c r="AI116" i="19" s="1"/>
  <c r="AC117" i="19"/>
  <c r="AI117" i="19" s="1"/>
  <c r="AC118" i="19"/>
  <c r="AI118" i="19" s="1"/>
  <c r="AC119" i="19"/>
  <c r="AI119" i="19" s="1"/>
  <c r="AC120" i="19"/>
  <c r="AI120" i="19" s="1"/>
  <c r="AC121" i="19"/>
  <c r="AI121" i="19" s="1"/>
  <c r="AC122" i="19"/>
  <c r="AI122" i="19" s="1"/>
  <c r="AC123" i="19"/>
  <c r="AI123" i="19" s="1"/>
  <c r="AC124" i="19"/>
  <c r="AI124" i="19" s="1"/>
  <c r="AC125" i="19"/>
  <c r="AI125" i="19" s="1"/>
  <c r="AC126" i="19"/>
  <c r="AI126" i="19" s="1"/>
  <c r="AC127" i="19"/>
  <c r="AI127" i="19" s="1"/>
  <c r="AC128" i="19"/>
  <c r="AI128" i="19" s="1"/>
  <c r="AC129" i="19"/>
  <c r="AI129" i="19" s="1"/>
  <c r="AC130" i="19"/>
  <c r="AI130" i="19" s="1"/>
  <c r="AC131" i="19"/>
  <c r="AI131" i="19" s="1"/>
  <c r="AC132" i="19"/>
  <c r="AI132" i="19" s="1"/>
  <c r="AC133" i="19"/>
  <c r="AI133" i="19" s="1"/>
  <c r="AC134" i="19"/>
  <c r="AI134" i="19" s="1"/>
  <c r="AC135" i="19"/>
  <c r="AI135" i="19" s="1"/>
  <c r="AC136" i="19"/>
  <c r="AI136" i="19" s="1"/>
  <c r="AC137" i="19"/>
  <c r="AI137" i="19" s="1"/>
  <c r="AC138" i="19"/>
  <c r="AI138" i="19" s="1"/>
  <c r="AC139" i="19"/>
  <c r="AI139" i="19" s="1"/>
  <c r="AC140" i="19"/>
  <c r="AI140" i="19" s="1"/>
  <c r="AC141" i="19"/>
  <c r="AI141" i="19" s="1"/>
  <c r="AC142" i="19"/>
  <c r="AI142" i="19" s="1"/>
  <c r="AC143" i="19"/>
  <c r="AI143" i="19" s="1"/>
  <c r="AC144" i="19"/>
  <c r="AI144" i="19" s="1"/>
  <c r="AC145" i="19"/>
  <c r="AI145" i="19" s="1"/>
  <c r="AC146" i="19"/>
  <c r="AI146" i="19" s="1"/>
  <c r="AC147" i="19"/>
  <c r="AI147" i="19" s="1"/>
  <c r="AC148" i="19"/>
  <c r="AI148" i="19" s="1"/>
  <c r="AC149" i="19"/>
  <c r="AI149" i="19" s="1"/>
  <c r="AC150" i="19"/>
  <c r="AI150" i="19" s="1"/>
  <c r="AC151" i="19"/>
  <c r="AI151" i="19" s="1"/>
  <c r="AC152" i="19"/>
  <c r="AI152" i="19" s="1"/>
  <c r="AC153" i="19"/>
  <c r="AI153" i="19" s="1"/>
  <c r="AC154" i="19"/>
  <c r="AI154" i="19" s="1"/>
  <c r="AC155" i="19"/>
  <c r="AI155" i="19" s="1"/>
  <c r="AC156" i="19"/>
  <c r="AI156" i="19" s="1"/>
  <c r="AC157" i="19"/>
  <c r="AI157" i="19" s="1"/>
  <c r="AC158" i="19"/>
  <c r="AI158" i="19" s="1"/>
  <c r="AC159" i="19"/>
  <c r="AI159" i="19" s="1"/>
  <c r="AC160" i="19"/>
  <c r="AI160" i="19" s="1"/>
  <c r="AC161" i="19"/>
  <c r="AI161" i="19" s="1"/>
  <c r="AC162" i="19"/>
  <c r="AI162" i="19" s="1"/>
  <c r="AC163" i="19"/>
  <c r="AI163" i="19" s="1"/>
  <c r="AC164" i="19"/>
  <c r="AI164" i="19" s="1"/>
  <c r="AC165" i="19"/>
  <c r="AI165" i="19" s="1"/>
  <c r="AC166" i="19"/>
  <c r="AI166" i="19" s="1"/>
  <c r="AC167" i="19"/>
  <c r="AI167" i="19" s="1"/>
  <c r="AC168" i="19"/>
  <c r="AI168" i="19" s="1"/>
  <c r="AC169" i="19"/>
  <c r="AI169" i="19" s="1"/>
  <c r="AC170" i="19"/>
  <c r="AI170" i="19" s="1"/>
  <c r="AC171" i="19"/>
  <c r="AI171" i="19" s="1"/>
  <c r="AC172" i="19"/>
  <c r="AI172" i="19" s="1"/>
  <c r="AC173" i="19"/>
  <c r="AI173" i="19" s="1"/>
  <c r="AC174" i="19"/>
  <c r="AI174" i="19" s="1"/>
  <c r="AC175" i="19"/>
  <c r="AI175" i="19" s="1"/>
  <c r="AC176" i="19"/>
  <c r="AI176" i="19" s="1"/>
  <c r="AC177" i="19"/>
  <c r="AI177" i="19" s="1"/>
  <c r="AC178" i="19"/>
  <c r="AI178" i="19" s="1"/>
  <c r="AC179" i="19"/>
  <c r="AI179" i="19" s="1"/>
  <c r="AC180" i="19"/>
  <c r="AI180" i="19" s="1"/>
  <c r="AC181" i="19"/>
  <c r="AI181" i="19" s="1"/>
  <c r="AC182" i="19"/>
  <c r="AI182" i="19" s="1"/>
  <c r="AC183" i="19"/>
  <c r="AI183" i="19" s="1"/>
  <c r="AC184" i="19"/>
  <c r="AI184" i="19" s="1"/>
  <c r="AC185" i="19"/>
  <c r="AI185" i="19" s="1"/>
  <c r="AC186" i="19"/>
  <c r="AI186" i="19" s="1"/>
  <c r="AC187" i="19"/>
  <c r="AI187" i="19" s="1"/>
  <c r="AC188" i="19"/>
  <c r="AI188" i="19" s="1"/>
  <c r="AC189" i="19"/>
  <c r="AI189" i="19" s="1"/>
  <c r="AC190" i="19"/>
  <c r="AI190" i="19" s="1"/>
  <c r="AC191" i="19"/>
  <c r="AI191" i="19" s="1"/>
  <c r="AC192" i="19"/>
  <c r="AI192" i="19" s="1"/>
  <c r="AC193" i="19"/>
  <c r="AI193" i="19" s="1"/>
  <c r="AC194" i="19"/>
  <c r="AI194" i="19" s="1"/>
  <c r="AC195" i="19"/>
  <c r="AI195" i="19" s="1"/>
  <c r="AC196" i="19"/>
  <c r="AI196" i="19" s="1"/>
  <c r="AC197" i="19"/>
  <c r="AI197" i="19" s="1"/>
  <c r="AC198" i="19"/>
  <c r="AI198" i="19" s="1"/>
  <c r="AC199" i="19"/>
  <c r="AI199" i="19" s="1"/>
  <c r="AC200" i="19"/>
  <c r="AI200" i="19" s="1"/>
  <c r="AC201" i="19"/>
  <c r="AI201" i="19" s="1"/>
  <c r="AC202" i="19"/>
  <c r="AI202" i="19" s="1"/>
  <c r="AC203" i="19"/>
  <c r="AI203" i="19" s="1"/>
  <c r="AC204" i="19"/>
  <c r="AI204" i="19" s="1"/>
  <c r="AC205" i="19"/>
  <c r="AI205" i="19" s="1"/>
  <c r="AC206" i="19"/>
  <c r="AI206" i="19" s="1"/>
  <c r="AC207" i="19"/>
  <c r="AI207" i="19" s="1"/>
  <c r="AC208" i="19"/>
  <c r="AI208" i="19" s="1"/>
  <c r="AC209" i="19"/>
  <c r="AI209" i="19" s="1"/>
  <c r="AC210" i="19"/>
  <c r="AI210" i="19" s="1"/>
  <c r="AC211" i="19"/>
  <c r="AI211" i="19" s="1"/>
  <c r="AC212" i="19"/>
  <c r="AI212" i="19" s="1"/>
  <c r="AC213" i="19"/>
  <c r="AI213" i="19" s="1"/>
  <c r="AC214" i="19"/>
  <c r="AI214" i="19" s="1"/>
  <c r="AC215" i="19"/>
  <c r="AI215" i="19" s="1"/>
  <c r="AC216" i="19"/>
  <c r="AI216" i="19" s="1"/>
  <c r="AC217" i="19"/>
  <c r="AI217" i="19" s="1"/>
  <c r="AC218" i="19"/>
  <c r="AI218" i="19" s="1"/>
  <c r="AC219" i="19"/>
  <c r="AI219" i="19" s="1"/>
  <c r="AC220" i="19"/>
  <c r="AI220" i="19" s="1"/>
  <c r="AC221" i="19"/>
  <c r="AI221" i="19" s="1"/>
  <c r="AC222" i="19"/>
  <c r="AI222" i="19" s="1"/>
  <c r="AC223" i="19"/>
  <c r="AI223" i="19" s="1"/>
  <c r="AC224" i="19"/>
  <c r="AI224" i="19" s="1"/>
  <c r="AC225" i="19"/>
  <c r="AI225" i="19" s="1"/>
  <c r="AC226" i="19"/>
  <c r="AI226" i="19" s="1"/>
  <c r="AC2" i="19"/>
  <c r="AI2" i="19" s="1"/>
  <c r="AB4" i="19"/>
  <c r="AH4" i="19" s="1"/>
  <c r="AB5" i="19"/>
  <c r="AH5" i="19" s="1"/>
  <c r="AB6" i="19"/>
  <c r="AH6" i="19" s="1"/>
  <c r="AB7" i="19"/>
  <c r="AH7" i="19" s="1"/>
  <c r="AB10" i="19"/>
  <c r="AH10" i="19" s="1"/>
  <c r="AB11" i="19"/>
  <c r="AH11" i="19" s="1"/>
  <c r="AB12" i="19"/>
  <c r="AH12" i="19" s="1"/>
  <c r="AB13" i="19"/>
  <c r="AH13" i="19" s="1"/>
  <c r="AB14" i="19"/>
  <c r="AH14" i="19" s="1"/>
  <c r="AB15" i="19"/>
  <c r="AH15" i="19" s="1"/>
  <c r="AB16" i="19"/>
  <c r="AH16" i="19" s="1"/>
  <c r="AB17" i="19"/>
  <c r="AH17" i="19" s="1"/>
  <c r="AB18" i="19"/>
  <c r="AH18" i="19" s="1"/>
  <c r="AB19" i="19"/>
  <c r="AH19" i="19" s="1"/>
  <c r="AB20" i="19"/>
  <c r="AH20" i="19" s="1"/>
  <c r="AB21" i="19"/>
  <c r="AH21" i="19" s="1"/>
  <c r="AB22" i="19"/>
  <c r="AH22" i="19" s="1"/>
  <c r="AB23" i="19"/>
  <c r="AH23" i="19" s="1"/>
  <c r="AB24" i="19"/>
  <c r="AH24" i="19" s="1"/>
  <c r="AB25" i="19"/>
  <c r="AH25" i="19" s="1"/>
  <c r="AB26" i="19"/>
  <c r="AH26" i="19" s="1"/>
  <c r="AB27" i="19"/>
  <c r="AH27" i="19" s="1"/>
  <c r="AB28" i="19"/>
  <c r="AH28" i="19" s="1"/>
  <c r="AB29" i="19"/>
  <c r="AH29" i="19" s="1"/>
  <c r="AB30" i="19"/>
  <c r="AH30" i="19" s="1"/>
  <c r="AB31" i="19"/>
  <c r="AH31" i="19" s="1"/>
  <c r="AB32" i="19"/>
  <c r="AH32" i="19" s="1"/>
  <c r="AB33" i="19"/>
  <c r="AH33" i="19" s="1"/>
  <c r="AB34" i="19"/>
  <c r="AH34" i="19" s="1"/>
  <c r="AB35" i="19"/>
  <c r="AH35" i="19" s="1"/>
  <c r="AB36" i="19"/>
  <c r="AH36" i="19" s="1"/>
  <c r="AB37" i="19"/>
  <c r="AH37" i="19" s="1"/>
  <c r="AB38" i="19"/>
  <c r="AH38" i="19" s="1"/>
  <c r="AB39" i="19"/>
  <c r="AH39" i="19" s="1"/>
  <c r="AB40" i="19"/>
  <c r="AH40" i="19" s="1"/>
  <c r="AB41" i="19"/>
  <c r="AH41" i="19" s="1"/>
  <c r="AB42" i="19"/>
  <c r="AH42" i="19" s="1"/>
  <c r="AB43" i="19"/>
  <c r="AH43" i="19" s="1"/>
  <c r="AB44" i="19"/>
  <c r="AH44" i="19" s="1"/>
  <c r="AB45" i="19"/>
  <c r="AH45" i="19" s="1"/>
  <c r="AB46" i="19"/>
  <c r="AH46" i="19" s="1"/>
  <c r="AB47" i="19"/>
  <c r="AH47" i="19" s="1"/>
  <c r="AB48" i="19"/>
  <c r="AH48" i="19" s="1"/>
  <c r="AB49" i="19"/>
  <c r="AH49" i="19" s="1"/>
  <c r="AB50" i="19"/>
  <c r="AH50" i="19" s="1"/>
  <c r="AB51" i="19"/>
  <c r="AH51" i="19" s="1"/>
  <c r="AB52" i="19"/>
  <c r="AH52" i="19" s="1"/>
  <c r="AB53" i="19"/>
  <c r="AH53" i="19" s="1"/>
  <c r="AB54" i="19"/>
  <c r="AH54" i="19" s="1"/>
  <c r="AB55" i="19"/>
  <c r="AH55" i="19" s="1"/>
  <c r="AB56" i="19"/>
  <c r="AH56" i="19" s="1"/>
  <c r="AB57" i="19"/>
  <c r="AH57" i="19" s="1"/>
  <c r="AB58" i="19"/>
  <c r="AH58" i="19" s="1"/>
  <c r="AB59" i="19"/>
  <c r="AH59" i="19" s="1"/>
  <c r="AB60" i="19"/>
  <c r="AH60" i="19" s="1"/>
  <c r="AB61" i="19"/>
  <c r="AH61" i="19" s="1"/>
  <c r="AB62" i="19"/>
  <c r="AH62" i="19" s="1"/>
  <c r="AB63" i="19"/>
  <c r="AH63" i="19" s="1"/>
  <c r="AB64" i="19"/>
  <c r="AH64" i="19" s="1"/>
  <c r="AB65" i="19"/>
  <c r="AH65" i="19" s="1"/>
  <c r="AB66" i="19"/>
  <c r="AH66" i="19" s="1"/>
  <c r="AB67" i="19"/>
  <c r="AH67" i="19" s="1"/>
  <c r="AB68" i="19"/>
  <c r="AH68" i="19" s="1"/>
  <c r="AB69" i="19"/>
  <c r="AH69" i="19" s="1"/>
  <c r="AB70" i="19"/>
  <c r="AH70" i="19" s="1"/>
  <c r="AB71" i="19"/>
  <c r="AH71" i="19" s="1"/>
  <c r="AB72" i="19"/>
  <c r="AH72" i="19" s="1"/>
  <c r="AB73" i="19"/>
  <c r="AH73" i="19" s="1"/>
  <c r="AB74" i="19"/>
  <c r="AH74" i="19" s="1"/>
  <c r="AB75" i="19"/>
  <c r="AH75" i="19" s="1"/>
  <c r="AB76" i="19"/>
  <c r="AH76" i="19" s="1"/>
  <c r="AB77" i="19"/>
  <c r="AH77" i="19" s="1"/>
  <c r="AB78" i="19"/>
  <c r="AH78" i="19" s="1"/>
  <c r="AB79" i="19"/>
  <c r="AH79" i="19" s="1"/>
  <c r="AB80" i="19"/>
  <c r="AH80" i="19" s="1"/>
  <c r="AB81" i="19"/>
  <c r="AH81" i="19" s="1"/>
  <c r="AB82" i="19"/>
  <c r="AH82" i="19" s="1"/>
  <c r="AB83" i="19"/>
  <c r="AH83" i="19" s="1"/>
  <c r="AB84" i="19"/>
  <c r="AH84" i="19" s="1"/>
  <c r="AB85" i="19"/>
  <c r="AH85" i="19" s="1"/>
  <c r="AB86" i="19"/>
  <c r="AH86" i="19" s="1"/>
  <c r="AB87" i="19"/>
  <c r="AH87" i="19" s="1"/>
  <c r="AB88" i="19"/>
  <c r="AH88" i="19" s="1"/>
  <c r="AB89" i="19"/>
  <c r="AH89" i="19" s="1"/>
  <c r="AB90" i="19"/>
  <c r="AH90" i="19" s="1"/>
  <c r="AB91" i="19"/>
  <c r="AH91" i="19" s="1"/>
  <c r="AB92" i="19"/>
  <c r="AH92" i="19" s="1"/>
  <c r="AB93" i="19"/>
  <c r="AH93" i="19" s="1"/>
  <c r="AB94" i="19"/>
  <c r="AH94" i="19" s="1"/>
  <c r="AB95" i="19"/>
  <c r="AH95" i="19" s="1"/>
  <c r="AB96" i="19"/>
  <c r="AH96" i="19" s="1"/>
  <c r="AB97" i="19"/>
  <c r="AH97" i="19" s="1"/>
  <c r="AB98" i="19"/>
  <c r="AH98" i="19" s="1"/>
  <c r="AB99" i="19"/>
  <c r="AH99" i="19" s="1"/>
  <c r="AB100" i="19"/>
  <c r="AH100" i="19" s="1"/>
  <c r="AB101" i="19"/>
  <c r="AH101" i="19" s="1"/>
  <c r="AB102" i="19"/>
  <c r="AH102" i="19" s="1"/>
  <c r="AB103" i="19"/>
  <c r="AH103" i="19" s="1"/>
  <c r="AB104" i="19"/>
  <c r="AH104" i="19" s="1"/>
  <c r="AB105" i="19"/>
  <c r="AH105" i="19" s="1"/>
  <c r="AB106" i="19"/>
  <c r="AH106" i="19" s="1"/>
  <c r="AB107" i="19"/>
  <c r="AH107" i="19" s="1"/>
  <c r="AB108" i="19"/>
  <c r="AH108" i="19" s="1"/>
  <c r="AB109" i="19"/>
  <c r="AH109" i="19" s="1"/>
  <c r="AB110" i="19"/>
  <c r="AH110" i="19" s="1"/>
  <c r="AB111" i="19"/>
  <c r="AH111" i="19" s="1"/>
  <c r="AB112" i="19"/>
  <c r="AH112" i="19" s="1"/>
  <c r="AB113" i="19"/>
  <c r="AH113" i="19" s="1"/>
  <c r="AB114" i="19"/>
  <c r="AH114" i="19" s="1"/>
  <c r="AB115" i="19"/>
  <c r="AH115" i="19" s="1"/>
  <c r="AB116" i="19"/>
  <c r="AH116" i="19" s="1"/>
  <c r="AB117" i="19"/>
  <c r="AH117" i="19" s="1"/>
  <c r="AB118" i="19"/>
  <c r="AH118" i="19" s="1"/>
  <c r="AB119" i="19"/>
  <c r="AH119" i="19" s="1"/>
  <c r="AB120" i="19"/>
  <c r="AH120" i="19" s="1"/>
  <c r="AB121" i="19"/>
  <c r="AH121" i="19" s="1"/>
  <c r="AB122" i="19"/>
  <c r="AH122" i="19" s="1"/>
  <c r="AB123" i="19"/>
  <c r="AH123" i="19" s="1"/>
  <c r="AB124" i="19"/>
  <c r="AH124" i="19" s="1"/>
  <c r="AB125" i="19"/>
  <c r="AH125" i="19" s="1"/>
  <c r="AB126" i="19"/>
  <c r="AH126" i="19" s="1"/>
  <c r="AB127" i="19"/>
  <c r="AH127" i="19" s="1"/>
  <c r="AB128" i="19"/>
  <c r="AH128" i="19" s="1"/>
  <c r="AB129" i="19"/>
  <c r="AH129" i="19" s="1"/>
  <c r="AB130" i="19"/>
  <c r="AH130" i="19" s="1"/>
  <c r="AB131" i="19"/>
  <c r="AH131" i="19" s="1"/>
  <c r="AB132" i="19"/>
  <c r="AH132" i="19" s="1"/>
  <c r="AB133" i="19"/>
  <c r="AH133" i="19" s="1"/>
  <c r="AB134" i="19"/>
  <c r="AH134" i="19" s="1"/>
  <c r="AB135" i="19"/>
  <c r="AH135" i="19" s="1"/>
  <c r="AB136" i="19"/>
  <c r="AH136" i="19" s="1"/>
  <c r="AB137" i="19"/>
  <c r="AH137" i="19" s="1"/>
  <c r="AB138" i="19"/>
  <c r="AH138" i="19" s="1"/>
  <c r="AB139" i="19"/>
  <c r="AH139" i="19" s="1"/>
  <c r="AB140" i="19"/>
  <c r="AH140" i="19" s="1"/>
  <c r="AB141" i="19"/>
  <c r="AH141" i="19" s="1"/>
  <c r="AB142" i="19"/>
  <c r="AH142" i="19" s="1"/>
  <c r="AB143" i="19"/>
  <c r="AH143" i="19" s="1"/>
  <c r="AB144" i="19"/>
  <c r="AH144" i="19" s="1"/>
  <c r="AB145" i="19"/>
  <c r="AH145" i="19" s="1"/>
  <c r="AB146" i="19"/>
  <c r="AH146" i="19" s="1"/>
  <c r="AB147" i="19"/>
  <c r="AH147" i="19" s="1"/>
  <c r="AB148" i="19"/>
  <c r="AH148" i="19" s="1"/>
  <c r="AB149" i="19"/>
  <c r="AH149" i="19" s="1"/>
  <c r="AB150" i="19"/>
  <c r="AH150" i="19" s="1"/>
  <c r="AB151" i="19"/>
  <c r="AH151" i="19" s="1"/>
  <c r="AB152" i="19"/>
  <c r="AH152" i="19" s="1"/>
  <c r="AB153" i="19"/>
  <c r="AH153" i="19" s="1"/>
  <c r="AB154" i="19"/>
  <c r="AH154" i="19" s="1"/>
  <c r="AB155" i="19"/>
  <c r="AH155" i="19" s="1"/>
  <c r="AB156" i="19"/>
  <c r="AH156" i="19" s="1"/>
  <c r="AB157" i="19"/>
  <c r="AH157" i="19" s="1"/>
  <c r="AB158" i="19"/>
  <c r="AH158" i="19" s="1"/>
  <c r="AB159" i="19"/>
  <c r="AH159" i="19" s="1"/>
  <c r="AB160" i="19"/>
  <c r="AH160" i="19" s="1"/>
  <c r="AB161" i="19"/>
  <c r="AH161" i="19" s="1"/>
  <c r="AB162" i="19"/>
  <c r="AH162" i="19" s="1"/>
  <c r="AB163" i="19"/>
  <c r="AH163" i="19" s="1"/>
  <c r="AB164" i="19"/>
  <c r="AH164" i="19" s="1"/>
  <c r="AB165" i="19"/>
  <c r="AH165" i="19" s="1"/>
  <c r="AB166" i="19"/>
  <c r="AH166" i="19" s="1"/>
  <c r="AB167" i="19"/>
  <c r="AH167" i="19" s="1"/>
  <c r="AB168" i="19"/>
  <c r="AH168" i="19" s="1"/>
  <c r="AB169" i="19"/>
  <c r="AH169" i="19" s="1"/>
  <c r="AB170" i="19"/>
  <c r="AH170" i="19" s="1"/>
  <c r="AB171" i="19"/>
  <c r="AH171" i="19" s="1"/>
  <c r="AB172" i="19"/>
  <c r="AH172" i="19" s="1"/>
  <c r="AB173" i="19"/>
  <c r="AH173" i="19" s="1"/>
  <c r="AB174" i="19"/>
  <c r="AH174" i="19" s="1"/>
  <c r="AB175" i="19"/>
  <c r="AH175" i="19" s="1"/>
  <c r="AB176" i="19"/>
  <c r="AH176" i="19" s="1"/>
  <c r="AB177" i="19"/>
  <c r="AH177" i="19" s="1"/>
  <c r="AB178" i="19"/>
  <c r="AH178" i="19" s="1"/>
  <c r="AB179" i="19"/>
  <c r="AH179" i="19" s="1"/>
  <c r="AB180" i="19"/>
  <c r="AH180" i="19" s="1"/>
  <c r="AB181" i="19"/>
  <c r="AH181" i="19" s="1"/>
  <c r="AB182" i="19"/>
  <c r="AH182" i="19" s="1"/>
  <c r="AB183" i="19"/>
  <c r="AH183" i="19" s="1"/>
  <c r="AB184" i="19"/>
  <c r="AH184" i="19" s="1"/>
  <c r="AB185" i="19"/>
  <c r="AH185" i="19" s="1"/>
  <c r="AB186" i="19"/>
  <c r="AH186" i="19" s="1"/>
  <c r="AB187" i="19"/>
  <c r="AH187" i="19" s="1"/>
  <c r="AB188" i="19"/>
  <c r="AH188" i="19" s="1"/>
  <c r="AB189" i="19"/>
  <c r="AH189" i="19" s="1"/>
  <c r="AB190" i="19"/>
  <c r="AH190" i="19" s="1"/>
  <c r="AB191" i="19"/>
  <c r="AH191" i="19" s="1"/>
  <c r="AB192" i="19"/>
  <c r="AH192" i="19" s="1"/>
  <c r="AB193" i="19"/>
  <c r="AH193" i="19" s="1"/>
  <c r="AB194" i="19"/>
  <c r="AH194" i="19" s="1"/>
  <c r="AB195" i="19"/>
  <c r="AH195" i="19" s="1"/>
  <c r="AB196" i="19"/>
  <c r="AH196" i="19" s="1"/>
  <c r="AB197" i="19"/>
  <c r="AH197" i="19" s="1"/>
  <c r="AB198" i="19"/>
  <c r="AH198" i="19" s="1"/>
  <c r="AB199" i="19"/>
  <c r="AH199" i="19" s="1"/>
  <c r="AB200" i="19"/>
  <c r="AH200" i="19" s="1"/>
  <c r="AB201" i="19"/>
  <c r="AH201" i="19" s="1"/>
  <c r="AB202" i="19"/>
  <c r="AH202" i="19" s="1"/>
  <c r="AB203" i="19"/>
  <c r="AH203" i="19" s="1"/>
  <c r="AB204" i="19"/>
  <c r="AH204" i="19" s="1"/>
  <c r="AB205" i="19"/>
  <c r="AH205" i="19" s="1"/>
  <c r="AB206" i="19"/>
  <c r="AH206" i="19" s="1"/>
  <c r="AB207" i="19"/>
  <c r="AH207" i="19" s="1"/>
  <c r="AB208" i="19"/>
  <c r="AH208" i="19" s="1"/>
  <c r="AB209" i="19"/>
  <c r="AH209" i="19" s="1"/>
  <c r="AB210" i="19"/>
  <c r="AH210" i="19" s="1"/>
  <c r="AB211" i="19"/>
  <c r="AH211" i="19" s="1"/>
  <c r="AB212" i="19"/>
  <c r="AH212" i="19" s="1"/>
  <c r="AB213" i="19"/>
  <c r="AH213" i="19" s="1"/>
  <c r="AB214" i="19"/>
  <c r="AH214" i="19" s="1"/>
  <c r="AB215" i="19"/>
  <c r="AH215" i="19" s="1"/>
  <c r="AB216" i="19"/>
  <c r="AH216" i="19" s="1"/>
  <c r="AB217" i="19"/>
  <c r="AH217" i="19" s="1"/>
  <c r="AB218" i="19"/>
  <c r="AH218" i="19" s="1"/>
  <c r="AB219" i="19"/>
  <c r="AH219" i="19" s="1"/>
  <c r="AB220" i="19"/>
  <c r="AH220" i="19" s="1"/>
  <c r="AB221" i="19"/>
  <c r="AH221" i="19" s="1"/>
  <c r="AB222" i="19"/>
  <c r="AH222" i="19" s="1"/>
  <c r="AB223" i="19"/>
  <c r="AH223" i="19" s="1"/>
  <c r="AB224" i="19"/>
  <c r="AH224" i="19" s="1"/>
  <c r="AB225" i="19"/>
  <c r="AH225" i="19" s="1"/>
  <c r="AB226" i="19"/>
  <c r="AH226" i="19" s="1"/>
  <c r="AB2" i="19"/>
  <c r="AH2" i="19" s="1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O253" i="17"/>
  <c r="O252" i="17"/>
  <c r="O251" i="17"/>
  <c r="O250" i="17"/>
  <c r="O249" i="17"/>
  <c r="O248" i="17"/>
  <c r="O247" i="17"/>
  <c r="O246" i="17"/>
  <c r="O244" i="17"/>
  <c r="O243" i="17"/>
  <c r="O242" i="17"/>
  <c r="O241" i="17"/>
  <c r="O240" i="17"/>
  <c r="O239" i="17"/>
  <c r="O238" i="17"/>
  <c r="O237" i="17"/>
  <c r="O235" i="17"/>
  <c r="O234" i="17"/>
  <c r="O233" i="17"/>
  <c r="O232" i="17"/>
  <c r="O231" i="17"/>
  <c r="O230" i="17"/>
  <c r="O229" i="17"/>
  <c r="O228" i="17"/>
  <c r="O226" i="17"/>
  <c r="O225" i="17"/>
  <c r="O224" i="17"/>
  <c r="O223" i="17"/>
  <c r="O222" i="17"/>
  <c r="O221" i="17"/>
  <c r="O220" i="17"/>
  <c r="O219" i="17"/>
  <c r="O217" i="17"/>
  <c r="O216" i="17"/>
  <c r="O215" i="17"/>
  <c r="O214" i="17"/>
  <c r="O213" i="17"/>
  <c r="O212" i="17"/>
  <c r="O211" i="17"/>
  <c r="O210" i="17"/>
  <c r="O208" i="17"/>
  <c r="O207" i="17"/>
  <c r="O206" i="17"/>
  <c r="O205" i="17"/>
  <c r="O204" i="17"/>
  <c r="O203" i="17"/>
  <c r="O202" i="17"/>
  <c r="O201" i="17"/>
  <c r="O199" i="17"/>
  <c r="O198" i="17"/>
  <c r="O197" i="17"/>
  <c r="O196" i="17"/>
  <c r="O195" i="17"/>
  <c r="O194" i="17"/>
  <c r="O193" i="17"/>
  <c r="O192" i="17"/>
  <c r="O190" i="17"/>
  <c r="O189" i="17"/>
  <c r="O188" i="17"/>
  <c r="O187" i="17"/>
  <c r="O186" i="17"/>
  <c r="O185" i="17"/>
  <c r="O184" i="17"/>
  <c r="O183" i="17"/>
  <c r="O181" i="17"/>
  <c r="O180" i="17"/>
  <c r="O179" i="17"/>
  <c r="O178" i="17"/>
  <c r="O177" i="17"/>
  <c r="O176" i="17"/>
  <c r="O175" i="17"/>
  <c r="O174" i="17"/>
  <c r="O172" i="17"/>
  <c r="O171" i="17"/>
  <c r="O170" i="17"/>
  <c r="O169" i="17"/>
  <c r="O168" i="17"/>
  <c r="O167" i="17"/>
  <c r="O166" i="17"/>
  <c r="O165" i="17"/>
  <c r="O163" i="17"/>
  <c r="O162" i="17"/>
  <c r="O161" i="17"/>
  <c r="O160" i="17"/>
  <c r="O159" i="17"/>
  <c r="O158" i="17"/>
  <c r="O157" i="17"/>
  <c r="O156" i="17"/>
  <c r="O154" i="17"/>
  <c r="O153" i="17"/>
  <c r="O152" i="17"/>
  <c r="O151" i="17"/>
  <c r="O150" i="17"/>
  <c r="O149" i="17"/>
  <c r="O148" i="17"/>
  <c r="O147" i="17"/>
  <c r="O145" i="17"/>
  <c r="O144" i="17"/>
  <c r="O143" i="17"/>
  <c r="O142" i="17"/>
  <c r="O141" i="17"/>
  <c r="O140" i="17"/>
  <c r="O139" i="17"/>
  <c r="O138" i="17"/>
  <c r="O136" i="17"/>
  <c r="O135" i="17"/>
  <c r="O134" i="17"/>
  <c r="O133" i="17"/>
  <c r="O132" i="17"/>
  <c r="O131" i="17"/>
  <c r="O130" i="17"/>
  <c r="O129" i="17"/>
  <c r="O127" i="17"/>
  <c r="O126" i="17"/>
  <c r="O125" i="17"/>
  <c r="O124" i="17"/>
  <c r="O123" i="17"/>
  <c r="O122" i="17"/>
  <c r="O121" i="17"/>
  <c r="O120" i="17"/>
  <c r="O118" i="17"/>
  <c r="O117" i="17"/>
  <c r="O116" i="17"/>
  <c r="O115" i="17"/>
  <c r="O114" i="17"/>
  <c r="O113" i="17"/>
  <c r="O112" i="17"/>
  <c r="O111" i="17"/>
  <c r="O109" i="17"/>
  <c r="O108" i="17"/>
  <c r="O107" i="17"/>
  <c r="O106" i="17"/>
  <c r="O105" i="17"/>
  <c r="O104" i="17"/>
  <c r="O103" i="17"/>
  <c r="O102" i="17"/>
  <c r="O100" i="17"/>
  <c r="O99" i="17"/>
  <c r="O98" i="17"/>
  <c r="O97" i="17"/>
  <c r="O96" i="17"/>
  <c r="O95" i="17"/>
  <c r="O94" i="17"/>
  <c r="O93" i="17"/>
  <c r="O91" i="17"/>
  <c r="O90" i="17"/>
  <c r="O89" i="17"/>
  <c r="O88" i="17"/>
  <c r="O87" i="17"/>
  <c r="O86" i="17"/>
  <c r="O85" i="17"/>
  <c r="O84" i="17"/>
  <c r="O82" i="17"/>
  <c r="O81" i="17"/>
  <c r="O80" i="17"/>
  <c r="O79" i="17"/>
  <c r="O78" i="17"/>
  <c r="O77" i="17"/>
  <c r="O76" i="17"/>
  <c r="O75" i="17"/>
  <c r="O73" i="17"/>
  <c r="O72" i="17"/>
  <c r="O71" i="17"/>
  <c r="O70" i="17"/>
  <c r="O69" i="17"/>
  <c r="O68" i="17"/>
  <c r="O67" i="17"/>
  <c r="O66" i="17"/>
  <c r="O64" i="17"/>
  <c r="O63" i="17"/>
  <c r="O62" i="17"/>
  <c r="O61" i="17"/>
  <c r="O60" i="17"/>
  <c r="O59" i="17"/>
  <c r="O58" i="17"/>
  <c r="O57" i="17"/>
  <c r="O55" i="17"/>
  <c r="O54" i="17"/>
  <c r="O53" i="17"/>
  <c r="O52" i="17"/>
  <c r="O51" i="17"/>
  <c r="O50" i="17"/>
  <c r="O49" i="17"/>
  <c r="O48" i="17"/>
  <c r="O46" i="17"/>
  <c r="O45" i="17"/>
  <c r="O44" i="17"/>
  <c r="O43" i="17"/>
  <c r="O42" i="17"/>
  <c r="O41" i="17"/>
  <c r="O40" i="17"/>
  <c r="O39" i="17"/>
  <c r="O37" i="17"/>
  <c r="O36" i="17"/>
  <c r="O35" i="17"/>
  <c r="O34" i="17"/>
  <c r="O33" i="17"/>
  <c r="O32" i="17"/>
  <c r="O31" i="17"/>
  <c r="O30" i="17"/>
  <c r="O28" i="17"/>
  <c r="O27" i="17"/>
  <c r="O26" i="17"/>
  <c r="O25" i="17"/>
  <c r="O24" i="17"/>
  <c r="O23" i="17"/>
  <c r="O22" i="17"/>
  <c r="O21" i="17"/>
  <c r="O19" i="17"/>
  <c r="O18" i="17"/>
  <c r="O17" i="17"/>
  <c r="O16" i="17"/>
  <c r="O15" i="17"/>
  <c r="O14" i="17"/>
  <c r="O13" i="17"/>
  <c r="O12" i="17"/>
  <c r="O10" i="17"/>
  <c r="O9" i="17"/>
  <c r="O8" i="17"/>
  <c r="O7" i="17"/>
  <c r="O6" i="17"/>
  <c r="O5" i="17"/>
  <c r="O4" i="17"/>
  <c r="O3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" i="17"/>
  <c r="S2" i="15"/>
  <c r="W3" i="18"/>
  <c r="W4" i="18"/>
  <c r="W5" i="18"/>
  <c r="W6" i="18"/>
  <c r="W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54" i="18"/>
  <c r="W55" i="18"/>
  <c r="W2" i="18"/>
  <c r="V3" i="18"/>
  <c r="V4" i="18"/>
  <c r="V5" i="18"/>
  <c r="V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25" i="18"/>
  <c r="V26" i="18"/>
  <c r="V27" i="18"/>
  <c r="V28" i="18"/>
  <c r="V29" i="18"/>
  <c r="V30" i="18"/>
  <c r="V31" i="18"/>
  <c r="V32" i="18"/>
  <c r="V33" i="18"/>
  <c r="V34" i="18"/>
  <c r="V35" i="18"/>
  <c r="V36" i="18"/>
  <c r="V37" i="18"/>
  <c r="V38" i="18"/>
  <c r="V39" i="18"/>
  <c r="V40" i="18"/>
  <c r="V41" i="18"/>
  <c r="V42" i="18"/>
  <c r="V43" i="18"/>
  <c r="V44" i="18"/>
  <c r="V45" i="18"/>
  <c r="V46" i="18"/>
  <c r="V47" i="18"/>
  <c r="V48" i="18"/>
  <c r="V49" i="18"/>
  <c r="V50" i="18"/>
  <c r="V51" i="18"/>
  <c r="V52" i="18"/>
  <c r="V53" i="18"/>
  <c r="V54" i="18"/>
  <c r="V55" i="18"/>
  <c r="V2" i="18"/>
  <c r="U3" i="18"/>
  <c r="U4" i="18"/>
  <c r="U5" i="18"/>
  <c r="U6" i="18"/>
  <c r="U7" i="18"/>
  <c r="U8" i="18"/>
  <c r="U9" i="18"/>
  <c r="U10" i="18"/>
  <c r="U11" i="18"/>
  <c r="U12" i="18"/>
  <c r="U13" i="18"/>
  <c r="U14" i="18"/>
  <c r="U15" i="18"/>
  <c r="U16" i="18"/>
  <c r="U17" i="18"/>
  <c r="U18" i="18"/>
  <c r="U19" i="18"/>
  <c r="U20" i="18"/>
  <c r="U21" i="18"/>
  <c r="U22" i="18"/>
  <c r="U23" i="18"/>
  <c r="U24" i="18"/>
  <c r="U25" i="18"/>
  <c r="U26" i="18"/>
  <c r="U27" i="18"/>
  <c r="U28" i="18"/>
  <c r="U29" i="18"/>
  <c r="U30" i="18"/>
  <c r="U31" i="18"/>
  <c r="U32" i="18"/>
  <c r="U33" i="18"/>
  <c r="U34" i="18"/>
  <c r="U35" i="18"/>
  <c r="U36" i="18"/>
  <c r="U37" i="18"/>
  <c r="U38" i="18"/>
  <c r="U39" i="18"/>
  <c r="U40" i="18"/>
  <c r="U41" i="18"/>
  <c r="U42" i="18"/>
  <c r="U43" i="18"/>
  <c r="U44" i="18"/>
  <c r="U45" i="18"/>
  <c r="U46" i="18"/>
  <c r="U47" i="18"/>
  <c r="U48" i="18"/>
  <c r="U49" i="18"/>
  <c r="U50" i="18"/>
  <c r="U51" i="18"/>
  <c r="U52" i="18"/>
  <c r="U53" i="18"/>
  <c r="U54" i="18"/>
  <c r="U55" i="18"/>
  <c r="U2" i="18"/>
  <c r="T3" i="18"/>
  <c r="T4" i="18"/>
  <c r="T5" i="18"/>
  <c r="T6" i="18"/>
  <c r="T7" i="18"/>
  <c r="T9" i="18"/>
  <c r="T10" i="18"/>
  <c r="T11" i="18"/>
  <c r="T12" i="18"/>
  <c r="T13" i="18"/>
  <c r="T14" i="18"/>
  <c r="T15" i="18"/>
  <c r="T16" i="18"/>
  <c r="T18" i="18"/>
  <c r="T19" i="18"/>
  <c r="T20" i="18"/>
  <c r="T21" i="18"/>
  <c r="T22" i="18"/>
  <c r="T23" i="18"/>
  <c r="T24" i="18"/>
  <c r="T25" i="18"/>
  <c r="T27" i="18"/>
  <c r="T28" i="18"/>
  <c r="T29" i="18"/>
  <c r="T30" i="18"/>
  <c r="T31" i="18"/>
  <c r="T32" i="18"/>
  <c r="T33" i="18"/>
  <c r="T34" i="18"/>
  <c r="T36" i="18"/>
  <c r="T37" i="18"/>
  <c r="T38" i="18"/>
  <c r="T39" i="18"/>
  <c r="T40" i="18"/>
  <c r="T41" i="18"/>
  <c r="T42" i="18"/>
  <c r="T43" i="18"/>
  <c r="T45" i="18"/>
  <c r="T46" i="18"/>
  <c r="T47" i="18"/>
  <c r="T48" i="18"/>
  <c r="T49" i="18"/>
  <c r="T50" i="18"/>
  <c r="T51" i="18"/>
  <c r="T52" i="18"/>
  <c r="T54" i="18"/>
  <c r="T55" i="18"/>
  <c r="T2" i="18"/>
  <c r="S3" i="18"/>
  <c r="S4" i="18"/>
  <c r="S5" i="18"/>
  <c r="S6" i="18"/>
  <c r="S7" i="18"/>
  <c r="S8" i="18"/>
  <c r="S9" i="18"/>
  <c r="S10" i="18"/>
  <c r="S11" i="18"/>
  <c r="S12" i="18"/>
  <c r="S13" i="18"/>
  <c r="S14" i="18"/>
  <c r="S15" i="18"/>
  <c r="S16" i="18"/>
  <c r="S17" i="18"/>
  <c r="S18" i="18"/>
  <c r="S19" i="18"/>
  <c r="S20" i="18"/>
  <c r="S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36" i="18"/>
  <c r="S37" i="18"/>
  <c r="S38" i="18"/>
  <c r="S39" i="18"/>
  <c r="S40" i="18"/>
  <c r="S41" i="18"/>
  <c r="S42" i="18"/>
  <c r="S43" i="18"/>
  <c r="S44" i="18"/>
  <c r="S45" i="18"/>
  <c r="S46" i="18"/>
  <c r="S47" i="18"/>
  <c r="S48" i="18"/>
  <c r="S49" i="18"/>
  <c r="S50" i="18"/>
  <c r="S51" i="18"/>
  <c r="S52" i="18"/>
  <c r="S53" i="18"/>
  <c r="S54" i="18"/>
  <c r="S55" i="18"/>
  <c r="S2" i="18"/>
  <c r="R3" i="18"/>
  <c r="R4" i="18"/>
  <c r="R5" i="18"/>
  <c r="R6" i="18"/>
  <c r="R7" i="18"/>
  <c r="R8" i="18"/>
  <c r="R9" i="18"/>
  <c r="R10" i="18"/>
  <c r="R11" i="18"/>
  <c r="R12" i="18"/>
  <c r="R13" i="18"/>
  <c r="R14" i="18"/>
  <c r="R15" i="18"/>
  <c r="R16" i="18"/>
  <c r="R17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R36" i="18"/>
  <c r="R37" i="18"/>
  <c r="R38" i="18"/>
  <c r="R39" i="18"/>
  <c r="R40" i="18"/>
  <c r="R41" i="18"/>
  <c r="R42" i="18"/>
  <c r="R43" i="18"/>
  <c r="R44" i="18"/>
  <c r="R45" i="18"/>
  <c r="R46" i="18"/>
  <c r="R47" i="18"/>
  <c r="R48" i="18"/>
  <c r="R49" i="18"/>
  <c r="R50" i="18"/>
  <c r="R51" i="18"/>
  <c r="R52" i="18"/>
  <c r="R53" i="18"/>
  <c r="R54" i="18"/>
  <c r="R55" i="18"/>
  <c r="R2" i="18"/>
  <c r="B13" i="15"/>
  <c r="B12" i="15"/>
  <c r="C14" i="15"/>
  <c r="D14" i="15"/>
  <c r="E14" i="15"/>
  <c r="F14" i="15"/>
  <c r="G14" i="15"/>
  <c r="H14" i="15"/>
  <c r="I14" i="15"/>
  <c r="J14" i="15"/>
  <c r="K14" i="15"/>
  <c r="B14" i="15"/>
  <c r="C13" i="15"/>
  <c r="D13" i="15"/>
  <c r="E13" i="15"/>
  <c r="F13" i="15"/>
  <c r="G13" i="15"/>
  <c r="H13" i="15"/>
  <c r="I13" i="15"/>
  <c r="J13" i="15"/>
  <c r="K13" i="15"/>
  <c r="C12" i="15"/>
  <c r="D12" i="15"/>
  <c r="E12" i="15"/>
  <c r="F12" i="15"/>
  <c r="G12" i="15"/>
  <c r="H12" i="15"/>
  <c r="I12" i="15"/>
  <c r="J12" i="15"/>
  <c r="K12" i="15"/>
  <c r="K98" i="15"/>
  <c r="J98" i="15"/>
  <c r="J71" i="15"/>
  <c r="K71" i="15"/>
  <c r="K44" i="15"/>
  <c r="J44" i="15"/>
  <c r="C53" i="18"/>
  <c r="T53" i="18" s="1"/>
  <c r="C44" i="18"/>
  <c r="T44" i="18" s="1"/>
  <c r="C35" i="18"/>
  <c r="T35" i="18" s="1"/>
  <c r="C26" i="18"/>
  <c r="T26" i="18" s="1"/>
  <c r="C17" i="18"/>
  <c r="T17" i="18" s="1"/>
  <c r="C8" i="18"/>
  <c r="T8" i="18" s="1"/>
  <c r="C251" i="17"/>
  <c r="Q251" i="17" s="1"/>
  <c r="C242" i="17"/>
  <c r="Q242" i="17" s="1"/>
  <c r="C233" i="17"/>
  <c r="Q233" i="17" s="1"/>
  <c r="C224" i="17"/>
  <c r="Q224" i="17" s="1"/>
  <c r="C215" i="17"/>
  <c r="Q215" i="17" s="1"/>
  <c r="C206" i="17"/>
  <c r="R206" i="17" s="1"/>
  <c r="C197" i="17"/>
  <c r="R197" i="17" s="1"/>
  <c r="C188" i="17"/>
  <c r="Q188" i="17" s="1"/>
  <c r="C179" i="17"/>
  <c r="R179" i="17" s="1"/>
  <c r="C170" i="17"/>
  <c r="R170" i="17" s="1"/>
  <c r="C161" i="17"/>
  <c r="Q161" i="17" s="1"/>
  <c r="C152" i="17"/>
  <c r="Q152" i="17" s="1"/>
  <c r="C143" i="17"/>
  <c r="Q143" i="17" s="1"/>
  <c r="C134" i="17"/>
  <c r="R134" i="17" s="1"/>
  <c r="C125" i="17"/>
  <c r="Q125" i="17" s="1"/>
  <c r="C116" i="17"/>
  <c r="Q116" i="17" s="1"/>
  <c r="C107" i="17"/>
  <c r="Q107" i="17" s="1"/>
  <c r="C98" i="17"/>
  <c r="Q98" i="17" s="1"/>
  <c r="C89" i="17"/>
  <c r="Q89" i="17" s="1"/>
  <c r="C80" i="17"/>
  <c r="Q80" i="17" s="1"/>
  <c r="C71" i="17"/>
  <c r="R71" i="17" s="1"/>
  <c r="C62" i="17"/>
  <c r="Q62" i="17" s="1"/>
  <c r="T62" i="17" s="1"/>
  <c r="W62" i="17" s="1"/>
  <c r="C53" i="17"/>
  <c r="R53" i="17" s="1"/>
  <c r="C44" i="17"/>
  <c r="R44" i="17" s="1"/>
  <c r="C35" i="17"/>
  <c r="Q35" i="17" s="1"/>
  <c r="C26" i="17"/>
  <c r="Q26" i="17" s="1"/>
  <c r="C17" i="17"/>
  <c r="Q17" i="17" s="1"/>
  <c r="C8" i="17"/>
  <c r="R8" i="17" s="1"/>
  <c r="D245" i="17"/>
  <c r="O245" i="17" s="1"/>
  <c r="D236" i="17"/>
  <c r="O236" i="17" s="1"/>
  <c r="D227" i="17"/>
  <c r="O227" i="17" s="1"/>
  <c r="D218" i="17"/>
  <c r="O218" i="17" s="1"/>
  <c r="D209" i="17"/>
  <c r="O209" i="17" s="1"/>
  <c r="D200" i="17"/>
  <c r="D191" i="17"/>
  <c r="D182" i="17"/>
  <c r="O182" i="17" s="1"/>
  <c r="D173" i="17"/>
  <c r="D164" i="17"/>
  <c r="D155" i="17"/>
  <c r="O155" i="17" s="1"/>
  <c r="D146" i="17"/>
  <c r="D137" i="17"/>
  <c r="D128" i="17"/>
  <c r="O128" i="17" s="1"/>
  <c r="D119" i="17"/>
  <c r="O119" i="17" s="1"/>
  <c r="D110" i="17"/>
  <c r="O110" i="17" s="1"/>
  <c r="D101" i="17"/>
  <c r="O101" i="17" s="1"/>
  <c r="D92" i="17"/>
  <c r="O92" i="17" s="1"/>
  <c r="D83" i="17"/>
  <c r="O83" i="17" s="1"/>
  <c r="D74" i="17"/>
  <c r="O74" i="17" s="1"/>
  <c r="D65" i="17"/>
  <c r="D56" i="17"/>
  <c r="O56" i="17" s="1"/>
  <c r="D47" i="17"/>
  <c r="D38" i="17"/>
  <c r="D29" i="17"/>
  <c r="O29" i="17" s="1"/>
  <c r="D20" i="17"/>
  <c r="D11" i="17"/>
  <c r="D2" i="17"/>
  <c r="Q44" i="17" l="1"/>
  <c r="Y17" i="18"/>
  <c r="Y35" i="18"/>
  <c r="Y53" i="18"/>
  <c r="X8" i="18"/>
  <c r="X26" i="18"/>
  <c r="X53" i="18"/>
  <c r="X35" i="18"/>
  <c r="X17" i="18"/>
  <c r="X44" i="18"/>
  <c r="Y44" i="18"/>
  <c r="Y26" i="18"/>
  <c r="Y8" i="18"/>
  <c r="Q71" i="17"/>
  <c r="T71" i="17" s="1"/>
  <c r="W71" i="17" s="1"/>
  <c r="R233" i="17"/>
  <c r="U233" i="17" s="1"/>
  <c r="X233" i="17" s="1"/>
  <c r="R107" i="17"/>
  <c r="U107" i="17" s="1"/>
  <c r="X107" i="17" s="1"/>
  <c r="R224" i="17"/>
  <c r="U224" i="17" s="1"/>
  <c r="X224" i="17" s="1"/>
  <c r="R98" i="17"/>
  <c r="U98" i="17" s="1"/>
  <c r="X98" i="17" s="1"/>
  <c r="R80" i="17"/>
  <c r="U80" i="17" s="1"/>
  <c r="X80" i="17" s="1"/>
  <c r="Q206" i="17"/>
  <c r="T206" i="17" s="1"/>
  <c r="W206" i="17" s="1"/>
  <c r="Q170" i="17"/>
  <c r="T170" i="17" s="1"/>
  <c r="W170" i="17" s="1"/>
  <c r="Q197" i="17"/>
  <c r="T197" i="17" s="1"/>
  <c r="W197" i="17" s="1"/>
  <c r="Q179" i="17"/>
  <c r="T179" i="17" s="1"/>
  <c r="W179" i="17" s="1"/>
  <c r="O200" i="17"/>
  <c r="O2" i="17"/>
  <c r="O47" i="17"/>
  <c r="O173" i="17"/>
  <c r="R251" i="17"/>
  <c r="U251" i="17" s="1"/>
  <c r="X251" i="17" s="1"/>
  <c r="R125" i="17"/>
  <c r="U125" i="17" s="1"/>
  <c r="X125" i="17" s="1"/>
  <c r="O20" i="17"/>
  <c r="O146" i="17"/>
  <c r="R152" i="17"/>
  <c r="U152" i="17" s="1"/>
  <c r="X152" i="17" s="1"/>
  <c r="R26" i="17"/>
  <c r="U26" i="17" s="1"/>
  <c r="X26" i="17" s="1"/>
  <c r="O65" i="17"/>
  <c r="O191" i="17"/>
  <c r="O38" i="17"/>
  <c r="Q8" i="17"/>
  <c r="T8" i="17" s="1"/>
  <c r="W8" i="17" s="1"/>
  <c r="O164" i="17"/>
  <c r="Q134" i="17"/>
  <c r="T134" i="17" s="1"/>
  <c r="W134" i="17" s="1"/>
  <c r="O11" i="17"/>
  <c r="O137" i="17"/>
  <c r="R161" i="17"/>
  <c r="U161" i="17" s="1"/>
  <c r="X161" i="17" s="1"/>
  <c r="R35" i="17"/>
  <c r="U35" i="17" s="1"/>
  <c r="X35" i="17" s="1"/>
  <c r="Q53" i="17"/>
  <c r="T53" i="17" s="1"/>
  <c r="W53" i="17" s="1"/>
  <c r="R188" i="17"/>
  <c r="U188" i="17" s="1"/>
  <c r="X188" i="17" s="1"/>
  <c r="R62" i="17"/>
  <c r="U62" i="17" s="1"/>
  <c r="X62" i="17" s="1"/>
  <c r="R89" i="17"/>
  <c r="U89" i="17" s="1"/>
  <c r="X89" i="17" s="1"/>
  <c r="T215" i="17"/>
  <c r="W215" i="17" s="1"/>
  <c r="R242" i="17"/>
  <c r="U242" i="17" s="1"/>
  <c r="X242" i="17" s="1"/>
  <c r="R116" i="17"/>
  <c r="U116" i="17" s="1"/>
  <c r="X116" i="17" s="1"/>
  <c r="R215" i="17"/>
  <c r="U215" i="17" s="1"/>
  <c r="X215" i="17" s="1"/>
  <c r="R143" i="17"/>
  <c r="U143" i="17" s="1"/>
  <c r="X143" i="17" s="1"/>
  <c r="R17" i="17"/>
  <c r="U17" i="17" s="1"/>
  <c r="X17" i="17" s="1"/>
  <c r="T98" i="17"/>
  <c r="W98" i="17" s="1"/>
  <c r="T107" i="17"/>
  <c r="W107" i="17" s="1"/>
  <c r="U8" i="17"/>
  <c r="X8" i="17" s="1"/>
  <c r="T116" i="17"/>
  <c r="W116" i="17" s="1"/>
  <c r="T188" i="17"/>
  <c r="W188" i="17" s="1"/>
  <c r="T17" i="17"/>
  <c r="W17" i="17" s="1"/>
  <c r="T44" i="17"/>
  <c r="W44" i="17" s="1"/>
  <c r="T224" i="17"/>
  <c r="W224" i="17" s="1"/>
  <c r="T233" i="17"/>
  <c r="W233" i="17" s="1"/>
  <c r="T143" i="17"/>
  <c r="W143" i="17" s="1"/>
  <c r="U53" i="17"/>
  <c r="X53" i="17" s="1"/>
  <c r="T89" i="17"/>
  <c r="W89" i="17" s="1"/>
  <c r="T125" i="17"/>
  <c r="W125" i="17" s="1"/>
  <c r="T26" i="17"/>
  <c r="W26" i="17" s="1"/>
  <c r="T251" i="17"/>
  <c r="W251" i="17" s="1"/>
  <c r="U44" i="17"/>
  <c r="X44" i="17" s="1"/>
  <c r="T35" i="17"/>
  <c r="W35" i="17" s="1"/>
  <c r="U179" i="17"/>
  <c r="X179" i="17" s="1"/>
  <c r="U134" i="17"/>
  <c r="X134" i="17" s="1"/>
  <c r="U170" i="17"/>
  <c r="X170" i="17" s="1"/>
  <c r="T80" i="17"/>
  <c r="W80" i="17" s="1"/>
  <c r="U71" i="17"/>
  <c r="X71" i="17" s="1"/>
  <c r="T242" i="17"/>
  <c r="W242" i="17" s="1"/>
  <c r="U197" i="17"/>
  <c r="X197" i="17" s="1"/>
  <c r="T161" i="17"/>
  <c r="W161" i="17" s="1"/>
  <c r="T152" i="17"/>
  <c r="W152" i="17" s="1"/>
  <c r="U206" i="17"/>
  <c r="X206" i="17" s="1"/>
  <c r="C2" i="17"/>
  <c r="R2" i="17" s="1"/>
  <c r="C109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7" i="19"/>
  <c r="C6" i="19"/>
  <c r="C5" i="19"/>
  <c r="C4" i="19"/>
  <c r="C3" i="19"/>
  <c r="C2" i="19"/>
  <c r="C253" i="17"/>
  <c r="C252" i="17"/>
  <c r="C244" i="17"/>
  <c r="C243" i="17"/>
  <c r="C235" i="17"/>
  <c r="C234" i="17"/>
  <c r="C226" i="17"/>
  <c r="C225" i="17"/>
  <c r="C217" i="17"/>
  <c r="C216" i="17"/>
  <c r="C208" i="17"/>
  <c r="C207" i="17"/>
  <c r="C199" i="17"/>
  <c r="C198" i="17"/>
  <c r="C190" i="17"/>
  <c r="C189" i="17"/>
  <c r="C181" i="17"/>
  <c r="C180" i="17"/>
  <c r="C172" i="17"/>
  <c r="C171" i="17"/>
  <c r="C163" i="17"/>
  <c r="C162" i="17"/>
  <c r="C154" i="17"/>
  <c r="C153" i="17"/>
  <c r="C145" i="17"/>
  <c r="C144" i="17"/>
  <c r="C136" i="17"/>
  <c r="C135" i="17"/>
  <c r="C127" i="17"/>
  <c r="C126" i="17"/>
  <c r="C118" i="17"/>
  <c r="C117" i="17"/>
  <c r="C109" i="17"/>
  <c r="C108" i="17"/>
  <c r="C100" i="17"/>
  <c r="C99" i="17"/>
  <c r="C91" i="17"/>
  <c r="C90" i="17"/>
  <c r="C82" i="17"/>
  <c r="C81" i="17"/>
  <c r="C73" i="17"/>
  <c r="C72" i="17"/>
  <c r="C64" i="17"/>
  <c r="C63" i="17"/>
  <c r="C55" i="17"/>
  <c r="C54" i="17"/>
  <c r="C46" i="17"/>
  <c r="C45" i="17"/>
  <c r="C37" i="17"/>
  <c r="C36" i="17"/>
  <c r="C28" i="17"/>
  <c r="C27" i="17"/>
  <c r="C19" i="17"/>
  <c r="C18" i="17"/>
  <c r="C9" i="17"/>
  <c r="C10" i="17"/>
  <c r="C250" i="17"/>
  <c r="C249" i="17"/>
  <c r="C248" i="17"/>
  <c r="C247" i="17"/>
  <c r="C246" i="17"/>
  <c r="C245" i="17"/>
  <c r="C241" i="17"/>
  <c r="C240" i="17"/>
  <c r="C239" i="17"/>
  <c r="C238" i="17"/>
  <c r="C237" i="17"/>
  <c r="C236" i="17"/>
  <c r="C232" i="17"/>
  <c r="C231" i="17"/>
  <c r="C230" i="17"/>
  <c r="C229" i="17"/>
  <c r="C228" i="17"/>
  <c r="C227" i="17"/>
  <c r="Q227" i="17" s="1"/>
  <c r="C223" i="17"/>
  <c r="C222" i="17"/>
  <c r="C221" i="17"/>
  <c r="C220" i="17"/>
  <c r="C219" i="17"/>
  <c r="C218" i="17"/>
  <c r="R218" i="17" s="1"/>
  <c r="C214" i="17"/>
  <c r="C213" i="17"/>
  <c r="C212" i="17"/>
  <c r="C211" i="17"/>
  <c r="C210" i="17"/>
  <c r="C209" i="17"/>
  <c r="C205" i="17"/>
  <c r="C204" i="17"/>
  <c r="C203" i="17"/>
  <c r="C202" i="17"/>
  <c r="C201" i="17"/>
  <c r="C200" i="17"/>
  <c r="Q200" i="17" s="1"/>
  <c r="C196" i="17"/>
  <c r="C195" i="17"/>
  <c r="C194" i="17"/>
  <c r="C193" i="17"/>
  <c r="C192" i="17"/>
  <c r="C191" i="17"/>
  <c r="Q191" i="17" s="1"/>
  <c r="C187" i="17"/>
  <c r="C186" i="17"/>
  <c r="C185" i="17"/>
  <c r="C184" i="17"/>
  <c r="C183" i="17"/>
  <c r="C182" i="17"/>
  <c r="R182" i="17" s="1"/>
  <c r="C178" i="17"/>
  <c r="C177" i="17"/>
  <c r="C176" i="17"/>
  <c r="C175" i="17"/>
  <c r="C174" i="17"/>
  <c r="C173" i="17"/>
  <c r="R173" i="17" s="1"/>
  <c r="C169" i="17"/>
  <c r="C168" i="17"/>
  <c r="C167" i="17"/>
  <c r="C166" i="17"/>
  <c r="C165" i="17"/>
  <c r="C164" i="17"/>
  <c r="R164" i="17" s="1"/>
  <c r="C160" i="17"/>
  <c r="C159" i="17"/>
  <c r="C158" i="17"/>
  <c r="C157" i="17"/>
  <c r="C156" i="17"/>
  <c r="C155" i="17"/>
  <c r="C151" i="17"/>
  <c r="C150" i="17"/>
  <c r="C149" i="17"/>
  <c r="C148" i="17"/>
  <c r="C147" i="17"/>
  <c r="C146" i="17"/>
  <c r="Q146" i="17" s="1"/>
  <c r="C142" i="17"/>
  <c r="C141" i="17"/>
  <c r="C140" i="17"/>
  <c r="C139" i="17"/>
  <c r="C138" i="17"/>
  <c r="C137" i="17"/>
  <c r="Q137" i="17" s="1"/>
  <c r="C133" i="17"/>
  <c r="C132" i="17"/>
  <c r="C131" i="17"/>
  <c r="C130" i="17"/>
  <c r="C129" i="17"/>
  <c r="C128" i="17"/>
  <c r="R128" i="17" s="1"/>
  <c r="C124" i="17"/>
  <c r="C123" i="17"/>
  <c r="C122" i="17"/>
  <c r="C121" i="17"/>
  <c r="C120" i="17"/>
  <c r="C119" i="17"/>
  <c r="C115" i="17"/>
  <c r="C114" i="17"/>
  <c r="C113" i="17"/>
  <c r="C112" i="17"/>
  <c r="C111" i="17"/>
  <c r="C110" i="17"/>
  <c r="C106" i="17"/>
  <c r="C105" i="17"/>
  <c r="C104" i="17"/>
  <c r="C103" i="17"/>
  <c r="C102" i="17"/>
  <c r="C101" i="17"/>
  <c r="R101" i="17" s="1"/>
  <c r="C97" i="17"/>
  <c r="C96" i="17"/>
  <c r="C95" i="17"/>
  <c r="C94" i="17"/>
  <c r="C93" i="17"/>
  <c r="C92" i="17"/>
  <c r="R92" i="17" s="1"/>
  <c r="C88" i="17"/>
  <c r="C87" i="17"/>
  <c r="C86" i="17"/>
  <c r="C85" i="17"/>
  <c r="C84" i="17"/>
  <c r="C83" i="17"/>
  <c r="R83" i="17" s="1"/>
  <c r="C79" i="17"/>
  <c r="C78" i="17"/>
  <c r="C77" i="17"/>
  <c r="C76" i="17"/>
  <c r="C75" i="17"/>
  <c r="C74" i="17"/>
  <c r="Q74" i="17" s="1"/>
  <c r="C70" i="17"/>
  <c r="C69" i="17"/>
  <c r="C68" i="17"/>
  <c r="C67" i="17"/>
  <c r="C66" i="17"/>
  <c r="C65" i="17"/>
  <c r="R65" i="17" s="1"/>
  <c r="C61" i="17"/>
  <c r="C60" i="17"/>
  <c r="C59" i="17"/>
  <c r="C58" i="17"/>
  <c r="C57" i="17"/>
  <c r="C56" i="17"/>
  <c r="R56" i="17" s="1"/>
  <c r="C52" i="17"/>
  <c r="C51" i="17"/>
  <c r="C50" i="17"/>
  <c r="C49" i="17"/>
  <c r="C48" i="17"/>
  <c r="C47" i="17"/>
  <c r="R47" i="17" s="1"/>
  <c r="C43" i="17"/>
  <c r="C42" i="17"/>
  <c r="C41" i="17"/>
  <c r="C40" i="17"/>
  <c r="C39" i="17"/>
  <c r="C38" i="17"/>
  <c r="Q38" i="17" s="1"/>
  <c r="C34" i="17"/>
  <c r="C33" i="17"/>
  <c r="C32" i="17"/>
  <c r="C31" i="17"/>
  <c r="C30" i="17"/>
  <c r="C29" i="17"/>
  <c r="C25" i="17"/>
  <c r="C24" i="17"/>
  <c r="C23" i="17"/>
  <c r="C22" i="17"/>
  <c r="C21" i="17"/>
  <c r="C20" i="17"/>
  <c r="Q20" i="17" s="1"/>
  <c r="C16" i="17"/>
  <c r="C15" i="17"/>
  <c r="C14" i="17"/>
  <c r="C13" i="17"/>
  <c r="C12" i="17"/>
  <c r="C11" i="17"/>
  <c r="Q11" i="17" s="1"/>
  <c r="C7" i="17"/>
  <c r="C6" i="17"/>
  <c r="C5" i="17"/>
  <c r="C4" i="17"/>
  <c r="C3" i="17"/>
  <c r="X74" i="15"/>
  <c r="X75" i="15"/>
  <c r="X76" i="15"/>
  <c r="X77" i="15"/>
  <c r="X78" i="15"/>
  <c r="X79" i="15"/>
  <c r="X80" i="15"/>
  <c r="X81" i="15"/>
  <c r="X82" i="15"/>
  <c r="X83" i="15"/>
  <c r="X84" i="15"/>
  <c r="X85" i="15"/>
  <c r="X86" i="15"/>
  <c r="X87" i="15"/>
  <c r="X88" i="15"/>
  <c r="X89" i="15"/>
  <c r="X90" i="15"/>
  <c r="X91" i="15"/>
  <c r="X92" i="15"/>
  <c r="X93" i="15"/>
  <c r="X94" i="15"/>
  <c r="X95" i="15"/>
  <c r="X96" i="15"/>
  <c r="X97" i="15"/>
  <c r="X73" i="15"/>
  <c r="X47" i="15"/>
  <c r="X48" i="15"/>
  <c r="X49" i="15"/>
  <c r="X50" i="15"/>
  <c r="X51" i="15"/>
  <c r="X52" i="15"/>
  <c r="X53" i="15"/>
  <c r="X54" i="15"/>
  <c r="X55" i="15"/>
  <c r="X56" i="15"/>
  <c r="X57" i="15"/>
  <c r="X58" i="15"/>
  <c r="X59" i="15"/>
  <c r="X60" i="15"/>
  <c r="X61" i="15"/>
  <c r="X62" i="15"/>
  <c r="X63" i="15"/>
  <c r="X64" i="15"/>
  <c r="X65" i="15"/>
  <c r="X66" i="15"/>
  <c r="X67" i="15"/>
  <c r="X68" i="15"/>
  <c r="X69" i="15"/>
  <c r="X70" i="15"/>
  <c r="X46" i="15"/>
  <c r="X3" i="15"/>
  <c r="X4" i="15"/>
  <c r="X5" i="15"/>
  <c r="X6" i="15"/>
  <c r="X7" i="15"/>
  <c r="X8" i="15"/>
  <c r="X9" i="15"/>
  <c r="X10" i="15"/>
  <c r="X11" i="15"/>
  <c r="X2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X29" i="15"/>
  <c r="X30" i="15"/>
  <c r="X31" i="15"/>
  <c r="X32" i="15"/>
  <c r="X33" i="15"/>
  <c r="X34" i="15"/>
  <c r="X35" i="15"/>
  <c r="X36" i="15"/>
  <c r="X37" i="15"/>
  <c r="X38" i="15"/>
  <c r="X39" i="15"/>
  <c r="X40" i="15"/>
  <c r="X41" i="15"/>
  <c r="X42" i="15"/>
  <c r="X43" i="15"/>
  <c r="X16" i="15"/>
  <c r="S74" i="15"/>
  <c r="S75" i="15"/>
  <c r="S76" i="15"/>
  <c r="S77" i="15"/>
  <c r="S78" i="15"/>
  <c r="S79" i="15"/>
  <c r="S80" i="15"/>
  <c r="S81" i="15"/>
  <c r="S82" i="15"/>
  <c r="S83" i="15"/>
  <c r="S84" i="15"/>
  <c r="S85" i="15"/>
  <c r="S86" i="15"/>
  <c r="S87" i="15"/>
  <c r="S88" i="15"/>
  <c r="S89" i="15"/>
  <c r="S90" i="15"/>
  <c r="S91" i="15"/>
  <c r="S92" i="15"/>
  <c r="S93" i="15"/>
  <c r="S94" i="15"/>
  <c r="S95" i="15"/>
  <c r="S96" i="15"/>
  <c r="S97" i="15"/>
  <c r="S73" i="15"/>
  <c r="S47" i="15"/>
  <c r="S48" i="15"/>
  <c r="S49" i="15"/>
  <c r="S50" i="15"/>
  <c r="S51" i="15"/>
  <c r="S52" i="15"/>
  <c r="S53" i="15"/>
  <c r="S54" i="15"/>
  <c r="S55" i="15"/>
  <c r="S56" i="15"/>
  <c r="S57" i="15"/>
  <c r="S58" i="15"/>
  <c r="S59" i="15"/>
  <c r="S60" i="15"/>
  <c r="S61" i="15"/>
  <c r="S62" i="15"/>
  <c r="S63" i="15"/>
  <c r="S64" i="15"/>
  <c r="S65" i="15"/>
  <c r="S66" i="15"/>
  <c r="S67" i="15"/>
  <c r="S68" i="15"/>
  <c r="S69" i="15"/>
  <c r="S70" i="15"/>
  <c r="S46" i="15"/>
  <c r="S3" i="15"/>
  <c r="S4" i="15"/>
  <c r="S5" i="15"/>
  <c r="S6" i="15"/>
  <c r="S7" i="15"/>
  <c r="S8" i="15"/>
  <c r="S9" i="15"/>
  <c r="S10" i="15"/>
  <c r="S11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S40" i="15"/>
  <c r="S41" i="15"/>
  <c r="S42" i="15"/>
  <c r="S43" i="15"/>
  <c r="S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16" i="15"/>
  <c r="L3" i="15"/>
  <c r="L4" i="15"/>
  <c r="L5" i="15"/>
  <c r="L6" i="15"/>
  <c r="L7" i="15"/>
  <c r="L8" i="15"/>
  <c r="L9" i="15"/>
  <c r="L10" i="15"/>
  <c r="L11" i="15"/>
  <c r="L2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73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46" i="15"/>
  <c r="C71" i="15"/>
  <c r="D71" i="15"/>
  <c r="E71" i="15"/>
  <c r="F71" i="15"/>
  <c r="G71" i="15"/>
  <c r="H71" i="15"/>
  <c r="I71" i="15"/>
  <c r="B71" i="15"/>
  <c r="C98" i="15"/>
  <c r="D98" i="15"/>
  <c r="E98" i="15"/>
  <c r="F98" i="15"/>
  <c r="G98" i="15"/>
  <c r="H98" i="15"/>
  <c r="I98" i="15"/>
  <c r="B98" i="15"/>
  <c r="C44" i="15"/>
  <c r="D44" i="15"/>
  <c r="E44" i="15"/>
  <c r="F44" i="15"/>
  <c r="G44" i="15"/>
  <c r="H44" i="15"/>
  <c r="I44" i="15"/>
  <c r="B44" i="15"/>
  <c r="R137" i="17" l="1"/>
  <c r="Q101" i="17"/>
  <c r="T101" i="17" s="1"/>
  <c r="W101" i="17" s="1"/>
  <c r="Q173" i="17"/>
  <c r="Q47" i="17"/>
  <c r="AJ44" i="18"/>
  <c r="AP44" i="18" s="1"/>
  <c r="AI44" i="18"/>
  <c r="AO44" i="18" s="1"/>
  <c r="AI12" i="18"/>
  <c r="AO12" i="18" s="1"/>
  <c r="AJ12" i="18"/>
  <c r="AP12" i="18" s="1"/>
  <c r="AH37" i="18"/>
  <c r="AN37" i="18" s="1"/>
  <c r="AG37" i="18"/>
  <c r="AM37" i="18" s="1"/>
  <c r="AJ33" i="18"/>
  <c r="AP33" i="18" s="1"/>
  <c r="AI33" i="18"/>
  <c r="AO33" i="18" s="1"/>
  <c r="AJ2" i="18"/>
  <c r="AP2" i="18" s="1"/>
  <c r="AI2" i="18"/>
  <c r="AO2" i="18" s="1"/>
  <c r="AH14" i="18"/>
  <c r="AN14" i="18" s="1"/>
  <c r="AG14" i="18"/>
  <c r="AM14" i="18" s="1"/>
  <c r="AJ47" i="18"/>
  <c r="AP47" i="18" s="1"/>
  <c r="AI47" i="18"/>
  <c r="AO47" i="18" s="1"/>
  <c r="AH5" i="18"/>
  <c r="AN5" i="18" s="1"/>
  <c r="AG5" i="18"/>
  <c r="AM5" i="18" s="1"/>
  <c r="AJ55" i="18"/>
  <c r="AP55" i="18" s="1"/>
  <c r="AI55" i="18"/>
  <c r="AO55" i="18" s="1"/>
  <c r="AJ49" i="18"/>
  <c r="AP49" i="18" s="1"/>
  <c r="AI49" i="18"/>
  <c r="AO49" i="18" s="1"/>
  <c r="AJ43" i="18"/>
  <c r="AP43" i="18" s="1"/>
  <c r="AI43" i="18"/>
  <c r="AO43" i="18" s="1"/>
  <c r="AJ30" i="18"/>
  <c r="AP30" i="18" s="1"/>
  <c r="AI30" i="18"/>
  <c r="AO30" i="18" s="1"/>
  <c r="AI24" i="18"/>
  <c r="AO24" i="18" s="1"/>
  <c r="AJ24" i="18"/>
  <c r="AP24" i="18" s="1"/>
  <c r="AJ18" i="18"/>
  <c r="AP18" i="18" s="1"/>
  <c r="AI18" i="18"/>
  <c r="AO18" i="18" s="1"/>
  <c r="AJ11" i="18"/>
  <c r="AP11" i="18" s="1"/>
  <c r="AI11" i="18"/>
  <c r="AO11" i="18" s="1"/>
  <c r="AH31" i="18"/>
  <c r="AN31" i="18" s="1"/>
  <c r="AG31" i="18"/>
  <c r="AM31" i="18" s="1"/>
  <c r="AI52" i="18"/>
  <c r="AO52" i="18" s="1"/>
  <c r="AJ52" i="18"/>
  <c r="AP52" i="18" s="1"/>
  <c r="AI39" i="18"/>
  <c r="AO39" i="18" s="1"/>
  <c r="AJ39" i="18"/>
  <c r="AP39" i="18" s="1"/>
  <c r="AI27" i="18"/>
  <c r="AO27" i="18" s="1"/>
  <c r="AJ27" i="18"/>
  <c r="AP27" i="18" s="1"/>
  <c r="AI14" i="18"/>
  <c r="AO14" i="18" s="1"/>
  <c r="AJ14" i="18"/>
  <c r="AP14" i="18" s="1"/>
  <c r="AH27" i="18"/>
  <c r="AN27" i="18" s="1"/>
  <c r="AG27" i="18"/>
  <c r="AM27" i="18" s="1"/>
  <c r="AI41" i="18"/>
  <c r="AO41" i="18" s="1"/>
  <c r="AJ41" i="18"/>
  <c r="AP41" i="18" s="1"/>
  <c r="AH54" i="18"/>
  <c r="AN54" i="18" s="1"/>
  <c r="AG54" i="18"/>
  <c r="AM54" i="18" s="1"/>
  <c r="AJ5" i="18"/>
  <c r="AP5" i="18" s="1"/>
  <c r="AI5" i="18"/>
  <c r="AO5" i="18" s="1"/>
  <c r="AH55" i="18"/>
  <c r="AN55" i="18" s="1"/>
  <c r="AG55" i="18"/>
  <c r="AM55" i="18" s="1"/>
  <c r="AH49" i="18"/>
  <c r="AN49" i="18" s="1"/>
  <c r="AG49" i="18"/>
  <c r="AM49" i="18" s="1"/>
  <c r="AH43" i="18"/>
  <c r="AN43" i="18" s="1"/>
  <c r="AG43" i="18"/>
  <c r="AM43" i="18" s="1"/>
  <c r="AH30" i="18"/>
  <c r="AN30" i="18" s="1"/>
  <c r="AG30" i="18"/>
  <c r="AM30" i="18" s="1"/>
  <c r="AH24" i="18"/>
  <c r="AN24" i="18" s="1"/>
  <c r="AG24" i="18"/>
  <c r="AM24" i="18" s="1"/>
  <c r="AH18" i="18"/>
  <c r="AN18" i="18" s="1"/>
  <c r="AG18" i="18"/>
  <c r="AM18" i="18" s="1"/>
  <c r="AH11" i="18"/>
  <c r="AN11" i="18" s="1"/>
  <c r="AG11" i="18"/>
  <c r="AM11" i="18" s="1"/>
  <c r="AH12" i="18"/>
  <c r="AN12" i="18" s="1"/>
  <c r="AG12" i="18"/>
  <c r="AM12" i="18" s="1"/>
  <c r="AH3" i="18"/>
  <c r="AN3" i="18" s="1"/>
  <c r="AG3" i="18"/>
  <c r="AM3" i="18" s="1"/>
  <c r="AJ51" i="18"/>
  <c r="AP51" i="18" s="1"/>
  <c r="AI51" i="18"/>
  <c r="AO51" i="18" s="1"/>
  <c r="AJ45" i="18"/>
  <c r="AP45" i="18" s="1"/>
  <c r="AI45" i="18"/>
  <c r="AO45" i="18" s="1"/>
  <c r="AJ38" i="18"/>
  <c r="AP38" i="18" s="1"/>
  <c r="AI38" i="18"/>
  <c r="AO38" i="18" s="1"/>
  <c r="AJ32" i="18"/>
  <c r="AP32" i="18" s="1"/>
  <c r="AI32" i="18"/>
  <c r="AO32" i="18" s="1"/>
  <c r="AJ26" i="18"/>
  <c r="AP26" i="18" s="1"/>
  <c r="AI26" i="18"/>
  <c r="AO26" i="18" s="1"/>
  <c r="AJ19" i="18"/>
  <c r="AP19" i="18" s="1"/>
  <c r="AI19" i="18"/>
  <c r="AO19" i="18" s="1"/>
  <c r="AJ13" i="18"/>
  <c r="AP13" i="18" s="1"/>
  <c r="AI13" i="18"/>
  <c r="AO13" i="18" s="1"/>
  <c r="AH51" i="18"/>
  <c r="AN51" i="18" s="1"/>
  <c r="AG51" i="18"/>
  <c r="AM51" i="18" s="1"/>
  <c r="AH45" i="18"/>
  <c r="AN45" i="18" s="1"/>
  <c r="AG45" i="18"/>
  <c r="AM45" i="18" s="1"/>
  <c r="AH32" i="18"/>
  <c r="AN32" i="18" s="1"/>
  <c r="AG32" i="18"/>
  <c r="AM32" i="18" s="1"/>
  <c r="AH26" i="18"/>
  <c r="AN26" i="18" s="1"/>
  <c r="AG26" i="18"/>
  <c r="AM26" i="18" s="1"/>
  <c r="AH19" i="18"/>
  <c r="AN19" i="18" s="1"/>
  <c r="AG19" i="18"/>
  <c r="AM19" i="18" s="1"/>
  <c r="AH13" i="18"/>
  <c r="AN13" i="18" s="1"/>
  <c r="AG13" i="18"/>
  <c r="AM13" i="18" s="1"/>
  <c r="AJ31" i="18"/>
  <c r="AP31" i="18" s="1"/>
  <c r="AI31" i="18"/>
  <c r="AO31" i="18" s="1"/>
  <c r="AH25" i="18"/>
  <c r="AN25" i="18" s="1"/>
  <c r="AG25" i="18"/>
  <c r="AM25" i="18" s="1"/>
  <c r="AH7" i="18"/>
  <c r="AN7" i="18" s="1"/>
  <c r="AG7" i="18"/>
  <c r="AM7" i="18" s="1"/>
  <c r="AH20" i="18"/>
  <c r="AN20" i="18" s="1"/>
  <c r="AG20" i="18"/>
  <c r="AM20" i="18" s="1"/>
  <c r="AI16" i="18"/>
  <c r="AO16" i="18" s="1"/>
  <c r="AJ16" i="18"/>
  <c r="AP16" i="18" s="1"/>
  <c r="AH38" i="18"/>
  <c r="AN38" i="18" s="1"/>
  <c r="AG38" i="18"/>
  <c r="AM38" i="18" s="1"/>
  <c r="AJ9" i="18"/>
  <c r="AP9" i="18" s="1"/>
  <c r="AI9" i="18"/>
  <c r="AO9" i="18" s="1"/>
  <c r="AI53" i="18"/>
  <c r="AO53" i="18" s="1"/>
  <c r="AJ53" i="18"/>
  <c r="AP53" i="18" s="1"/>
  <c r="AJ46" i="18"/>
  <c r="AP46" i="18" s="1"/>
  <c r="AI46" i="18"/>
  <c r="AO46" i="18" s="1"/>
  <c r="AI40" i="18"/>
  <c r="AO40" i="18" s="1"/>
  <c r="AJ40" i="18"/>
  <c r="AP40" i="18" s="1"/>
  <c r="AJ34" i="18"/>
  <c r="AP34" i="18" s="1"/>
  <c r="AI34" i="18"/>
  <c r="AO34" i="18" s="1"/>
  <c r="AJ21" i="18"/>
  <c r="AP21" i="18" s="1"/>
  <c r="AI21" i="18"/>
  <c r="AO21" i="18" s="1"/>
  <c r="AI15" i="18"/>
  <c r="AO15" i="18" s="1"/>
  <c r="AJ15" i="18"/>
  <c r="AP15" i="18" s="1"/>
  <c r="AH4" i="18"/>
  <c r="AN4" i="18" s="1"/>
  <c r="AG4" i="18"/>
  <c r="AM4" i="18" s="1"/>
  <c r="AJ25" i="18"/>
  <c r="AP25" i="18" s="1"/>
  <c r="AI25" i="18"/>
  <c r="AO25" i="18" s="1"/>
  <c r="AJ4" i="18"/>
  <c r="AP4" i="18" s="1"/>
  <c r="AI4" i="18"/>
  <c r="AO4" i="18" s="1"/>
  <c r="AH50" i="18"/>
  <c r="AN50" i="18" s="1"/>
  <c r="AG50" i="18"/>
  <c r="AM50" i="18" s="1"/>
  <c r="AG44" i="18"/>
  <c r="AM44" i="18" s="1"/>
  <c r="AH44" i="18"/>
  <c r="AN44" i="18" s="1"/>
  <c r="AH2" i="18"/>
  <c r="AN2" i="18" s="1"/>
  <c r="AG2" i="18"/>
  <c r="AM2" i="18" s="1"/>
  <c r="AJ20" i="18"/>
  <c r="AP20" i="18" s="1"/>
  <c r="AI20" i="18"/>
  <c r="AO20" i="18" s="1"/>
  <c r="AH52" i="18"/>
  <c r="AN52" i="18" s="1"/>
  <c r="AG52" i="18"/>
  <c r="AM52" i="18" s="1"/>
  <c r="AH39" i="18"/>
  <c r="AN39" i="18" s="1"/>
  <c r="AG39" i="18"/>
  <c r="AM39" i="18" s="1"/>
  <c r="AJ7" i="18"/>
  <c r="AP7" i="18" s="1"/>
  <c r="AI7" i="18"/>
  <c r="AO7" i="18" s="1"/>
  <c r="AI54" i="18"/>
  <c r="AO54" i="18" s="1"/>
  <c r="AJ54" i="18"/>
  <c r="AP54" i="18" s="1"/>
  <c r="AI28" i="18"/>
  <c r="AO28" i="18" s="1"/>
  <c r="AJ28" i="18"/>
  <c r="AP28" i="18" s="1"/>
  <c r="AJ22" i="18"/>
  <c r="AP22" i="18" s="1"/>
  <c r="AI22" i="18"/>
  <c r="AO22" i="18" s="1"/>
  <c r="AH28" i="18"/>
  <c r="AN28" i="18" s="1"/>
  <c r="AG28" i="18"/>
  <c r="AM28" i="18" s="1"/>
  <c r="AI3" i="18"/>
  <c r="AO3" i="18" s="1"/>
  <c r="AJ3" i="18"/>
  <c r="AP3" i="18" s="1"/>
  <c r="AG9" i="18"/>
  <c r="AM9" i="18" s="1"/>
  <c r="AH9" i="18"/>
  <c r="AN9" i="18" s="1"/>
  <c r="AH53" i="18"/>
  <c r="AN53" i="18" s="1"/>
  <c r="AG53" i="18"/>
  <c r="AM53" i="18" s="1"/>
  <c r="AG46" i="18"/>
  <c r="AM46" i="18" s="1"/>
  <c r="AH46" i="18"/>
  <c r="AN46" i="18" s="1"/>
  <c r="AH40" i="18"/>
  <c r="AN40" i="18" s="1"/>
  <c r="AG40" i="18"/>
  <c r="AM40" i="18" s="1"/>
  <c r="AG34" i="18"/>
  <c r="AM34" i="18" s="1"/>
  <c r="AH34" i="18"/>
  <c r="AN34" i="18" s="1"/>
  <c r="AG21" i="18"/>
  <c r="AM21" i="18" s="1"/>
  <c r="AH21" i="18"/>
  <c r="AN21" i="18" s="1"/>
  <c r="AH15" i="18"/>
  <c r="AN15" i="18" s="1"/>
  <c r="AG15" i="18"/>
  <c r="AM15" i="18" s="1"/>
  <c r="AG6" i="18"/>
  <c r="AM6" i="18" s="1"/>
  <c r="AH6" i="18"/>
  <c r="AN6" i="18" s="1"/>
  <c r="AJ48" i="18"/>
  <c r="AP48" i="18" s="1"/>
  <c r="AI48" i="18"/>
  <c r="AO48" i="18" s="1"/>
  <c r="AJ42" i="18"/>
  <c r="AP42" i="18" s="1"/>
  <c r="AI42" i="18"/>
  <c r="AO42" i="18" s="1"/>
  <c r="AJ36" i="18"/>
  <c r="AP36" i="18" s="1"/>
  <c r="AI36" i="18"/>
  <c r="AO36" i="18" s="1"/>
  <c r="AJ29" i="18"/>
  <c r="AP29" i="18" s="1"/>
  <c r="AI29" i="18"/>
  <c r="AO29" i="18" s="1"/>
  <c r="AJ23" i="18"/>
  <c r="AP23" i="18" s="1"/>
  <c r="AI23" i="18"/>
  <c r="AO23" i="18" s="1"/>
  <c r="AJ17" i="18"/>
  <c r="AP17" i="18" s="1"/>
  <c r="AI17" i="18"/>
  <c r="AO17" i="18" s="1"/>
  <c r="AJ10" i="18"/>
  <c r="AP10" i="18" s="1"/>
  <c r="AI10" i="18"/>
  <c r="AO10" i="18" s="1"/>
  <c r="AJ8" i="18"/>
  <c r="AP8" i="18" s="1"/>
  <c r="AI8" i="18"/>
  <c r="AO8" i="18" s="1"/>
  <c r="AJ50" i="18"/>
  <c r="AP50" i="18" s="1"/>
  <c r="AI50" i="18"/>
  <c r="AO50" i="18" s="1"/>
  <c r="AJ37" i="18"/>
  <c r="AP37" i="18" s="1"/>
  <c r="AI37" i="18"/>
  <c r="AO37" i="18" s="1"/>
  <c r="AH8" i="18"/>
  <c r="AN8" i="18" s="1"/>
  <c r="AG8" i="18"/>
  <c r="AM8" i="18" s="1"/>
  <c r="AH33" i="18"/>
  <c r="AN33" i="18" s="1"/>
  <c r="AG33" i="18"/>
  <c r="AM33" i="18" s="1"/>
  <c r="AJ35" i="18"/>
  <c r="AP35" i="18" s="1"/>
  <c r="AI35" i="18"/>
  <c r="AO35" i="18" s="1"/>
  <c r="AG47" i="18"/>
  <c r="AM47" i="18" s="1"/>
  <c r="AH47" i="18"/>
  <c r="AN47" i="18" s="1"/>
  <c r="AH41" i="18"/>
  <c r="AN41" i="18" s="1"/>
  <c r="AG41" i="18"/>
  <c r="AM41" i="18" s="1"/>
  <c r="AG35" i="18"/>
  <c r="AM35" i="18" s="1"/>
  <c r="AH35" i="18"/>
  <c r="AN35" i="18" s="1"/>
  <c r="AG22" i="18"/>
  <c r="AM22" i="18" s="1"/>
  <c r="AH22" i="18"/>
  <c r="AN22" i="18" s="1"/>
  <c r="AH16" i="18"/>
  <c r="AN16" i="18" s="1"/>
  <c r="AG16" i="18"/>
  <c r="AM16" i="18" s="1"/>
  <c r="AJ6" i="18"/>
  <c r="AP6" i="18" s="1"/>
  <c r="AI6" i="18"/>
  <c r="AO6" i="18" s="1"/>
  <c r="AG48" i="18"/>
  <c r="AM48" i="18" s="1"/>
  <c r="AH48" i="18"/>
  <c r="AN48" i="18" s="1"/>
  <c r="AH42" i="18"/>
  <c r="AN42" i="18" s="1"/>
  <c r="AG42" i="18"/>
  <c r="AM42" i="18" s="1"/>
  <c r="AG36" i="18"/>
  <c r="AM36" i="18" s="1"/>
  <c r="AH36" i="18"/>
  <c r="AN36" i="18" s="1"/>
  <c r="AH29" i="18"/>
  <c r="AN29" i="18" s="1"/>
  <c r="AG29" i="18"/>
  <c r="AM29" i="18" s="1"/>
  <c r="AG23" i="18"/>
  <c r="AM23" i="18" s="1"/>
  <c r="AH23" i="18"/>
  <c r="AN23" i="18" s="1"/>
  <c r="AH17" i="18"/>
  <c r="AN17" i="18" s="1"/>
  <c r="AG17" i="18"/>
  <c r="AM17" i="18" s="1"/>
  <c r="AG10" i="18"/>
  <c r="AM10" i="18" s="1"/>
  <c r="AH10" i="18"/>
  <c r="AN10" i="18" s="1"/>
  <c r="Z179" i="19"/>
  <c r="AF179" i="19" s="1"/>
  <c r="AA179" i="19"/>
  <c r="AG179" i="19" s="1"/>
  <c r="AA222" i="19"/>
  <c r="AG222" i="19" s="1"/>
  <c r="Z222" i="19"/>
  <c r="AF222" i="19" s="1"/>
  <c r="AA138" i="19"/>
  <c r="AG138" i="19" s="1"/>
  <c r="Z138" i="19"/>
  <c r="AF138" i="19" s="1"/>
  <c r="AA53" i="19"/>
  <c r="AG53" i="19" s="1"/>
  <c r="Z53" i="19"/>
  <c r="AF53" i="19" s="1"/>
  <c r="Z221" i="19"/>
  <c r="AF221" i="19" s="1"/>
  <c r="AA221" i="19"/>
  <c r="AG221" i="19" s="1"/>
  <c r="Z137" i="19"/>
  <c r="AF137" i="19" s="1"/>
  <c r="AA137" i="19"/>
  <c r="AG137" i="19" s="1"/>
  <c r="Z38" i="19"/>
  <c r="AF38" i="19" s="1"/>
  <c r="AA38" i="19"/>
  <c r="AG38" i="19" s="1"/>
  <c r="Z164" i="19"/>
  <c r="AF164" i="19" s="1"/>
  <c r="AA164" i="19"/>
  <c r="AG164" i="19" s="1"/>
  <c r="Z79" i="19"/>
  <c r="AF79" i="19" s="1"/>
  <c r="AA79" i="19"/>
  <c r="AG79" i="19" s="1"/>
  <c r="Z9" i="19"/>
  <c r="AF9" i="19" s="1"/>
  <c r="AA9" i="19"/>
  <c r="AG9" i="19" s="1"/>
  <c r="AA177" i="19"/>
  <c r="AG177" i="19" s="1"/>
  <c r="Z177" i="19"/>
  <c r="AF177" i="19" s="1"/>
  <c r="Z78" i="19"/>
  <c r="AF78" i="19" s="1"/>
  <c r="AA78" i="19"/>
  <c r="AG78" i="19" s="1"/>
  <c r="Z8" i="19"/>
  <c r="AF8" i="19" s="1"/>
  <c r="AA8" i="19"/>
  <c r="AG8" i="19" s="1"/>
  <c r="Z190" i="19"/>
  <c r="AF190" i="19" s="1"/>
  <c r="AA190" i="19"/>
  <c r="AG190" i="19" s="1"/>
  <c r="Z148" i="19"/>
  <c r="AF148" i="19" s="1"/>
  <c r="AA148" i="19"/>
  <c r="AG148" i="19" s="1"/>
  <c r="Z105" i="19"/>
  <c r="AF105" i="19" s="1"/>
  <c r="AA105" i="19"/>
  <c r="AG105" i="19" s="1"/>
  <c r="Z35" i="19"/>
  <c r="AF35" i="19" s="1"/>
  <c r="AA35" i="19"/>
  <c r="AG35" i="19" s="1"/>
  <c r="AA3" i="19"/>
  <c r="AG3" i="19" s="1"/>
  <c r="Z3" i="19"/>
  <c r="AF3" i="19" s="1"/>
  <c r="AA217" i="19"/>
  <c r="AG217" i="19" s="1"/>
  <c r="Z217" i="19"/>
  <c r="AF217" i="19" s="1"/>
  <c r="AA203" i="19"/>
  <c r="AG203" i="19" s="1"/>
  <c r="Z203" i="19"/>
  <c r="AF203" i="19" s="1"/>
  <c r="AA189" i="19"/>
  <c r="AG189" i="19" s="1"/>
  <c r="Z189" i="19"/>
  <c r="AF189" i="19" s="1"/>
  <c r="AA175" i="19"/>
  <c r="AG175" i="19" s="1"/>
  <c r="Z175" i="19"/>
  <c r="AF175" i="19" s="1"/>
  <c r="Z161" i="19"/>
  <c r="AF161" i="19" s="1"/>
  <c r="AA161" i="19"/>
  <c r="AG161" i="19" s="1"/>
  <c r="Z147" i="19"/>
  <c r="AF147" i="19" s="1"/>
  <c r="AA147" i="19"/>
  <c r="AG147" i="19" s="1"/>
  <c r="Z133" i="19"/>
  <c r="AF133" i="19" s="1"/>
  <c r="AA133" i="19"/>
  <c r="AG133" i="19" s="1"/>
  <c r="Z119" i="19"/>
  <c r="AF119" i="19" s="1"/>
  <c r="AA119" i="19"/>
  <c r="AG119" i="19" s="1"/>
  <c r="Z104" i="19"/>
  <c r="AF104" i="19" s="1"/>
  <c r="AA104" i="19"/>
  <c r="AG104" i="19" s="1"/>
  <c r="Z90" i="19"/>
  <c r="AF90" i="19" s="1"/>
  <c r="AA90" i="19"/>
  <c r="AG90" i="19" s="1"/>
  <c r="Z76" i="19"/>
  <c r="AF76" i="19" s="1"/>
  <c r="AA76" i="19"/>
  <c r="AG76" i="19" s="1"/>
  <c r="Z62" i="19"/>
  <c r="AF62" i="19" s="1"/>
  <c r="AA62" i="19"/>
  <c r="AG62" i="19" s="1"/>
  <c r="Z48" i="19"/>
  <c r="AF48" i="19" s="1"/>
  <c r="AA48" i="19"/>
  <c r="AG48" i="19" s="1"/>
  <c r="Z34" i="19"/>
  <c r="AF34" i="19" s="1"/>
  <c r="AA34" i="19"/>
  <c r="AG34" i="19" s="1"/>
  <c r="AA20" i="19"/>
  <c r="AG20" i="19" s="1"/>
  <c r="Z20" i="19"/>
  <c r="AF20" i="19" s="1"/>
  <c r="Z4" i="19"/>
  <c r="AF4" i="19" s="1"/>
  <c r="AL4" i="19" s="1"/>
  <c r="AP4" i="19" s="1"/>
  <c r="AA4" i="19"/>
  <c r="AG4" i="19" s="1"/>
  <c r="AM4" i="19" s="1"/>
  <c r="AQ4" i="19" s="1"/>
  <c r="AA216" i="19"/>
  <c r="AG216" i="19" s="1"/>
  <c r="Z216" i="19"/>
  <c r="AF216" i="19" s="1"/>
  <c r="Z202" i="19"/>
  <c r="AF202" i="19" s="1"/>
  <c r="AA202" i="19"/>
  <c r="AG202" i="19" s="1"/>
  <c r="AA188" i="19"/>
  <c r="AG188" i="19" s="1"/>
  <c r="Z188" i="19"/>
  <c r="AF188" i="19" s="1"/>
  <c r="Z174" i="19"/>
  <c r="AF174" i="19" s="1"/>
  <c r="AA174" i="19"/>
  <c r="AG174" i="19" s="1"/>
  <c r="Z160" i="19"/>
  <c r="AF160" i="19" s="1"/>
  <c r="AA160" i="19"/>
  <c r="AG160" i="19" s="1"/>
  <c r="Z146" i="19"/>
  <c r="AF146" i="19" s="1"/>
  <c r="AA146" i="19"/>
  <c r="AG146" i="19" s="1"/>
  <c r="Z132" i="19"/>
  <c r="AF132" i="19" s="1"/>
  <c r="AA132" i="19"/>
  <c r="AG132" i="19" s="1"/>
  <c r="Z118" i="19"/>
  <c r="AF118" i="19" s="1"/>
  <c r="AA118" i="19"/>
  <c r="AG118" i="19" s="1"/>
  <c r="Z103" i="19"/>
  <c r="AF103" i="19" s="1"/>
  <c r="AA103" i="19"/>
  <c r="AG103" i="19" s="1"/>
  <c r="Z89" i="19"/>
  <c r="AF89" i="19" s="1"/>
  <c r="AA89" i="19"/>
  <c r="AG89" i="19" s="1"/>
  <c r="Z75" i="19"/>
  <c r="AF75" i="19" s="1"/>
  <c r="AA75" i="19"/>
  <c r="AG75" i="19" s="1"/>
  <c r="Z61" i="19"/>
  <c r="AF61" i="19" s="1"/>
  <c r="AA61" i="19"/>
  <c r="AG61" i="19" s="1"/>
  <c r="AA47" i="19"/>
  <c r="AG47" i="19" s="1"/>
  <c r="Z47" i="19"/>
  <c r="AF47" i="19" s="1"/>
  <c r="Z33" i="19"/>
  <c r="AF33" i="19" s="1"/>
  <c r="AA33" i="19"/>
  <c r="AG33" i="19" s="1"/>
  <c r="Z19" i="19"/>
  <c r="AF19" i="19" s="1"/>
  <c r="AA19" i="19"/>
  <c r="AG19" i="19" s="1"/>
  <c r="AA5" i="19"/>
  <c r="AG5" i="19" s="1"/>
  <c r="Z5" i="19"/>
  <c r="AF5" i="19" s="1"/>
  <c r="AA215" i="19"/>
  <c r="AG215" i="19" s="1"/>
  <c r="Z215" i="19"/>
  <c r="AF215" i="19" s="1"/>
  <c r="AA201" i="19"/>
  <c r="AG201" i="19" s="1"/>
  <c r="Z201" i="19"/>
  <c r="AF201" i="19" s="1"/>
  <c r="AA187" i="19"/>
  <c r="AG187" i="19" s="1"/>
  <c r="Z187" i="19"/>
  <c r="AF187" i="19" s="1"/>
  <c r="AA173" i="19"/>
  <c r="AG173" i="19" s="1"/>
  <c r="Z173" i="19"/>
  <c r="AF173" i="19" s="1"/>
  <c r="Z159" i="19"/>
  <c r="AF159" i="19" s="1"/>
  <c r="AA159" i="19"/>
  <c r="AG159" i="19" s="1"/>
  <c r="AA145" i="19"/>
  <c r="AG145" i="19" s="1"/>
  <c r="Z145" i="19"/>
  <c r="AF145" i="19" s="1"/>
  <c r="AA131" i="19"/>
  <c r="AG131" i="19" s="1"/>
  <c r="Z131" i="19"/>
  <c r="AF131" i="19" s="1"/>
  <c r="Z117" i="19"/>
  <c r="AF117" i="19" s="1"/>
  <c r="AA117" i="19"/>
  <c r="AG117" i="19" s="1"/>
  <c r="Z102" i="19"/>
  <c r="AF102" i="19" s="1"/>
  <c r="AA102" i="19"/>
  <c r="AG102" i="19" s="1"/>
  <c r="Z88" i="19"/>
  <c r="AF88" i="19" s="1"/>
  <c r="AA88" i="19"/>
  <c r="AG88" i="19" s="1"/>
  <c r="Z74" i="19"/>
  <c r="AF74" i="19" s="1"/>
  <c r="AA74" i="19"/>
  <c r="AG74" i="19" s="1"/>
  <c r="Z60" i="19"/>
  <c r="AF60" i="19" s="1"/>
  <c r="AA60" i="19"/>
  <c r="AG60" i="19" s="1"/>
  <c r="AA46" i="19"/>
  <c r="AG46" i="19" s="1"/>
  <c r="Z46" i="19"/>
  <c r="AF46" i="19" s="1"/>
  <c r="Z32" i="19"/>
  <c r="AF32" i="19" s="1"/>
  <c r="AA32" i="19"/>
  <c r="AG32" i="19" s="1"/>
  <c r="AA18" i="19"/>
  <c r="AG18" i="19" s="1"/>
  <c r="Z18" i="19"/>
  <c r="AF18" i="19" s="1"/>
  <c r="AA123" i="19"/>
  <c r="AG123" i="19" s="1"/>
  <c r="Z123" i="19"/>
  <c r="AF123" i="19" s="1"/>
  <c r="Z194" i="19"/>
  <c r="AF194" i="19" s="1"/>
  <c r="AA194" i="19"/>
  <c r="AG194" i="19" s="1"/>
  <c r="Z95" i="19"/>
  <c r="AF95" i="19" s="1"/>
  <c r="AA95" i="19"/>
  <c r="AG95" i="19" s="1"/>
  <c r="Z25" i="19"/>
  <c r="AF25" i="19" s="1"/>
  <c r="AA25" i="19"/>
  <c r="AG25" i="19" s="1"/>
  <c r="Z193" i="19"/>
  <c r="AF193" i="19" s="1"/>
  <c r="AA193" i="19"/>
  <c r="AG193" i="19" s="1"/>
  <c r="Z94" i="19"/>
  <c r="AF94" i="19" s="1"/>
  <c r="AA94" i="19"/>
  <c r="AG94" i="19" s="1"/>
  <c r="AA24" i="19"/>
  <c r="AG24" i="19" s="1"/>
  <c r="Z24" i="19"/>
  <c r="AF24" i="19" s="1"/>
  <c r="Z178" i="19"/>
  <c r="AF178" i="19" s="1"/>
  <c r="AA178" i="19"/>
  <c r="AG178" i="19" s="1"/>
  <c r="Z107" i="19"/>
  <c r="AF107" i="19" s="1"/>
  <c r="AA107" i="19"/>
  <c r="AG107" i="19" s="1"/>
  <c r="AA23" i="19"/>
  <c r="AG23" i="19" s="1"/>
  <c r="Z23" i="19"/>
  <c r="AF23" i="19" s="1"/>
  <c r="Z163" i="19"/>
  <c r="AF163" i="19" s="1"/>
  <c r="AA163" i="19"/>
  <c r="AG163" i="19" s="1"/>
  <c r="Z92" i="19"/>
  <c r="AF92" i="19" s="1"/>
  <c r="AA92" i="19"/>
  <c r="AG92" i="19" s="1"/>
  <c r="Z22" i="19"/>
  <c r="AF22" i="19" s="1"/>
  <c r="AA22" i="19"/>
  <c r="AG22" i="19" s="1"/>
  <c r="Z218" i="19"/>
  <c r="AF218" i="19" s="1"/>
  <c r="AA218" i="19"/>
  <c r="AG218" i="19" s="1"/>
  <c r="Z134" i="19"/>
  <c r="AF134" i="19" s="1"/>
  <c r="AA134" i="19"/>
  <c r="AG134" i="19" s="1"/>
  <c r="AA63" i="19"/>
  <c r="AG63" i="19" s="1"/>
  <c r="Z63" i="19"/>
  <c r="AF63" i="19" s="1"/>
  <c r="Z6" i="19"/>
  <c r="AF6" i="19" s="1"/>
  <c r="AA6" i="19"/>
  <c r="AG6" i="19" s="1"/>
  <c r="Z158" i="19"/>
  <c r="AF158" i="19" s="1"/>
  <c r="AA158" i="19"/>
  <c r="AG158" i="19" s="1"/>
  <c r="Z59" i="19"/>
  <c r="AF59" i="19" s="1"/>
  <c r="AA59" i="19"/>
  <c r="AG59" i="19" s="1"/>
  <c r="AA213" i="19"/>
  <c r="AG213" i="19" s="1"/>
  <c r="Z213" i="19"/>
  <c r="AF213" i="19" s="1"/>
  <c r="Z226" i="19"/>
  <c r="AF226" i="19" s="1"/>
  <c r="AA226" i="19"/>
  <c r="AG226" i="19" s="1"/>
  <c r="AA212" i="19"/>
  <c r="AG212" i="19" s="1"/>
  <c r="Z212" i="19"/>
  <c r="AF212" i="19" s="1"/>
  <c r="AA198" i="19"/>
  <c r="AG198" i="19" s="1"/>
  <c r="Z198" i="19"/>
  <c r="AF198" i="19" s="1"/>
  <c r="AA184" i="19"/>
  <c r="AG184" i="19" s="1"/>
  <c r="Z184" i="19"/>
  <c r="AF184" i="19" s="1"/>
  <c r="AA170" i="19"/>
  <c r="AG170" i="19" s="1"/>
  <c r="Z170" i="19"/>
  <c r="AF170" i="19" s="1"/>
  <c r="Z156" i="19"/>
  <c r="AF156" i="19" s="1"/>
  <c r="AA156" i="19"/>
  <c r="AG156" i="19" s="1"/>
  <c r="AA142" i="19"/>
  <c r="AG142" i="19" s="1"/>
  <c r="Z142" i="19"/>
  <c r="AF142" i="19" s="1"/>
  <c r="Z128" i="19"/>
  <c r="AF128" i="19" s="1"/>
  <c r="AA128" i="19"/>
  <c r="AG128" i="19" s="1"/>
  <c r="AA114" i="19"/>
  <c r="AG114" i="19" s="1"/>
  <c r="Z114" i="19"/>
  <c r="AF114" i="19" s="1"/>
  <c r="AA99" i="19"/>
  <c r="AG99" i="19" s="1"/>
  <c r="Z99" i="19"/>
  <c r="AF99" i="19" s="1"/>
  <c r="AA85" i="19"/>
  <c r="AG85" i="19" s="1"/>
  <c r="Z85" i="19"/>
  <c r="AF85" i="19" s="1"/>
  <c r="AA71" i="19"/>
  <c r="AG71" i="19" s="1"/>
  <c r="Z71" i="19"/>
  <c r="AF71" i="19" s="1"/>
  <c r="Z57" i="19"/>
  <c r="AF57" i="19" s="1"/>
  <c r="AA57" i="19"/>
  <c r="AG57" i="19" s="1"/>
  <c r="AA43" i="19"/>
  <c r="AG43" i="19" s="1"/>
  <c r="Z43" i="19"/>
  <c r="AF43" i="19" s="1"/>
  <c r="AA29" i="19"/>
  <c r="AG29" i="19" s="1"/>
  <c r="Z29" i="19"/>
  <c r="AF29" i="19" s="1"/>
  <c r="AA15" i="19"/>
  <c r="AG15" i="19" s="1"/>
  <c r="Z15" i="19"/>
  <c r="AF15" i="19" s="1"/>
  <c r="Z208" i="19"/>
  <c r="AF208" i="19" s="1"/>
  <c r="AA208" i="19"/>
  <c r="AG208" i="19" s="1"/>
  <c r="AA152" i="19"/>
  <c r="AG152" i="19" s="1"/>
  <c r="Z152" i="19"/>
  <c r="AF152" i="19" s="1"/>
  <c r="AA124" i="19"/>
  <c r="AG124" i="19" s="1"/>
  <c r="Z124" i="19"/>
  <c r="AF124" i="19" s="1"/>
  <c r="AA67" i="19"/>
  <c r="AG67" i="19" s="1"/>
  <c r="Z67" i="19"/>
  <c r="AF67" i="19" s="1"/>
  <c r="Z165" i="19"/>
  <c r="AF165" i="19" s="1"/>
  <c r="AA165" i="19"/>
  <c r="AG165" i="19" s="1"/>
  <c r="Z80" i="19"/>
  <c r="AF80" i="19" s="1"/>
  <c r="AA80" i="19"/>
  <c r="AG80" i="19" s="1"/>
  <c r="Z10" i="19"/>
  <c r="AF10" i="19" s="1"/>
  <c r="AL10" i="19" s="1"/>
  <c r="AP10" i="19" s="1"/>
  <c r="AA10" i="19"/>
  <c r="AG10" i="19" s="1"/>
  <c r="Z206" i="19"/>
  <c r="AF206" i="19" s="1"/>
  <c r="AA206" i="19"/>
  <c r="AG206" i="19" s="1"/>
  <c r="AA122" i="19"/>
  <c r="AG122" i="19" s="1"/>
  <c r="Z122" i="19"/>
  <c r="AF122" i="19" s="1"/>
  <c r="Z37" i="19"/>
  <c r="AF37" i="19" s="1"/>
  <c r="AA37" i="19"/>
  <c r="AG37" i="19" s="1"/>
  <c r="Z219" i="19"/>
  <c r="AF219" i="19" s="1"/>
  <c r="AA219" i="19"/>
  <c r="AG219" i="19" s="1"/>
  <c r="Z135" i="19"/>
  <c r="AF135" i="19" s="1"/>
  <c r="AA135" i="19"/>
  <c r="AG135" i="19" s="1"/>
  <c r="Z64" i="19"/>
  <c r="AF64" i="19" s="1"/>
  <c r="AA64" i="19"/>
  <c r="AG64" i="19" s="1"/>
  <c r="Z176" i="19"/>
  <c r="AF176" i="19" s="1"/>
  <c r="AA176" i="19"/>
  <c r="AG176" i="19" s="1"/>
  <c r="Z91" i="19"/>
  <c r="AF91" i="19" s="1"/>
  <c r="AA91" i="19"/>
  <c r="AG91" i="19" s="1"/>
  <c r="AA21" i="19"/>
  <c r="AG21" i="19" s="1"/>
  <c r="Z21" i="19"/>
  <c r="AF21" i="19" s="1"/>
  <c r="AA214" i="19"/>
  <c r="AG214" i="19" s="1"/>
  <c r="Z214" i="19"/>
  <c r="AF214" i="19" s="1"/>
  <c r="AA144" i="19"/>
  <c r="AG144" i="19" s="1"/>
  <c r="Z144" i="19"/>
  <c r="AF144" i="19" s="1"/>
  <c r="Z45" i="19"/>
  <c r="AF45" i="19" s="1"/>
  <c r="AA45" i="19"/>
  <c r="AG45" i="19" s="1"/>
  <c r="AA171" i="19"/>
  <c r="AG171" i="19" s="1"/>
  <c r="Z171" i="19"/>
  <c r="AF171" i="19" s="1"/>
  <c r="Z225" i="19"/>
  <c r="AF225" i="19" s="1"/>
  <c r="AA225" i="19"/>
  <c r="AG225" i="19" s="1"/>
  <c r="Z211" i="19"/>
  <c r="AF211" i="19" s="1"/>
  <c r="AA211" i="19"/>
  <c r="AG211" i="19" s="1"/>
  <c r="AA197" i="19"/>
  <c r="AG197" i="19" s="1"/>
  <c r="Z197" i="19"/>
  <c r="AF197" i="19" s="1"/>
  <c r="AA183" i="19"/>
  <c r="AG183" i="19" s="1"/>
  <c r="Z183" i="19"/>
  <c r="AF183" i="19" s="1"/>
  <c r="AA169" i="19"/>
  <c r="AG169" i="19" s="1"/>
  <c r="Z169" i="19"/>
  <c r="AF169" i="19" s="1"/>
  <c r="AA155" i="19"/>
  <c r="AG155" i="19" s="1"/>
  <c r="Z155" i="19"/>
  <c r="AF155" i="19" s="1"/>
  <c r="AA141" i="19"/>
  <c r="AG141" i="19" s="1"/>
  <c r="Z141" i="19"/>
  <c r="AF141" i="19" s="1"/>
  <c r="AA127" i="19"/>
  <c r="AG127" i="19" s="1"/>
  <c r="Z127" i="19"/>
  <c r="AF127" i="19" s="1"/>
  <c r="AA113" i="19"/>
  <c r="AG113" i="19" s="1"/>
  <c r="Z113" i="19"/>
  <c r="AF113" i="19" s="1"/>
  <c r="AA98" i="19"/>
  <c r="AG98" i="19" s="1"/>
  <c r="Z98" i="19"/>
  <c r="AF98" i="19" s="1"/>
  <c r="AA84" i="19"/>
  <c r="AG84" i="19" s="1"/>
  <c r="Z84" i="19"/>
  <c r="AF84" i="19" s="1"/>
  <c r="AA70" i="19"/>
  <c r="AG70" i="19" s="1"/>
  <c r="Z70" i="19"/>
  <c r="AF70" i="19" s="1"/>
  <c r="AA56" i="19"/>
  <c r="AG56" i="19" s="1"/>
  <c r="Z56" i="19"/>
  <c r="AF56" i="19" s="1"/>
  <c r="Z42" i="19"/>
  <c r="AF42" i="19" s="1"/>
  <c r="AA42" i="19"/>
  <c r="AG42" i="19" s="1"/>
  <c r="Z28" i="19"/>
  <c r="AF28" i="19" s="1"/>
  <c r="AA28" i="19"/>
  <c r="AG28" i="19" s="1"/>
  <c r="AA14" i="19"/>
  <c r="AG14" i="19" s="1"/>
  <c r="Z14" i="19"/>
  <c r="AF14" i="19" s="1"/>
  <c r="Z166" i="19"/>
  <c r="AF166" i="19" s="1"/>
  <c r="AA166" i="19"/>
  <c r="AG166" i="19" s="1"/>
  <c r="Z81" i="19"/>
  <c r="AF81" i="19" s="1"/>
  <c r="AA81" i="19"/>
  <c r="AG81" i="19" s="1"/>
  <c r="Z11" i="19"/>
  <c r="AF11" i="19" s="1"/>
  <c r="AA11" i="19"/>
  <c r="AG11" i="19" s="1"/>
  <c r="AA207" i="19"/>
  <c r="AG207" i="19" s="1"/>
  <c r="Z207" i="19"/>
  <c r="AF207" i="19" s="1"/>
  <c r="AA108" i="19"/>
  <c r="AG108" i="19" s="1"/>
  <c r="Z108" i="19"/>
  <c r="AF108" i="19" s="1"/>
  <c r="AA66" i="19"/>
  <c r="AG66" i="19" s="1"/>
  <c r="Z66" i="19"/>
  <c r="AF66" i="19" s="1"/>
  <c r="AA192" i="19"/>
  <c r="AG192" i="19" s="1"/>
  <c r="Z192" i="19"/>
  <c r="AF192" i="19" s="1"/>
  <c r="Z136" i="19"/>
  <c r="AF136" i="19" s="1"/>
  <c r="AA136" i="19"/>
  <c r="AG136" i="19" s="1"/>
  <c r="Z93" i="19"/>
  <c r="AF93" i="19" s="1"/>
  <c r="AA93" i="19"/>
  <c r="AG93" i="19" s="1"/>
  <c r="AA51" i="19"/>
  <c r="AG51" i="19" s="1"/>
  <c r="Z51" i="19"/>
  <c r="AF51" i="19" s="1"/>
  <c r="AA191" i="19"/>
  <c r="AG191" i="19" s="1"/>
  <c r="Z191" i="19"/>
  <c r="AF191" i="19" s="1"/>
  <c r="Z121" i="19"/>
  <c r="AF121" i="19" s="1"/>
  <c r="AA121" i="19"/>
  <c r="AG121" i="19" s="1"/>
  <c r="Z50" i="19"/>
  <c r="AF50" i="19" s="1"/>
  <c r="AA50" i="19"/>
  <c r="AG50" i="19" s="1"/>
  <c r="Z2" i="19"/>
  <c r="AF2" i="19" s="1"/>
  <c r="AA2" i="19"/>
  <c r="AG2" i="19" s="1"/>
  <c r="Z162" i="19"/>
  <c r="AF162" i="19" s="1"/>
  <c r="AA162" i="19"/>
  <c r="AG162" i="19" s="1"/>
  <c r="AA77" i="19"/>
  <c r="AG77" i="19" s="1"/>
  <c r="Z77" i="19"/>
  <c r="AF77" i="19" s="1"/>
  <c r="AA109" i="19"/>
  <c r="AG109" i="19" s="1"/>
  <c r="Z109" i="19"/>
  <c r="AF109" i="19" s="1"/>
  <c r="Z186" i="19"/>
  <c r="AF186" i="19" s="1"/>
  <c r="AA186" i="19"/>
  <c r="AG186" i="19" s="1"/>
  <c r="Z87" i="19"/>
  <c r="AF87" i="19" s="1"/>
  <c r="AA87" i="19"/>
  <c r="AG87" i="19" s="1"/>
  <c r="AA185" i="19"/>
  <c r="AG185" i="19" s="1"/>
  <c r="Z185" i="19"/>
  <c r="AF185" i="19" s="1"/>
  <c r="Z224" i="19"/>
  <c r="AF224" i="19" s="1"/>
  <c r="AA224" i="19"/>
  <c r="AG224" i="19" s="1"/>
  <c r="Z210" i="19"/>
  <c r="AF210" i="19" s="1"/>
  <c r="AA210" i="19"/>
  <c r="AG210" i="19" s="1"/>
  <c r="Z196" i="19"/>
  <c r="AF196" i="19" s="1"/>
  <c r="AA196" i="19"/>
  <c r="AG196" i="19" s="1"/>
  <c r="AA182" i="19"/>
  <c r="AG182" i="19" s="1"/>
  <c r="Z182" i="19"/>
  <c r="AF182" i="19" s="1"/>
  <c r="AA168" i="19"/>
  <c r="AG168" i="19" s="1"/>
  <c r="Z168" i="19"/>
  <c r="AF168" i="19" s="1"/>
  <c r="AA154" i="19"/>
  <c r="AG154" i="19" s="1"/>
  <c r="Z154" i="19"/>
  <c r="AF154" i="19" s="1"/>
  <c r="AA140" i="19"/>
  <c r="AG140" i="19" s="1"/>
  <c r="Z140" i="19"/>
  <c r="AF140" i="19" s="1"/>
  <c r="AA126" i="19"/>
  <c r="AG126" i="19" s="1"/>
  <c r="Z126" i="19"/>
  <c r="AF126" i="19" s="1"/>
  <c r="AA112" i="19"/>
  <c r="AG112" i="19" s="1"/>
  <c r="Z112" i="19"/>
  <c r="AF112" i="19" s="1"/>
  <c r="AA97" i="19"/>
  <c r="AG97" i="19" s="1"/>
  <c r="Z97" i="19"/>
  <c r="AF97" i="19" s="1"/>
  <c r="AA83" i="19"/>
  <c r="AG83" i="19" s="1"/>
  <c r="Z83" i="19"/>
  <c r="AF83" i="19" s="1"/>
  <c r="AA69" i="19"/>
  <c r="AG69" i="19" s="1"/>
  <c r="Z69" i="19"/>
  <c r="AF69" i="19" s="1"/>
  <c r="AA55" i="19"/>
  <c r="AG55" i="19" s="1"/>
  <c r="Z55" i="19"/>
  <c r="AF55" i="19" s="1"/>
  <c r="AA41" i="19"/>
  <c r="AG41" i="19" s="1"/>
  <c r="Z41" i="19"/>
  <c r="AF41" i="19" s="1"/>
  <c r="Z27" i="19"/>
  <c r="AF27" i="19" s="1"/>
  <c r="AA27" i="19"/>
  <c r="AG27" i="19" s="1"/>
  <c r="Z13" i="19"/>
  <c r="AF13" i="19" s="1"/>
  <c r="AA13" i="19"/>
  <c r="AG13" i="19" s="1"/>
  <c r="Z180" i="19"/>
  <c r="AF180" i="19" s="1"/>
  <c r="AA180" i="19"/>
  <c r="AG180" i="19" s="1"/>
  <c r="AA110" i="19"/>
  <c r="AG110" i="19" s="1"/>
  <c r="Z110" i="19"/>
  <c r="AF110" i="19" s="1"/>
  <c r="AA39" i="19"/>
  <c r="AG39" i="19" s="1"/>
  <c r="Z39" i="19"/>
  <c r="AF39" i="19" s="1"/>
  <c r="Z151" i="19"/>
  <c r="AF151" i="19" s="1"/>
  <c r="AA151" i="19"/>
  <c r="AG151" i="19" s="1"/>
  <c r="AA52" i="19"/>
  <c r="AG52" i="19" s="1"/>
  <c r="Z52" i="19"/>
  <c r="AF52" i="19" s="1"/>
  <c r="Z220" i="19"/>
  <c r="AF220" i="19" s="1"/>
  <c r="AA220" i="19"/>
  <c r="AG220" i="19" s="1"/>
  <c r="Z150" i="19"/>
  <c r="AF150" i="19" s="1"/>
  <c r="AA150" i="19"/>
  <c r="AG150" i="19" s="1"/>
  <c r="Z65" i="19"/>
  <c r="AF65" i="19" s="1"/>
  <c r="AA65" i="19"/>
  <c r="AG65" i="19" s="1"/>
  <c r="Z205" i="19"/>
  <c r="AF205" i="19" s="1"/>
  <c r="AA205" i="19"/>
  <c r="AG205" i="19" s="1"/>
  <c r="Z149" i="19"/>
  <c r="AF149" i="19" s="1"/>
  <c r="AA149" i="19"/>
  <c r="AG149" i="19" s="1"/>
  <c r="Z106" i="19"/>
  <c r="AF106" i="19" s="1"/>
  <c r="AA106" i="19"/>
  <c r="AG106" i="19" s="1"/>
  <c r="Z36" i="19"/>
  <c r="AF36" i="19" s="1"/>
  <c r="AA36" i="19"/>
  <c r="AG36" i="19" s="1"/>
  <c r="Z204" i="19"/>
  <c r="AF204" i="19" s="1"/>
  <c r="AA204" i="19"/>
  <c r="AG204" i="19" s="1"/>
  <c r="Z120" i="19"/>
  <c r="AF120" i="19" s="1"/>
  <c r="AA120" i="19"/>
  <c r="AG120" i="19" s="1"/>
  <c r="Z49" i="19"/>
  <c r="AF49" i="19" s="1"/>
  <c r="AA49" i="19"/>
  <c r="AG49" i="19" s="1"/>
  <c r="AA200" i="19"/>
  <c r="AG200" i="19" s="1"/>
  <c r="Z200" i="19"/>
  <c r="AF200" i="19" s="1"/>
  <c r="Z172" i="19"/>
  <c r="AF172" i="19" s="1"/>
  <c r="AA172" i="19"/>
  <c r="AG172" i="19" s="1"/>
  <c r="Z130" i="19"/>
  <c r="AF130" i="19" s="1"/>
  <c r="AA130" i="19"/>
  <c r="AG130" i="19" s="1"/>
  <c r="Z116" i="19"/>
  <c r="AF116" i="19" s="1"/>
  <c r="AA116" i="19"/>
  <c r="AG116" i="19" s="1"/>
  <c r="Z101" i="19"/>
  <c r="AF101" i="19" s="1"/>
  <c r="AA101" i="19"/>
  <c r="AG101" i="19" s="1"/>
  <c r="Z73" i="19"/>
  <c r="AF73" i="19" s="1"/>
  <c r="AA73" i="19"/>
  <c r="AG73" i="19" s="1"/>
  <c r="AA31" i="19"/>
  <c r="AG31" i="19" s="1"/>
  <c r="Z31" i="19"/>
  <c r="AF31" i="19" s="1"/>
  <c r="Z17" i="19"/>
  <c r="AF17" i="19" s="1"/>
  <c r="AA17" i="19"/>
  <c r="AG17" i="19" s="1"/>
  <c r="Z7" i="19"/>
  <c r="AF7" i="19" s="1"/>
  <c r="AL7" i="19" s="1"/>
  <c r="AP7" i="19" s="1"/>
  <c r="AA7" i="19"/>
  <c r="AG7" i="19" s="1"/>
  <c r="AA199" i="19"/>
  <c r="AG199" i="19" s="1"/>
  <c r="Z199" i="19"/>
  <c r="AF199" i="19" s="1"/>
  <c r="AA157" i="19"/>
  <c r="AG157" i="19" s="1"/>
  <c r="Z157" i="19"/>
  <c r="AF157" i="19" s="1"/>
  <c r="Z143" i="19"/>
  <c r="AF143" i="19" s="1"/>
  <c r="AA143" i="19"/>
  <c r="AG143" i="19" s="1"/>
  <c r="Z129" i="19"/>
  <c r="AF129" i="19" s="1"/>
  <c r="AA129" i="19"/>
  <c r="AG129" i="19" s="1"/>
  <c r="Z115" i="19"/>
  <c r="AF115" i="19" s="1"/>
  <c r="AA115" i="19"/>
  <c r="AG115" i="19" s="1"/>
  <c r="Z100" i="19"/>
  <c r="AF100" i="19" s="1"/>
  <c r="AA100" i="19"/>
  <c r="AG100" i="19" s="1"/>
  <c r="AA86" i="19"/>
  <c r="AG86" i="19" s="1"/>
  <c r="Z86" i="19"/>
  <c r="AF86" i="19" s="1"/>
  <c r="Z72" i="19"/>
  <c r="AF72" i="19" s="1"/>
  <c r="AA72" i="19"/>
  <c r="AG72" i="19" s="1"/>
  <c r="Z58" i="19"/>
  <c r="AF58" i="19" s="1"/>
  <c r="AA58" i="19"/>
  <c r="AG58" i="19" s="1"/>
  <c r="Z44" i="19"/>
  <c r="AF44" i="19" s="1"/>
  <c r="AA44" i="19"/>
  <c r="AG44" i="19" s="1"/>
  <c r="Z30" i="19"/>
  <c r="AF30" i="19" s="1"/>
  <c r="AA30" i="19"/>
  <c r="AG30" i="19" s="1"/>
  <c r="Z16" i="19"/>
  <c r="AF16" i="19" s="1"/>
  <c r="AA16" i="19"/>
  <c r="AG16" i="19" s="1"/>
  <c r="AA223" i="19"/>
  <c r="AG223" i="19" s="1"/>
  <c r="Z223" i="19"/>
  <c r="AF223" i="19" s="1"/>
  <c r="AA209" i="19"/>
  <c r="AG209" i="19" s="1"/>
  <c r="Z209" i="19"/>
  <c r="AF209" i="19" s="1"/>
  <c r="AA195" i="19"/>
  <c r="AG195" i="19" s="1"/>
  <c r="Z195" i="19"/>
  <c r="AF195" i="19" s="1"/>
  <c r="AA181" i="19"/>
  <c r="AG181" i="19" s="1"/>
  <c r="Z181" i="19"/>
  <c r="AF181" i="19" s="1"/>
  <c r="AA167" i="19"/>
  <c r="AG167" i="19" s="1"/>
  <c r="Z167" i="19"/>
  <c r="AF167" i="19" s="1"/>
  <c r="AA153" i="19"/>
  <c r="AG153" i="19" s="1"/>
  <c r="Z153" i="19"/>
  <c r="AF153" i="19" s="1"/>
  <c r="AA139" i="19"/>
  <c r="AG139" i="19" s="1"/>
  <c r="Z139" i="19"/>
  <c r="AF139" i="19" s="1"/>
  <c r="AA125" i="19"/>
  <c r="AG125" i="19" s="1"/>
  <c r="Z125" i="19"/>
  <c r="AF125" i="19" s="1"/>
  <c r="AA111" i="19"/>
  <c r="AG111" i="19" s="1"/>
  <c r="Z111" i="19"/>
  <c r="AF111" i="19" s="1"/>
  <c r="AA96" i="19"/>
  <c r="AG96" i="19" s="1"/>
  <c r="Z96" i="19"/>
  <c r="AF96" i="19" s="1"/>
  <c r="AA82" i="19"/>
  <c r="AG82" i="19" s="1"/>
  <c r="Z82" i="19"/>
  <c r="AF82" i="19" s="1"/>
  <c r="AA68" i="19"/>
  <c r="AG68" i="19" s="1"/>
  <c r="Z68" i="19"/>
  <c r="AF68" i="19" s="1"/>
  <c r="AA54" i="19"/>
  <c r="AG54" i="19" s="1"/>
  <c r="Z54" i="19"/>
  <c r="AF54" i="19" s="1"/>
  <c r="AA40" i="19"/>
  <c r="AG40" i="19" s="1"/>
  <c r="Z40" i="19"/>
  <c r="AF40" i="19" s="1"/>
  <c r="AA26" i="19"/>
  <c r="AG26" i="19" s="1"/>
  <c r="Z26" i="19"/>
  <c r="AF26" i="19" s="1"/>
  <c r="Z12" i="19"/>
  <c r="AF12" i="19" s="1"/>
  <c r="AA12" i="19"/>
  <c r="AG12" i="19" s="1"/>
  <c r="Q22" i="17"/>
  <c r="T22" i="17" s="1"/>
  <c r="W22" i="17" s="1"/>
  <c r="R22" i="17"/>
  <c r="U22" i="17" s="1"/>
  <c r="X22" i="17" s="1"/>
  <c r="R72" i="17"/>
  <c r="U72" i="17" s="1"/>
  <c r="X72" i="17" s="1"/>
  <c r="Q72" i="17"/>
  <c r="T72" i="17" s="1"/>
  <c r="W72" i="17" s="1"/>
  <c r="Q236" i="17"/>
  <c r="T236" i="17" s="1"/>
  <c r="W236" i="17" s="1"/>
  <c r="R236" i="17"/>
  <c r="U236" i="17" s="1"/>
  <c r="X236" i="17" s="1"/>
  <c r="Q18" i="17"/>
  <c r="T18" i="17" s="1"/>
  <c r="W18" i="17" s="1"/>
  <c r="R18" i="17"/>
  <c r="U18" i="17" s="1"/>
  <c r="X18" i="17" s="1"/>
  <c r="Q81" i="17"/>
  <c r="T81" i="17" s="1"/>
  <c r="W81" i="17" s="1"/>
  <c r="R81" i="17"/>
  <c r="U81" i="17" s="1"/>
  <c r="X81" i="17" s="1"/>
  <c r="Q144" i="17"/>
  <c r="T144" i="17" s="1"/>
  <c r="W144" i="17" s="1"/>
  <c r="R144" i="17"/>
  <c r="U144" i="17" s="1"/>
  <c r="X144" i="17" s="1"/>
  <c r="Q207" i="17"/>
  <c r="T207" i="17" s="1"/>
  <c r="W207" i="17" s="1"/>
  <c r="R207" i="17"/>
  <c r="U207" i="17" s="1"/>
  <c r="X207" i="17" s="1"/>
  <c r="R20" i="17"/>
  <c r="U20" i="17" s="1"/>
  <c r="X20" i="17" s="1"/>
  <c r="Q164" i="17"/>
  <c r="T164" i="17" s="1"/>
  <c r="W164" i="17" s="1"/>
  <c r="Q42" i="17"/>
  <c r="T42" i="17" s="1"/>
  <c r="W42" i="17" s="1"/>
  <c r="R42" i="17"/>
  <c r="U42" i="17" s="1"/>
  <c r="X42" i="17" s="1"/>
  <c r="Q85" i="17"/>
  <c r="T85" i="17" s="1"/>
  <c r="W85" i="17" s="1"/>
  <c r="R85" i="17"/>
  <c r="U85" i="17" s="1"/>
  <c r="X85" i="17" s="1"/>
  <c r="R211" i="17"/>
  <c r="U211" i="17" s="1"/>
  <c r="X211" i="17" s="1"/>
  <c r="Q211" i="17"/>
  <c r="T211" i="17" s="1"/>
  <c r="W211" i="17" s="1"/>
  <c r="Q135" i="17"/>
  <c r="T135" i="17" s="1"/>
  <c r="W135" i="17" s="1"/>
  <c r="R135" i="17"/>
  <c r="U135" i="17" s="1"/>
  <c r="X135" i="17" s="1"/>
  <c r="R43" i="17"/>
  <c r="U43" i="17" s="1"/>
  <c r="X43" i="17" s="1"/>
  <c r="Q43" i="17"/>
  <c r="T43" i="17" s="1"/>
  <c r="W43" i="17" s="1"/>
  <c r="Q86" i="17"/>
  <c r="T86" i="17" s="1"/>
  <c r="W86" i="17" s="1"/>
  <c r="R86" i="17"/>
  <c r="U86" i="17" s="1"/>
  <c r="X86" i="17" s="1"/>
  <c r="R192" i="17"/>
  <c r="U192" i="17" s="1"/>
  <c r="X192" i="17" s="1"/>
  <c r="Q192" i="17"/>
  <c r="T192" i="17" s="1"/>
  <c r="W192" i="17" s="1"/>
  <c r="Q232" i="17"/>
  <c r="T232" i="17" s="1"/>
  <c r="W232" i="17" s="1"/>
  <c r="R232" i="17"/>
  <c r="U232" i="17" s="1"/>
  <c r="X232" i="17" s="1"/>
  <c r="Q73" i="17"/>
  <c r="T73" i="17" s="1"/>
  <c r="W73" i="17" s="1"/>
  <c r="R73" i="17"/>
  <c r="U73" i="17" s="1"/>
  <c r="X73" i="17" s="1"/>
  <c r="Q199" i="17"/>
  <c r="T199" i="17" s="1"/>
  <c r="W199" i="17" s="1"/>
  <c r="R199" i="17"/>
  <c r="U199" i="17" s="1"/>
  <c r="X199" i="17" s="1"/>
  <c r="Q24" i="17"/>
  <c r="T24" i="17" s="1"/>
  <c r="W24" i="17" s="1"/>
  <c r="R24" i="17"/>
  <c r="U24" i="17" s="1"/>
  <c r="X24" i="17" s="1"/>
  <c r="R67" i="17"/>
  <c r="U67" i="17" s="1"/>
  <c r="X67" i="17" s="1"/>
  <c r="Q67" i="17"/>
  <c r="T67" i="17" s="1"/>
  <c r="W67" i="17" s="1"/>
  <c r="Q110" i="17"/>
  <c r="T110" i="17" s="1"/>
  <c r="W110" i="17" s="1"/>
  <c r="R110" i="17"/>
  <c r="U110" i="17" s="1"/>
  <c r="X110" i="17" s="1"/>
  <c r="Q150" i="17"/>
  <c r="T150" i="17" s="1"/>
  <c r="W150" i="17" s="1"/>
  <c r="R150" i="17"/>
  <c r="U150" i="17" s="1"/>
  <c r="X150" i="17" s="1"/>
  <c r="R193" i="17"/>
  <c r="U193" i="17" s="1"/>
  <c r="X193" i="17" s="1"/>
  <c r="Q193" i="17"/>
  <c r="T193" i="17" s="1"/>
  <c r="W193" i="17" s="1"/>
  <c r="R5" i="17"/>
  <c r="U5" i="17" s="1"/>
  <c r="X5" i="17" s="1"/>
  <c r="Q5" i="17"/>
  <c r="T5" i="17" s="1"/>
  <c r="W5" i="17" s="1"/>
  <c r="Q25" i="17"/>
  <c r="T25" i="17" s="1"/>
  <c r="W25" i="17" s="1"/>
  <c r="R25" i="17"/>
  <c r="U25" i="17" s="1"/>
  <c r="X25" i="17" s="1"/>
  <c r="Q48" i="17"/>
  <c r="T48" i="17" s="1"/>
  <c r="W48" i="17" s="1"/>
  <c r="R48" i="17"/>
  <c r="U48" i="17" s="1"/>
  <c r="X48" i="17" s="1"/>
  <c r="Q68" i="17"/>
  <c r="T68" i="17" s="1"/>
  <c r="W68" i="17" s="1"/>
  <c r="R68" i="17"/>
  <c r="U68" i="17" s="1"/>
  <c r="X68" i="17" s="1"/>
  <c r="Q88" i="17"/>
  <c r="T88" i="17" s="1"/>
  <c r="W88" i="17" s="1"/>
  <c r="R88" i="17"/>
  <c r="U88" i="17" s="1"/>
  <c r="X88" i="17" s="1"/>
  <c r="Q111" i="17"/>
  <c r="T111" i="17" s="1"/>
  <c r="W111" i="17" s="1"/>
  <c r="R111" i="17"/>
  <c r="U111" i="17" s="1"/>
  <c r="X111" i="17" s="1"/>
  <c r="R131" i="17"/>
  <c r="U131" i="17" s="1"/>
  <c r="X131" i="17" s="1"/>
  <c r="Q131" i="17"/>
  <c r="T131" i="17" s="1"/>
  <c r="W131" i="17" s="1"/>
  <c r="R151" i="17"/>
  <c r="U151" i="17" s="1"/>
  <c r="X151" i="17" s="1"/>
  <c r="Q151" i="17"/>
  <c r="T151" i="17" s="1"/>
  <c r="W151" i="17" s="1"/>
  <c r="Q174" i="17"/>
  <c r="T174" i="17" s="1"/>
  <c r="W174" i="17" s="1"/>
  <c r="R174" i="17"/>
  <c r="U174" i="17" s="1"/>
  <c r="X174" i="17" s="1"/>
  <c r="Q194" i="17"/>
  <c r="T194" i="17" s="1"/>
  <c r="W194" i="17" s="1"/>
  <c r="R194" i="17"/>
  <c r="U194" i="17" s="1"/>
  <c r="X194" i="17" s="1"/>
  <c r="Q214" i="17"/>
  <c r="T214" i="17" s="1"/>
  <c r="W214" i="17" s="1"/>
  <c r="R214" i="17"/>
  <c r="U214" i="17" s="1"/>
  <c r="X214" i="17" s="1"/>
  <c r="Q237" i="17"/>
  <c r="T237" i="17" s="1"/>
  <c r="W237" i="17" s="1"/>
  <c r="R237" i="17"/>
  <c r="U237" i="17" s="1"/>
  <c r="X237" i="17" s="1"/>
  <c r="Q19" i="17"/>
  <c r="T19" i="17" s="1"/>
  <c r="W19" i="17" s="1"/>
  <c r="R19" i="17"/>
  <c r="U19" i="17" s="1"/>
  <c r="X19" i="17" s="1"/>
  <c r="Q82" i="17"/>
  <c r="T82" i="17" s="1"/>
  <c r="W82" i="17" s="1"/>
  <c r="R82" i="17"/>
  <c r="U82" i="17" s="1"/>
  <c r="X82" i="17" s="1"/>
  <c r="Q145" i="17"/>
  <c r="T145" i="17" s="1"/>
  <c r="W145" i="17" s="1"/>
  <c r="R145" i="17"/>
  <c r="U145" i="17" s="1"/>
  <c r="X145" i="17" s="1"/>
  <c r="Q208" i="17"/>
  <c r="T208" i="17" s="1"/>
  <c r="W208" i="17" s="1"/>
  <c r="R208" i="17"/>
  <c r="U208" i="17" s="1"/>
  <c r="X208" i="17" s="1"/>
  <c r="Q65" i="17"/>
  <c r="T65" i="17" s="1"/>
  <c r="W65" i="17" s="1"/>
  <c r="R148" i="17"/>
  <c r="U148" i="17" s="1"/>
  <c r="X148" i="17" s="1"/>
  <c r="Q148" i="17"/>
  <c r="T148" i="17" s="1"/>
  <c r="W148" i="17" s="1"/>
  <c r="Q231" i="17"/>
  <c r="T231" i="17" s="1"/>
  <c r="W231" i="17" s="1"/>
  <c r="R231" i="17"/>
  <c r="U231" i="17" s="1"/>
  <c r="X231" i="17" s="1"/>
  <c r="R198" i="17"/>
  <c r="U198" i="17" s="1"/>
  <c r="X198" i="17" s="1"/>
  <c r="Q198" i="17"/>
  <c r="T198" i="17" s="1"/>
  <c r="W198" i="17" s="1"/>
  <c r="Q66" i="17"/>
  <c r="T66" i="17" s="1"/>
  <c r="W66" i="17" s="1"/>
  <c r="R66" i="17"/>
  <c r="U66" i="17" s="1"/>
  <c r="X66" i="17" s="1"/>
  <c r="Q129" i="17"/>
  <c r="T129" i="17" s="1"/>
  <c r="W129" i="17" s="1"/>
  <c r="R129" i="17"/>
  <c r="U129" i="17" s="1"/>
  <c r="X129" i="17" s="1"/>
  <c r="R212" i="17"/>
  <c r="U212" i="17" s="1"/>
  <c r="X212" i="17" s="1"/>
  <c r="Q212" i="17"/>
  <c r="T212" i="17" s="1"/>
  <c r="W212" i="17" s="1"/>
  <c r="Q9" i="17"/>
  <c r="T9" i="17" s="1"/>
  <c r="W9" i="17" s="1"/>
  <c r="R9" i="17"/>
  <c r="U9" i="17" s="1"/>
  <c r="X9" i="17" s="1"/>
  <c r="R136" i="17"/>
  <c r="U136" i="17" s="1"/>
  <c r="X136" i="17" s="1"/>
  <c r="Q136" i="17"/>
  <c r="T136" i="17" s="1"/>
  <c r="W136" i="17" s="1"/>
  <c r="Q4" i="17"/>
  <c r="T4" i="17" s="1"/>
  <c r="W4" i="17" s="1"/>
  <c r="R4" i="17"/>
  <c r="U4" i="17" s="1"/>
  <c r="X4" i="17" s="1"/>
  <c r="Q87" i="17"/>
  <c r="T87" i="17" s="1"/>
  <c r="W87" i="17" s="1"/>
  <c r="R87" i="17"/>
  <c r="U87" i="17" s="1"/>
  <c r="X87" i="17" s="1"/>
  <c r="Q130" i="17"/>
  <c r="T130" i="17" s="1"/>
  <c r="W130" i="17" s="1"/>
  <c r="R130" i="17"/>
  <c r="U130" i="17" s="1"/>
  <c r="X130" i="17" s="1"/>
  <c r="Q213" i="17"/>
  <c r="T213" i="17" s="1"/>
  <c r="W213" i="17" s="1"/>
  <c r="R213" i="17"/>
  <c r="U213" i="17" s="1"/>
  <c r="X213" i="17" s="1"/>
  <c r="Q6" i="17"/>
  <c r="T6" i="17" s="1"/>
  <c r="W6" i="17" s="1"/>
  <c r="R6" i="17"/>
  <c r="U6" i="17" s="1"/>
  <c r="X6" i="17" s="1"/>
  <c r="Q29" i="17"/>
  <c r="T29" i="17" s="1"/>
  <c r="W29" i="17" s="1"/>
  <c r="R29" i="17"/>
  <c r="U29" i="17" s="1"/>
  <c r="X29" i="17" s="1"/>
  <c r="Q49" i="17"/>
  <c r="T49" i="17" s="1"/>
  <c r="W49" i="17" s="1"/>
  <c r="R49" i="17"/>
  <c r="U49" i="17" s="1"/>
  <c r="X49" i="17" s="1"/>
  <c r="Q69" i="17"/>
  <c r="T69" i="17" s="1"/>
  <c r="W69" i="17" s="1"/>
  <c r="R69" i="17"/>
  <c r="U69" i="17" s="1"/>
  <c r="X69" i="17" s="1"/>
  <c r="Q112" i="17"/>
  <c r="T112" i="17" s="1"/>
  <c r="W112" i="17" s="1"/>
  <c r="R112" i="17"/>
  <c r="U112" i="17" s="1"/>
  <c r="X112" i="17" s="1"/>
  <c r="Q132" i="17"/>
  <c r="T132" i="17" s="1"/>
  <c r="W132" i="17" s="1"/>
  <c r="R132" i="17"/>
  <c r="U132" i="17" s="1"/>
  <c r="X132" i="17" s="1"/>
  <c r="Q155" i="17"/>
  <c r="T155" i="17" s="1"/>
  <c r="W155" i="17" s="1"/>
  <c r="R155" i="17"/>
  <c r="U155" i="17" s="1"/>
  <c r="X155" i="17" s="1"/>
  <c r="Q175" i="17"/>
  <c r="T175" i="17" s="1"/>
  <c r="W175" i="17" s="1"/>
  <c r="R175" i="17"/>
  <c r="U175" i="17" s="1"/>
  <c r="X175" i="17" s="1"/>
  <c r="Q195" i="17"/>
  <c r="T195" i="17" s="1"/>
  <c r="W195" i="17" s="1"/>
  <c r="R195" i="17"/>
  <c r="U195" i="17" s="1"/>
  <c r="X195" i="17" s="1"/>
  <c r="Q238" i="17"/>
  <c r="T238" i="17" s="1"/>
  <c r="W238" i="17" s="1"/>
  <c r="R238" i="17"/>
  <c r="U238" i="17" s="1"/>
  <c r="X238" i="17" s="1"/>
  <c r="Q27" i="17"/>
  <c r="T27" i="17" s="1"/>
  <c r="W27" i="17" s="1"/>
  <c r="R27" i="17"/>
  <c r="U27" i="17" s="1"/>
  <c r="X27" i="17" s="1"/>
  <c r="Q90" i="17"/>
  <c r="T90" i="17" s="1"/>
  <c r="W90" i="17" s="1"/>
  <c r="R90" i="17"/>
  <c r="U90" i="17" s="1"/>
  <c r="X90" i="17" s="1"/>
  <c r="Q153" i="17"/>
  <c r="T153" i="17" s="1"/>
  <c r="W153" i="17" s="1"/>
  <c r="R153" i="17"/>
  <c r="U153" i="17" s="1"/>
  <c r="X153" i="17" s="1"/>
  <c r="Q216" i="17"/>
  <c r="T216" i="17" s="1"/>
  <c r="W216" i="17" s="1"/>
  <c r="R216" i="17"/>
  <c r="U216" i="17" s="1"/>
  <c r="X216" i="17" s="1"/>
  <c r="R146" i="17"/>
  <c r="U146" i="17" s="1"/>
  <c r="X146" i="17" s="1"/>
  <c r="R38" i="17"/>
  <c r="U38" i="17" s="1"/>
  <c r="X38" i="17" s="1"/>
  <c r="Q105" i="17"/>
  <c r="T105" i="17" s="1"/>
  <c r="W105" i="17" s="1"/>
  <c r="R105" i="17"/>
  <c r="U105" i="17" s="1"/>
  <c r="X105" i="17" s="1"/>
  <c r="Q7" i="17"/>
  <c r="T7" i="17" s="1"/>
  <c r="W7" i="17" s="1"/>
  <c r="R7" i="17"/>
  <c r="U7" i="17" s="1"/>
  <c r="X7" i="17" s="1"/>
  <c r="Q30" i="17"/>
  <c r="T30" i="17" s="1"/>
  <c r="W30" i="17" s="1"/>
  <c r="R30" i="17"/>
  <c r="U30" i="17" s="1"/>
  <c r="X30" i="17" s="1"/>
  <c r="R50" i="17"/>
  <c r="U50" i="17" s="1"/>
  <c r="X50" i="17" s="1"/>
  <c r="Q50" i="17"/>
  <c r="T50" i="17" s="1"/>
  <c r="W50" i="17" s="1"/>
  <c r="Q70" i="17"/>
  <c r="T70" i="17" s="1"/>
  <c r="W70" i="17" s="1"/>
  <c r="R70" i="17"/>
  <c r="U70" i="17" s="1"/>
  <c r="X70" i="17" s="1"/>
  <c r="Q93" i="17"/>
  <c r="T93" i="17" s="1"/>
  <c r="W93" i="17" s="1"/>
  <c r="R93" i="17"/>
  <c r="U93" i="17" s="1"/>
  <c r="X93" i="17" s="1"/>
  <c r="Q113" i="17"/>
  <c r="T113" i="17" s="1"/>
  <c r="W113" i="17" s="1"/>
  <c r="R113" i="17"/>
  <c r="U113" i="17" s="1"/>
  <c r="X113" i="17" s="1"/>
  <c r="Q133" i="17"/>
  <c r="T133" i="17" s="1"/>
  <c r="W133" i="17" s="1"/>
  <c r="R133" i="17"/>
  <c r="U133" i="17" s="1"/>
  <c r="X133" i="17" s="1"/>
  <c r="Q156" i="17"/>
  <c r="T156" i="17" s="1"/>
  <c r="W156" i="17" s="1"/>
  <c r="R156" i="17"/>
  <c r="U156" i="17" s="1"/>
  <c r="X156" i="17" s="1"/>
  <c r="Q176" i="17"/>
  <c r="T176" i="17" s="1"/>
  <c r="W176" i="17" s="1"/>
  <c r="R176" i="17"/>
  <c r="U176" i="17" s="1"/>
  <c r="X176" i="17" s="1"/>
  <c r="Q196" i="17"/>
  <c r="T196" i="17" s="1"/>
  <c r="W196" i="17" s="1"/>
  <c r="R196" i="17"/>
  <c r="U196" i="17" s="1"/>
  <c r="X196" i="17" s="1"/>
  <c r="Q219" i="17"/>
  <c r="T219" i="17" s="1"/>
  <c r="W219" i="17" s="1"/>
  <c r="R219" i="17"/>
  <c r="U219" i="17" s="1"/>
  <c r="X219" i="17" s="1"/>
  <c r="Q239" i="17"/>
  <c r="T239" i="17" s="1"/>
  <c r="W239" i="17" s="1"/>
  <c r="R239" i="17"/>
  <c r="U239" i="17" s="1"/>
  <c r="X239" i="17" s="1"/>
  <c r="Q28" i="17"/>
  <c r="T28" i="17" s="1"/>
  <c r="W28" i="17" s="1"/>
  <c r="R28" i="17"/>
  <c r="U28" i="17" s="1"/>
  <c r="X28" i="17" s="1"/>
  <c r="Q91" i="17"/>
  <c r="T91" i="17" s="1"/>
  <c r="W91" i="17" s="1"/>
  <c r="R91" i="17"/>
  <c r="U91" i="17" s="1"/>
  <c r="X91" i="17" s="1"/>
  <c r="Q154" i="17"/>
  <c r="T154" i="17" s="1"/>
  <c r="W154" i="17" s="1"/>
  <c r="R154" i="17"/>
  <c r="U154" i="17" s="1"/>
  <c r="X154" i="17" s="1"/>
  <c r="Q217" i="17"/>
  <c r="T217" i="17" s="1"/>
  <c r="W217" i="17" s="1"/>
  <c r="R217" i="17"/>
  <c r="U217" i="17" s="1"/>
  <c r="X217" i="17" s="1"/>
  <c r="R227" i="17"/>
  <c r="U227" i="17" s="1"/>
  <c r="X227" i="17" s="1"/>
  <c r="R191" i="17"/>
  <c r="U191" i="17" s="1"/>
  <c r="X191" i="17" s="1"/>
  <c r="Q56" i="17"/>
  <c r="T56" i="17" s="1"/>
  <c r="W56" i="17" s="1"/>
  <c r="R10" i="17"/>
  <c r="U10" i="17" s="1"/>
  <c r="X10" i="17" s="1"/>
  <c r="Q10" i="17"/>
  <c r="T10" i="17" s="1"/>
  <c r="W10" i="17" s="1"/>
  <c r="Q31" i="17"/>
  <c r="T31" i="17" s="1"/>
  <c r="W31" i="17" s="1"/>
  <c r="R31" i="17"/>
  <c r="U31" i="17" s="1"/>
  <c r="X31" i="17" s="1"/>
  <c r="Q51" i="17"/>
  <c r="T51" i="17" s="1"/>
  <c r="W51" i="17" s="1"/>
  <c r="R51" i="17"/>
  <c r="U51" i="17" s="1"/>
  <c r="X51" i="17" s="1"/>
  <c r="R94" i="17"/>
  <c r="U94" i="17" s="1"/>
  <c r="X94" i="17" s="1"/>
  <c r="Q94" i="17"/>
  <c r="T94" i="17" s="1"/>
  <c r="W94" i="17" s="1"/>
  <c r="R114" i="17"/>
  <c r="U114" i="17" s="1"/>
  <c r="X114" i="17" s="1"/>
  <c r="Q114" i="17"/>
  <c r="T114" i="17" s="1"/>
  <c r="W114" i="17" s="1"/>
  <c r="Q157" i="17"/>
  <c r="T157" i="17" s="1"/>
  <c r="W157" i="17" s="1"/>
  <c r="R157" i="17"/>
  <c r="U157" i="17" s="1"/>
  <c r="X157" i="17" s="1"/>
  <c r="Q177" i="17"/>
  <c r="T177" i="17" s="1"/>
  <c r="W177" i="17" s="1"/>
  <c r="R177" i="17"/>
  <c r="U177" i="17" s="1"/>
  <c r="X177" i="17" s="1"/>
  <c r="Q220" i="17"/>
  <c r="T220" i="17" s="1"/>
  <c r="W220" i="17" s="1"/>
  <c r="R220" i="17"/>
  <c r="U220" i="17" s="1"/>
  <c r="X220" i="17" s="1"/>
  <c r="Q240" i="17"/>
  <c r="T240" i="17" s="1"/>
  <c r="W240" i="17" s="1"/>
  <c r="R240" i="17"/>
  <c r="U240" i="17" s="1"/>
  <c r="X240" i="17" s="1"/>
  <c r="R36" i="17"/>
  <c r="U36" i="17" s="1"/>
  <c r="X36" i="17" s="1"/>
  <c r="Q36" i="17"/>
  <c r="T36" i="17" s="1"/>
  <c r="W36" i="17" s="1"/>
  <c r="Q99" i="17"/>
  <c r="T99" i="17" s="1"/>
  <c r="W99" i="17" s="1"/>
  <c r="R99" i="17"/>
  <c r="U99" i="17" s="1"/>
  <c r="X99" i="17" s="1"/>
  <c r="R162" i="17"/>
  <c r="U162" i="17" s="1"/>
  <c r="X162" i="17" s="1"/>
  <c r="Q162" i="17"/>
  <c r="T162" i="17" s="1"/>
  <c r="W162" i="17" s="1"/>
  <c r="R225" i="17"/>
  <c r="U225" i="17" s="1"/>
  <c r="X225" i="17" s="1"/>
  <c r="Q225" i="17"/>
  <c r="T225" i="17" s="1"/>
  <c r="W225" i="17" s="1"/>
  <c r="Q182" i="17"/>
  <c r="T182" i="17" s="1"/>
  <c r="W182" i="17" s="1"/>
  <c r="Q218" i="17"/>
  <c r="T218" i="17" s="1"/>
  <c r="W218" i="17" s="1"/>
  <c r="R74" i="17"/>
  <c r="U74" i="17" s="1"/>
  <c r="X74" i="17" s="1"/>
  <c r="Q2" i="17"/>
  <c r="T2" i="17" s="1"/>
  <c r="W2" i="17" s="1"/>
  <c r="Q92" i="17"/>
  <c r="T92" i="17" s="1"/>
  <c r="W92" i="17" s="1"/>
  <c r="Q3" i="17"/>
  <c r="T3" i="17" s="1"/>
  <c r="W3" i="17" s="1"/>
  <c r="R3" i="17"/>
  <c r="U3" i="17" s="1"/>
  <c r="X3" i="17" s="1"/>
  <c r="Q149" i="17"/>
  <c r="T149" i="17" s="1"/>
  <c r="W149" i="17" s="1"/>
  <c r="R149" i="17"/>
  <c r="U149" i="17" s="1"/>
  <c r="X149" i="17" s="1"/>
  <c r="Q12" i="17"/>
  <c r="T12" i="17" s="1"/>
  <c r="W12" i="17" s="1"/>
  <c r="R12" i="17"/>
  <c r="U12" i="17" s="1"/>
  <c r="X12" i="17" s="1"/>
  <c r="Q32" i="17"/>
  <c r="T32" i="17" s="1"/>
  <c r="W32" i="17" s="1"/>
  <c r="R32" i="17"/>
  <c r="U32" i="17" s="1"/>
  <c r="X32" i="17" s="1"/>
  <c r="R95" i="17"/>
  <c r="U95" i="17" s="1"/>
  <c r="X95" i="17" s="1"/>
  <c r="Q95" i="17"/>
  <c r="T95" i="17" s="1"/>
  <c r="W95" i="17" s="1"/>
  <c r="Q138" i="17"/>
  <c r="T138" i="17" s="1"/>
  <c r="W138" i="17" s="1"/>
  <c r="R138" i="17"/>
  <c r="U138" i="17" s="1"/>
  <c r="X138" i="17" s="1"/>
  <c r="Q178" i="17"/>
  <c r="T178" i="17" s="1"/>
  <c r="W178" i="17" s="1"/>
  <c r="R178" i="17"/>
  <c r="U178" i="17" s="1"/>
  <c r="X178" i="17" s="1"/>
  <c r="Q241" i="17"/>
  <c r="T241" i="17" s="1"/>
  <c r="W241" i="17" s="1"/>
  <c r="R241" i="17"/>
  <c r="U241" i="17" s="1"/>
  <c r="X241" i="17" s="1"/>
  <c r="Q37" i="17"/>
  <c r="T37" i="17" s="1"/>
  <c r="W37" i="17" s="1"/>
  <c r="R37" i="17"/>
  <c r="U37" i="17" s="1"/>
  <c r="X37" i="17" s="1"/>
  <c r="R226" i="17"/>
  <c r="U226" i="17" s="1"/>
  <c r="X226" i="17" s="1"/>
  <c r="Q226" i="17"/>
  <c r="T226" i="17" s="1"/>
  <c r="W226" i="17" s="1"/>
  <c r="Q202" i="17"/>
  <c r="T202" i="17" s="1"/>
  <c r="W202" i="17" s="1"/>
  <c r="R202" i="17"/>
  <c r="U202" i="17" s="1"/>
  <c r="X202" i="17" s="1"/>
  <c r="R234" i="17"/>
  <c r="U234" i="17" s="1"/>
  <c r="X234" i="17" s="1"/>
  <c r="Q234" i="17"/>
  <c r="T234" i="17" s="1"/>
  <c r="W234" i="17" s="1"/>
  <c r="Q128" i="17"/>
  <c r="T128" i="17" s="1"/>
  <c r="W128" i="17" s="1"/>
  <c r="Q168" i="17"/>
  <c r="T168" i="17" s="1"/>
  <c r="W168" i="17" s="1"/>
  <c r="R168" i="17"/>
  <c r="U168" i="17" s="1"/>
  <c r="X168" i="17" s="1"/>
  <c r="Q23" i="17"/>
  <c r="T23" i="17" s="1"/>
  <c r="W23" i="17" s="1"/>
  <c r="R23" i="17"/>
  <c r="U23" i="17" s="1"/>
  <c r="X23" i="17" s="1"/>
  <c r="Q169" i="17"/>
  <c r="T169" i="17" s="1"/>
  <c r="W169" i="17" s="1"/>
  <c r="R169" i="17"/>
  <c r="U169" i="17" s="1"/>
  <c r="X169" i="17" s="1"/>
  <c r="R75" i="17"/>
  <c r="U75" i="17" s="1"/>
  <c r="X75" i="17" s="1"/>
  <c r="Q75" i="17"/>
  <c r="T75" i="17" s="1"/>
  <c r="W75" i="17" s="1"/>
  <c r="Q158" i="17"/>
  <c r="T158" i="17" s="1"/>
  <c r="W158" i="17" s="1"/>
  <c r="R158" i="17"/>
  <c r="U158" i="17" s="1"/>
  <c r="X158" i="17" s="1"/>
  <c r="R221" i="17"/>
  <c r="U221" i="17" s="1"/>
  <c r="X221" i="17" s="1"/>
  <c r="Q221" i="17"/>
  <c r="T221" i="17" s="1"/>
  <c r="W221" i="17" s="1"/>
  <c r="Q100" i="17"/>
  <c r="T100" i="17" s="1"/>
  <c r="W100" i="17" s="1"/>
  <c r="R100" i="17"/>
  <c r="U100" i="17" s="1"/>
  <c r="X100" i="17" s="1"/>
  <c r="Q14" i="17"/>
  <c r="T14" i="17" s="1"/>
  <c r="W14" i="17" s="1"/>
  <c r="R14" i="17"/>
  <c r="U14" i="17" s="1"/>
  <c r="X14" i="17" s="1"/>
  <c r="R200" i="17"/>
  <c r="U200" i="17" s="1"/>
  <c r="X200" i="17" s="1"/>
  <c r="Q106" i="17"/>
  <c r="T106" i="17" s="1"/>
  <c r="W106" i="17" s="1"/>
  <c r="R106" i="17"/>
  <c r="U106" i="17" s="1"/>
  <c r="X106" i="17" s="1"/>
  <c r="R52" i="17"/>
  <c r="U52" i="17" s="1"/>
  <c r="X52" i="17" s="1"/>
  <c r="Q52" i="17"/>
  <c r="T52" i="17" s="1"/>
  <c r="W52" i="17" s="1"/>
  <c r="Q115" i="17"/>
  <c r="T115" i="17" s="1"/>
  <c r="W115" i="17" s="1"/>
  <c r="R115" i="17"/>
  <c r="U115" i="17" s="1"/>
  <c r="X115" i="17" s="1"/>
  <c r="Q201" i="17"/>
  <c r="T201" i="17" s="1"/>
  <c r="W201" i="17" s="1"/>
  <c r="R201" i="17"/>
  <c r="U201" i="17" s="1"/>
  <c r="X201" i="17" s="1"/>
  <c r="Q163" i="17"/>
  <c r="T163" i="17" s="1"/>
  <c r="W163" i="17" s="1"/>
  <c r="R163" i="17"/>
  <c r="U163" i="17" s="1"/>
  <c r="X163" i="17" s="1"/>
  <c r="Q13" i="17"/>
  <c r="T13" i="17" s="1"/>
  <c r="W13" i="17" s="1"/>
  <c r="R13" i="17"/>
  <c r="U13" i="17" s="1"/>
  <c r="X13" i="17" s="1"/>
  <c r="Q76" i="17"/>
  <c r="T76" i="17" s="1"/>
  <c r="W76" i="17" s="1"/>
  <c r="R76" i="17"/>
  <c r="U76" i="17" s="1"/>
  <c r="X76" i="17" s="1"/>
  <c r="Q139" i="17"/>
  <c r="T139" i="17" s="1"/>
  <c r="W139" i="17" s="1"/>
  <c r="R139" i="17"/>
  <c r="U139" i="17" s="1"/>
  <c r="X139" i="17" s="1"/>
  <c r="Q222" i="17"/>
  <c r="T222" i="17" s="1"/>
  <c r="W222" i="17" s="1"/>
  <c r="R222" i="17"/>
  <c r="U222" i="17" s="1"/>
  <c r="X222" i="17" s="1"/>
  <c r="Q171" i="17"/>
  <c r="T171" i="17" s="1"/>
  <c r="W171" i="17" s="1"/>
  <c r="R171" i="17"/>
  <c r="U171" i="17" s="1"/>
  <c r="X171" i="17" s="1"/>
  <c r="Q97" i="17"/>
  <c r="T97" i="17" s="1"/>
  <c r="W97" i="17" s="1"/>
  <c r="R97" i="17"/>
  <c r="U97" i="17" s="1"/>
  <c r="X97" i="17" s="1"/>
  <c r="Q16" i="17"/>
  <c r="T16" i="17" s="1"/>
  <c r="W16" i="17" s="1"/>
  <c r="R16" i="17"/>
  <c r="U16" i="17" s="1"/>
  <c r="X16" i="17" s="1"/>
  <c r="Q39" i="17"/>
  <c r="T39" i="17" s="1"/>
  <c r="W39" i="17" s="1"/>
  <c r="R39" i="17"/>
  <c r="U39" i="17" s="1"/>
  <c r="X39" i="17" s="1"/>
  <c r="Q59" i="17"/>
  <c r="T59" i="17" s="1"/>
  <c r="W59" i="17" s="1"/>
  <c r="R59" i="17"/>
  <c r="U59" i="17" s="1"/>
  <c r="X59" i="17" s="1"/>
  <c r="Q79" i="17"/>
  <c r="T79" i="17" s="1"/>
  <c r="W79" i="17" s="1"/>
  <c r="R79" i="17"/>
  <c r="U79" i="17" s="1"/>
  <c r="X79" i="17" s="1"/>
  <c r="Q102" i="17"/>
  <c r="T102" i="17" s="1"/>
  <c r="W102" i="17" s="1"/>
  <c r="R102" i="17"/>
  <c r="U102" i="17" s="1"/>
  <c r="X102" i="17" s="1"/>
  <c r="Q122" i="17"/>
  <c r="T122" i="17" s="1"/>
  <c r="W122" i="17" s="1"/>
  <c r="R122" i="17"/>
  <c r="U122" i="17" s="1"/>
  <c r="X122" i="17" s="1"/>
  <c r="Q142" i="17"/>
  <c r="T142" i="17" s="1"/>
  <c r="W142" i="17" s="1"/>
  <c r="R142" i="17"/>
  <c r="U142" i="17" s="1"/>
  <c r="X142" i="17" s="1"/>
  <c r="Q165" i="17"/>
  <c r="T165" i="17" s="1"/>
  <c r="W165" i="17" s="1"/>
  <c r="R165" i="17"/>
  <c r="U165" i="17" s="1"/>
  <c r="X165" i="17" s="1"/>
  <c r="Q185" i="17"/>
  <c r="T185" i="17" s="1"/>
  <c r="W185" i="17" s="1"/>
  <c r="R185" i="17"/>
  <c r="U185" i="17" s="1"/>
  <c r="X185" i="17" s="1"/>
  <c r="Q205" i="17"/>
  <c r="T205" i="17" s="1"/>
  <c r="W205" i="17" s="1"/>
  <c r="R205" i="17"/>
  <c r="U205" i="17" s="1"/>
  <c r="X205" i="17" s="1"/>
  <c r="Q228" i="17"/>
  <c r="T228" i="17" s="1"/>
  <c r="W228" i="17" s="1"/>
  <c r="R228" i="17"/>
  <c r="U228" i="17" s="1"/>
  <c r="X228" i="17" s="1"/>
  <c r="Q248" i="17"/>
  <c r="T248" i="17" s="1"/>
  <c r="W248" i="17" s="1"/>
  <c r="R248" i="17"/>
  <c r="U248" i="17" s="1"/>
  <c r="X248" i="17" s="1"/>
  <c r="Q55" i="17"/>
  <c r="T55" i="17" s="1"/>
  <c r="W55" i="17" s="1"/>
  <c r="R55" i="17"/>
  <c r="U55" i="17" s="1"/>
  <c r="X55" i="17" s="1"/>
  <c r="Q118" i="17"/>
  <c r="T118" i="17" s="1"/>
  <c r="W118" i="17" s="1"/>
  <c r="R118" i="17"/>
  <c r="U118" i="17" s="1"/>
  <c r="X118" i="17" s="1"/>
  <c r="Q181" i="17"/>
  <c r="T181" i="17" s="1"/>
  <c r="W181" i="17" s="1"/>
  <c r="R181" i="17"/>
  <c r="U181" i="17" s="1"/>
  <c r="X181" i="17" s="1"/>
  <c r="R244" i="17"/>
  <c r="U244" i="17" s="1"/>
  <c r="X244" i="17" s="1"/>
  <c r="Q244" i="17"/>
  <c r="T244" i="17" s="1"/>
  <c r="W244" i="17" s="1"/>
  <c r="Q119" i="17"/>
  <c r="T119" i="17" s="1"/>
  <c r="W119" i="17" s="1"/>
  <c r="R119" i="17"/>
  <c r="U119" i="17" s="1"/>
  <c r="X119" i="17" s="1"/>
  <c r="Q245" i="17"/>
  <c r="T245" i="17" s="1"/>
  <c r="W245" i="17" s="1"/>
  <c r="R245" i="17"/>
  <c r="U245" i="17" s="1"/>
  <c r="X245" i="17" s="1"/>
  <c r="Q108" i="17"/>
  <c r="T108" i="17" s="1"/>
  <c r="W108" i="17" s="1"/>
  <c r="R108" i="17"/>
  <c r="U108" i="17" s="1"/>
  <c r="X108" i="17" s="1"/>
  <c r="R120" i="17"/>
  <c r="U120" i="17" s="1"/>
  <c r="X120" i="17" s="1"/>
  <c r="Q120" i="17"/>
  <c r="T120" i="17" s="1"/>
  <c r="W120" i="17" s="1"/>
  <c r="Q209" i="17"/>
  <c r="T209" i="17" s="1"/>
  <c r="W209" i="17" s="1"/>
  <c r="R209" i="17"/>
  <c r="U209" i="17" s="1"/>
  <c r="X209" i="17" s="1"/>
  <c r="Q249" i="17"/>
  <c r="T249" i="17" s="1"/>
  <c r="W249" i="17" s="1"/>
  <c r="R249" i="17"/>
  <c r="U249" i="17" s="1"/>
  <c r="X249" i="17" s="1"/>
  <c r="Q126" i="17"/>
  <c r="T126" i="17" s="1"/>
  <c r="W126" i="17" s="1"/>
  <c r="R126" i="17"/>
  <c r="U126" i="17" s="1"/>
  <c r="X126" i="17" s="1"/>
  <c r="Q189" i="17"/>
  <c r="T189" i="17" s="1"/>
  <c r="W189" i="17" s="1"/>
  <c r="R189" i="17"/>
  <c r="U189" i="17" s="1"/>
  <c r="X189" i="17" s="1"/>
  <c r="Q252" i="17"/>
  <c r="T252" i="17" s="1"/>
  <c r="W252" i="17" s="1"/>
  <c r="R252" i="17"/>
  <c r="U252" i="17" s="1"/>
  <c r="X252" i="17" s="1"/>
  <c r="R11" i="17"/>
  <c r="U11" i="17" s="1"/>
  <c r="X11" i="17" s="1"/>
  <c r="R33" i="17"/>
  <c r="U33" i="17" s="1"/>
  <c r="X33" i="17" s="1"/>
  <c r="Q33" i="17"/>
  <c r="T33" i="17" s="1"/>
  <c r="W33" i="17" s="1"/>
  <c r="Q96" i="17"/>
  <c r="T96" i="17" s="1"/>
  <c r="W96" i="17" s="1"/>
  <c r="R96" i="17"/>
  <c r="U96" i="17" s="1"/>
  <c r="X96" i="17" s="1"/>
  <c r="R159" i="17"/>
  <c r="U159" i="17" s="1"/>
  <c r="X159" i="17" s="1"/>
  <c r="Q159" i="17"/>
  <c r="T159" i="17" s="1"/>
  <c r="W159" i="17" s="1"/>
  <c r="Q45" i="17"/>
  <c r="T45" i="17" s="1"/>
  <c r="W45" i="17" s="1"/>
  <c r="R45" i="17"/>
  <c r="U45" i="17" s="1"/>
  <c r="X45" i="17" s="1"/>
  <c r="Q34" i="17"/>
  <c r="T34" i="17" s="1"/>
  <c r="W34" i="17" s="1"/>
  <c r="R34" i="17"/>
  <c r="U34" i="17" s="1"/>
  <c r="X34" i="17" s="1"/>
  <c r="Q57" i="17"/>
  <c r="T57" i="17" s="1"/>
  <c r="W57" i="17" s="1"/>
  <c r="R57" i="17"/>
  <c r="U57" i="17" s="1"/>
  <c r="X57" i="17" s="1"/>
  <c r="Q77" i="17"/>
  <c r="T77" i="17" s="1"/>
  <c r="W77" i="17" s="1"/>
  <c r="R77" i="17"/>
  <c r="U77" i="17" s="1"/>
  <c r="X77" i="17" s="1"/>
  <c r="Q140" i="17"/>
  <c r="T140" i="17" s="1"/>
  <c r="W140" i="17" s="1"/>
  <c r="R140" i="17"/>
  <c r="U140" i="17" s="1"/>
  <c r="X140" i="17" s="1"/>
  <c r="Q160" i="17"/>
  <c r="T160" i="17" s="1"/>
  <c r="W160" i="17" s="1"/>
  <c r="R160" i="17"/>
  <c r="U160" i="17" s="1"/>
  <c r="X160" i="17" s="1"/>
  <c r="Q183" i="17"/>
  <c r="T183" i="17" s="1"/>
  <c r="W183" i="17" s="1"/>
  <c r="R183" i="17"/>
  <c r="U183" i="17" s="1"/>
  <c r="X183" i="17" s="1"/>
  <c r="Q203" i="17"/>
  <c r="T203" i="17" s="1"/>
  <c r="W203" i="17" s="1"/>
  <c r="R203" i="17"/>
  <c r="U203" i="17" s="1"/>
  <c r="X203" i="17" s="1"/>
  <c r="Q223" i="17"/>
  <c r="T223" i="17" s="1"/>
  <c r="W223" i="17" s="1"/>
  <c r="R223" i="17"/>
  <c r="U223" i="17" s="1"/>
  <c r="X223" i="17" s="1"/>
  <c r="R246" i="17"/>
  <c r="U246" i="17" s="1"/>
  <c r="X246" i="17" s="1"/>
  <c r="Q246" i="17"/>
  <c r="T246" i="17" s="1"/>
  <c r="W246" i="17" s="1"/>
  <c r="Q46" i="17"/>
  <c r="T46" i="17" s="1"/>
  <c r="W46" i="17" s="1"/>
  <c r="R46" i="17"/>
  <c r="U46" i="17" s="1"/>
  <c r="X46" i="17" s="1"/>
  <c r="Q109" i="17"/>
  <c r="T109" i="17" s="1"/>
  <c r="W109" i="17" s="1"/>
  <c r="R109" i="17"/>
  <c r="U109" i="17" s="1"/>
  <c r="X109" i="17" s="1"/>
  <c r="Q172" i="17"/>
  <c r="T172" i="17" s="1"/>
  <c r="W172" i="17" s="1"/>
  <c r="R172" i="17"/>
  <c r="U172" i="17" s="1"/>
  <c r="X172" i="17" s="1"/>
  <c r="R235" i="17"/>
  <c r="U235" i="17" s="1"/>
  <c r="X235" i="17" s="1"/>
  <c r="Q235" i="17"/>
  <c r="T235" i="17" s="1"/>
  <c r="W235" i="17" s="1"/>
  <c r="Q15" i="17"/>
  <c r="R15" i="17"/>
  <c r="U15" i="17" s="1"/>
  <c r="X15" i="17" s="1"/>
  <c r="Q58" i="17"/>
  <c r="T58" i="17" s="1"/>
  <c r="W58" i="17" s="1"/>
  <c r="R58" i="17"/>
  <c r="U58" i="17" s="1"/>
  <c r="X58" i="17" s="1"/>
  <c r="R78" i="17"/>
  <c r="U78" i="17" s="1"/>
  <c r="X78" i="17" s="1"/>
  <c r="Q78" i="17"/>
  <c r="T78" i="17" s="1"/>
  <c r="W78" i="17" s="1"/>
  <c r="Q121" i="17"/>
  <c r="T121" i="17" s="1"/>
  <c r="W121" i="17" s="1"/>
  <c r="R121" i="17"/>
  <c r="U121" i="17" s="1"/>
  <c r="X121" i="17" s="1"/>
  <c r="Q141" i="17"/>
  <c r="T141" i="17" s="1"/>
  <c r="W141" i="17" s="1"/>
  <c r="R141" i="17"/>
  <c r="U141" i="17" s="1"/>
  <c r="X141" i="17" s="1"/>
  <c r="Q184" i="17"/>
  <c r="T184" i="17" s="1"/>
  <c r="W184" i="17" s="1"/>
  <c r="R184" i="17"/>
  <c r="U184" i="17" s="1"/>
  <c r="X184" i="17" s="1"/>
  <c r="Q204" i="17"/>
  <c r="T204" i="17" s="1"/>
  <c r="W204" i="17" s="1"/>
  <c r="R204" i="17"/>
  <c r="U204" i="17" s="1"/>
  <c r="X204" i="17" s="1"/>
  <c r="Q247" i="17"/>
  <c r="T247" i="17" s="1"/>
  <c r="W247" i="17" s="1"/>
  <c r="R247" i="17"/>
  <c r="U247" i="17" s="1"/>
  <c r="X247" i="17" s="1"/>
  <c r="Q54" i="17"/>
  <c r="T54" i="17" s="1"/>
  <c r="W54" i="17" s="1"/>
  <c r="R54" i="17"/>
  <c r="U54" i="17" s="1"/>
  <c r="X54" i="17" s="1"/>
  <c r="Q117" i="17"/>
  <c r="T117" i="17" s="1"/>
  <c r="W117" i="17" s="1"/>
  <c r="R117" i="17"/>
  <c r="U117" i="17" s="1"/>
  <c r="X117" i="17" s="1"/>
  <c r="Q180" i="17"/>
  <c r="T180" i="17" s="1"/>
  <c r="W180" i="17" s="1"/>
  <c r="R180" i="17"/>
  <c r="U180" i="17" s="1"/>
  <c r="X180" i="17" s="1"/>
  <c r="R243" i="17"/>
  <c r="U243" i="17" s="1"/>
  <c r="X243" i="17" s="1"/>
  <c r="Q243" i="17"/>
  <c r="T243" i="17" s="1"/>
  <c r="W243" i="17" s="1"/>
  <c r="Q40" i="17"/>
  <c r="T40" i="17" s="1"/>
  <c r="W40" i="17" s="1"/>
  <c r="R40" i="17"/>
  <c r="U40" i="17" s="1"/>
  <c r="X40" i="17" s="1"/>
  <c r="Q60" i="17"/>
  <c r="T60" i="17" s="1"/>
  <c r="W60" i="17" s="1"/>
  <c r="R60" i="17"/>
  <c r="U60" i="17" s="1"/>
  <c r="X60" i="17" s="1"/>
  <c r="R103" i="17"/>
  <c r="U103" i="17" s="1"/>
  <c r="X103" i="17" s="1"/>
  <c r="Q103" i="17"/>
  <c r="T103" i="17" s="1"/>
  <c r="W103" i="17" s="1"/>
  <c r="R123" i="17"/>
  <c r="U123" i="17" s="1"/>
  <c r="X123" i="17" s="1"/>
  <c r="Q123" i="17"/>
  <c r="T123" i="17" s="1"/>
  <c r="W123" i="17" s="1"/>
  <c r="Q166" i="17"/>
  <c r="T166" i="17" s="1"/>
  <c r="W166" i="17" s="1"/>
  <c r="R166" i="17"/>
  <c r="U166" i="17" s="1"/>
  <c r="X166" i="17" s="1"/>
  <c r="Q186" i="17"/>
  <c r="T186" i="17" s="1"/>
  <c r="W186" i="17" s="1"/>
  <c r="R186" i="17"/>
  <c r="U186" i="17" s="1"/>
  <c r="X186" i="17" s="1"/>
  <c r="Q229" i="17"/>
  <c r="T229" i="17" s="1"/>
  <c r="W229" i="17" s="1"/>
  <c r="R229" i="17"/>
  <c r="U229" i="17" s="1"/>
  <c r="X229" i="17" s="1"/>
  <c r="Q63" i="17"/>
  <c r="T63" i="17" s="1"/>
  <c r="W63" i="17" s="1"/>
  <c r="R63" i="17"/>
  <c r="U63" i="17" s="1"/>
  <c r="X63" i="17" s="1"/>
  <c r="Q21" i="17"/>
  <c r="T21" i="17" s="1"/>
  <c r="W21" i="17" s="1"/>
  <c r="R21" i="17"/>
  <c r="U21" i="17" s="1"/>
  <c r="X21" i="17" s="1"/>
  <c r="Q41" i="17"/>
  <c r="T41" i="17" s="1"/>
  <c r="W41" i="17" s="1"/>
  <c r="R41" i="17"/>
  <c r="U41" i="17" s="1"/>
  <c r="X41" i="17" s="1"/>
  <c r="R61" i="17"/>
  <c r="U61" i="17" s="1"/>
  <c r="X61" i="17" s="1"/>
  <c r="Q61" i="17"/>
  <c r="T61" i="17" s="1"/>
  <c r="W61" i="17" s="1"/>
  <c r="Q84" i="17"/>
  <c r="T84" i="17" s="1"/>
  <c r="W84" i="17" s="1"/>
  <c r="R84" i="17"/>
  <c r="U84" i="17" s="1"/>
  <c r="X84" i="17" s="1"/>
  <c r="Q104" i="17"/>
  <c r="T104" i="17" s="1"/>
  <c r="W104" i="17" s="1"/>
  <c r="R104" i="17"/>
  <c r="U104" i="17" s="1"/>
  <c r="X104" i="17" s="1"/>
  <c r="Q124" i="17"/>
  <c r="T124" i="17" s="1"/>
  <c r="W124" i="17" s="1"/>
  <c r="R124" i="17"/>
  <c r="U124" i="17" s="1"/>
  <c r="X124" i="17" s="1"/>
  <c r="Q147" i="17"/>
  <c r="T147" i="17" s="1"/>
  <c r="W147" i="17" s="1"/>
  <c r="R147" i="17"/>
  <c r="U147" i="17" s="1"/>
  <c r="X147" i="17" s="1"/>
  <c r="Q167" i="17"/>
  <c r="T167" i="17" s="1"/>
  <c r="W167" i="17" s="1"/>
  <c r="R167" i="17"/>
  <c r="U167" i="17" s="1"/>
  <c r="X167" i="17" s="1"/>
  <c r="R187" i="17"/>
  <c r="U187" i="17" s="1"/>
  <c r="X187" i="17" s="1"/>
  <c r="Q187" i="17"/>
  <c r="T187" i="17" s="1"/>
  <c r="W187" i="17" s="1"/>
  <c r="Q210" i="17"/>
  <c r="T210" i="17" s="1"/>
  <c r="W210" i="17" s="1"/>
  <c r="R210" i="17"/>
  <c r="U210" i="17" s="1"/>
  <c r="X210" i="17" s="1"/>
  <c r="R230" i="17"/>
  <c r="U230" i="17" s="1"/>
  <c r="X230" i="17" s="1"/>
  <c r="Q230" i="17"/>
  <c r="T230" i="17" s="1"/>
  <c r="W230" i="17" s="1"/>
  <c r="Q250" i="17"/>
  <c r="T250" i="17" s="1"/>
  <c r="W250" i="17" s="1"/>
  <c r="R250" i="17"/>
  <c r="U250" i="17" s="1"/>
  <c r="X250" i="17" s="1"/>
  <c r="Q64" i="17"/>
  <c r="T64" i="17" s="1"/>
  <c r="W64" i="17" s="1"/>
  <c r="R64" i="17"/>
  <c r="U64" i="17" s="1"/>
  <c r="X64" i="17" s="1"/>
  <c r="Q127" i="17"/>
  <c r="T127" i="17" s="1"/>
  <c r="W127" i="17" s="1"/>
  <c r="R127" i="17"/>
  <c r="U127" i="17" s="1"/>
  <c r="X127" i="17" s="1"/>
  <c r="Q190" i="17"/>
  <c r="T190" i="17" s="1"/>
  <c r="W190" i="17" s="1"/>
  <c r="R190" i="17"/>
  <c r="U190" i="17" s="1"/>
  <c r="X190" i="17" s="1"/>
  <c r="R253" i="17"/>
  <c r="U253" i="17" s="1"/>
  <c r="X253" i="17" s="1"/>
  <c r="Q253" i="17"/>
  <c r="T253" i="17" s="1"/>
  <c r="W253" i="17" s="1"/>
  <c r="Q83" i="17"/>
  <c r="T83" i="17" s="1"/>
  <c r="W83" i="17" s="1"/>
  <c r="AN216" i="19"/>
  <c r="AR216" i="19" s="1"/>
  <c r="AN23" i="19"/>
  <c r="AR23" i="19" s="1"/>
  <c r="AN104" i="19"/>
  <c r="AR104" i="19" s="1"/>
  <c r="AN64" i="19"/>
  <c r="AR64" i="19" s="1"/>
  <c r="AN167" i="19"/>
  <c r="AR167" i="19" s="1"/>
  <c r="AN97" i="19"/>
  <c r="AR97" i="19" s="1"/>
  <c r="AN205" i="19"/>
  <c r="AR205" i="19" s="1"/>
  <c r="AN124" i="19"/>
  <c r="AR124" i="19" s="1"/>
  <c r="AN196" i="19"/>
  <c r="AR196" i="19" s="1"/>
  <c r="AN142" i="19"/>
  <c r="AR142" i="19" s="1"/>
  <c r="AN223" i="19"/>
  <c r="AR223" i="19" s="1"/>
  <c r="AN122" i="19"/>
  <c r="AR122" i="19" s="1"/>
  <c r="AN25" i="19"/>
  <c r="AR25" i="19" s="1"/>
  <c r="AN16" i="19"/>
  <c r="AR16" i="19" s="1"/>
  <c r="AN86" i="19"/>
  <c r="AR86" i="19" s="1"/>
  <c r="AN43" i="19"/>
  <c r="AR43" i="19" s="1"/>
  <c r="AN185" i="19"/>
  <c r="AR185" i="19" s="1"/>
  <c r="AO4" i="19"/>
  <c r="AS4" i="19" s="1"/>
  <c r="AN106" i="19"/>
  <c r="AR106" i="19" s="1"/>
  <c r="AN52" i="19"/>
  <c r="AR52" i="19" s="1"/>
  <c r="AN187" i="19"/>
  <c r="AR187" i="19" s="1"/>
  <c r="AN169" i="19"/>
  <c r="AR169" i="19" s="1"/>
  <c r="AO9" i="19"/>
  <c r="AS9" i="19" s="1"/>
  <c r="AO59" i="19"/>
  <c r="AS59" i="19" s="1"/>
  <c r="T200" i="17"/>
  <c r="W200" i="17" s="1"/>
  <c r="T74" i="17"/>
  <c r="W74" i="17" s="1"/>
  <c r="T15" i="17"/>
  <c r="W15" i="17" s="1"/>
  <c r="T20" i="17"/>
  <c r="W20" i="17" s="1"/>
  <c r="T227" i="17"/>
  <c r="W227" i="17" s="1"/>
  <c r="U101" i="17"/>
  <c r="X101" i="17" s="1"/>
  <c r="T173" i="17"/>
  <c r="W173" i="17" s="1"/>
  <c r="U92" i="17"/>
  <c r="X92" i="17" s="1"/>
  <c r="U173" i="17"/>
  <c r="X173" i="17" s="1"/>
  <c r="U47" i="17"/>
  <c r="X47" i="17" s="1"/>
  <c r="T137" i="17"/>
  <c r="W137" i="17" s="1"/>
  <c r="T11" i="17"/>
  <c r="W11" i="17" s="1"/>
  <c r="U128" i="17"/>
  <c r="X128" i="17" s="1"/>
  <c r="U218" i="17"/>
  <c r="X218" i="17" s="1"/>
  <c r="T191" i="17"/>
  <c r="W191" i="17" s="1"/>
  <c r="T47" i="17"/>
  <c r="W47" i="17" s="1"/>
  <c r="T146" i="17"/>
  <c r="W146" i="17" s="1"/>
  <c r="U182" i="17"/>
  <c r="X182" i="17" s="1"/>
  <c r="T38" i="17"/>
  <c r="W38" i="17" s="1"/>
  <c r="U56" i="17"/>
  <c r="X56" i="17" s="1"/>
  <c r="U2" i="17"/>
  <c r="X2" i="17" s="1"/>
  <c r="U137" i="17"/>
  <c r="X137" i="17" s="1"/>
  <c r="U65" i="17"/>
  <c r="X65" i="17" s="1"/>
  <c r="U83" i="17"/>
  <c r="X83" i="17" s="1"/>
  <c r="U164" i="17"/>
  <c r="X164" i="17" s="1"/>
  <c r="L98" i="15"/>
  <c r="S98" i="15"/>
  <c r="X98" i="15"/>
  <c r="AN203" i="19"/>
  <c r="AR203" i="19" s="1"/>
  <c r="AN149" i="19"/>
  <c r="AR149" i="19" s="1"/>
  <c r="AN5" i="19"/>
  <c r="AR5" i="19" s="1"/>
  <c r="AN50" i="19"/>
  <c r="AR50" i="19" s="1"/>
  <c r="AN221" i="19"/>
  <c r="AR221" i="19" s="1"/>
  <c r="AN61" i="19"/>
  <c r="AR61" i="19" s="1"/>
  <c r="AN41" i="19"/>
  <c r="AR41" i="19" s="1"/>
  <c r="AN160" i="19"/>
  <c r="AR160" i="19" s="1"/>
  <c r="AN140" i="19"/>
  <c r="AR140" i="19" s="1"/>
  <c r="AN151" i="19"/>
  <c r="AR151" i="19" s="1"/>
  <c r="AN131" i="19"/>
  <c r="AR131" i="19" s="1"/>
  <c r="AN212" i="19"/>
  <c r="AR212" i="19" s="1"/>
  <c r="AN115" i="19"/>
  <c r="AR115" i="19" s="1"/>
  <c r="AN34" i="19"/>
  <c r="AR34" i="19" s="1"/>
  <c r="AN133" i="19"/>
  <c r="AR133" i="19" s="1"/>
  <c r="AN95" i="19"/>
  <c r="AR95" i="19" s="1"/>
  <c r="AN194" i="19"/>
  <c r="AR194" i="19" s="1"/>
  <c r="AN14" i="19"/>
  <c r="AR14" i="19" s="1"/>
  <c r="AN32" i="19"/>
  <c r="AR32" i="19" s="1"/>
  <c r="AN214" i="19"/>
  <c r="AR214" i="19" s="1"/>
  <c r="AN113" i="19"/>
  <c r="AR113" i="19" s="1"/>
  <c r="AN79" i="19"/>
  <c r="AR79" i="19" s="1"/>
  <c r="AN59" i="19"/>
  <c r="AR59" i="19" s="1"/>
  <c r="AN7" i="19"/>
  <c r="AR7" i="19" s="1"/>
  <c r="AN68" i="19"/>
  <c r="AR68" i="19" s="1"/>
  <c r="AN88" i="19"/>
  <c r="AR88" i="19" s="1"/>
  <c r="AO197" i="19"/>
  <c r="AS197" i="19" s="1"/>
  <c r="AN178" i="19"/>
  <c r="AR178" i="19" s="1"/>
  <c r="AN158" i="19"/>
  <c r="AR158" i="19" s="1"/>
  <c r="AN77" i="19"/>
  <c r="AR77" i="19" s="1"/>
  <c r="AN70" i="19"/>
  <c r="AR70" i="19" s="1"/>
  <c r="AN176" i="19"/>
  <c r="AR176" i="19" s="1"/>
  <c r="AN45" i="19" l="1"/>
  <c r="AR45" i="19" s="1"/>
  <c r="AN9" i="19"/>
  <c r="AR9" i="19" s="1"/>
  <c r="AN90" i="19"/>
  <c r="AR90" i="19" s="1"/>
  <c r="AN72" i="19"/>
  <c r="AR72" i="19" s="1"/>
  <c r="AN171" i="19"/>
  <c r="AR171" i="19" s="1"/>
  <c r="AN99" i="19"/>
  <c r="AR99" i="19" s="1"/>
  <c r="AN18" i="19"/>
  <c r="AR18" i="19" s="1"/>
  <c r="AN108" i="19"/>
  <c r="AR108" i="19" s="1"/>
  <c r="AN135" i="19"/>
  <c r="AR135" i="19" s="1"/>
  <c r="AN189" i="19"/>
  <c r="AR189" i="19" s="1"/>
  <c r="AN63" i="19"/>
  <c r="AR63" i="19" s="1"/>
  <c r="AN153" i="19"/>
  <c r="AR153" i="19" s="1"/>
  <c r="AN180" i="19"/>
  <c r="AR180" i="19" s="1"/>
  <c r="AN144" i="19"/>
  <c r="AR144" i="19" s="1"/>
  <c r="AN198" i="19"/>
  <c r="AR198" i="19" s="1"/>
  <c r="AN27" i="19"/>
  <c r="AR27" i="19" s="1"/>
  <c r="AN207" i="19"/>
  <c r="AR207" i="19" s="1"/>
  <c r="AN81" i="19"/>
  <c r="AR81" i="19" s="1"/>
  <c r="AN54" i="19"/>
  <c r="AR54" i="19" s="1"/>
  <c r="AN225" i="19"/>
  <c r="AR225" i="19" s="1"/>
  <c r="AN126" i="19"/>
  <c r="AR126" i="19" s="1"/>
  <c r="AN117" i="19"/>
  <c r="AR117" i="19" s="1"/>
  <c r="AN162" i="19"/>
  <c r="AR162" i="19" s="1"/>
  <c r="AN36" i="19"/>
  <c r="AR36" i="19" s="1"/>
  <c r="AL133" i="19"/>
  <c r="AP133" i="19" s="1"/>
  <c r="AO83" i="19"/>
  <c r="AS83" i="19" s="1"/>
  <c r="AL214" i="19"/>
  <c r="AP214" i="19" s="1"/>
  <c r="AL151" i="19"/>
  <c r="AP151" i="19" s="1"/>
  <c r="AL61" i="19"/>
  <c r="AP61" i="19" s="1"/>
  <c r="AL106" i="19"/>
  <c r="AP106" i="19" s="1"/>
  <c r="AO43" i="19"/>
  <c r="AS43" i="19" s="1"/>
  <c r="AN82" i="19"/>
  <c r="AR82" i="19" s="1"/>
  <c r="AL34" i="19"/>
  <c r="AP34" i="19" s="1"/>
  <c r="AL25" i="19"/>
  <c r="AP25" i="19" s="1"/>
  <c r="AL223" i="19"/>
  <c r="AP223" i="19" s="1"/>
  <c r="AL196" i="19"/>
  <c r="AP196" i="19" s="1"/>
  <c r="AL79" i="19"/>
  <c r="AP79" i="19" s="1"/>
  <c r="AL88" i="19"/>
  <c r="AP88" i="19" s="1"/>
  <c r="AL115" i="19"/>
  <c r="AP115" i="19" s="1"/>
  <c r="AL175" i="19"/>
  <c r="AP175" i="19" s="1"/>
  <c r="AL142" i="19"/>
  <c r="AP142" i="19" s="1"/>
  <c r="AL187" i="19"/>
  <c r="AP187" i="19" s="1"/>
  <c r="AL52" i="19"/>
  <c r="AP52" i="19" s="1"/>
  <c r="AL205" i="19"/>
  <c r="AP205" i="19" s="1"/>
  <c r="AL97" i="19"/>
  <c r="AP97" i="19" s="1"/>
  <c r="AL16" i="19"/>
  <c r="AP16" i="19" s="1"/>
  <c r="AL43" i="19"/>
  <c r="AP43" i="19" s="1"/>
  <c r="AL169" i="19"/>
  <c r="AP169" i="19" s="1"/>
  <c r="AL124" i="19"/>
  <c r="AP124" i="19" s="1"/>
  <c r="AL178" i="19"/>
  <c r="AP178" i="19" s="1"/>
  <c r="AL160" i="19"/>
  <c r="AP160" i="19" s="1"/>
  <c r="AL70" i="19"/>
  <c r="AP70" i="19" s="1"/>
  <c r="AL153" i="19"/>
  <c r="AP153" i="19" s="1"/>
  <c r="AL130" i="19"/>
  <c r="AP130" i="19" s="1"/>
  <c r="AL193" i="19"/>
  <c r="AP193" i="19" s="1"/>
  <c r="AN109" i="19"/>
  <c r="AR109" i="19" s="1"/>
  <c r="AL31" i="19"/>
  <c r="AP31" i="19" s="1"/>
  <c r="AL94" i="19"/>
  <c r="AP94" i="19" s="1"/>
  <c r="AL85" i="19"/>
  <c r="AP85" i="19" s="1"/>
  <c r="AL148" i="19"/>
  <c r="AP148" i="19" s="1"/>
  <c r="AL166" i="19"/>
  <c r="AP166" i="19" s="1"/>
  <c r="AL40" i="19"/>
  <c r="AP40" i="19" s="1"/>
  <c r="AN163" i="19"/>
  <c r="AR163" i="19" s="1"/>
  <c r="AN37" i="19"/>
  <c r="AR37" i="19" s="1"/>
  <c r="AN208" i="19"/>
  <c r="AR208" i="19" s="1"/>
  <c r="AN10" i="19"/>
  <c r="AR10" i="19" s="1"/>
  <c r="AL202" i="19"/>
  <c r="AP202" i="19" s="1"/>
  <c r="AN136" i="19"/>
  <c r="AR136" i="19" s="1"/>
  <c r="AL220" i="19"/>
  <c r="AP220" i="19" s="1"/>
  <c r="AN127" i="19"/>
  <c r="AR127" i="19" s="1"/>
  <c r="AL67" i="19"/>
  <c r="AP67" i="19" s="1"/>
  <c r="AN19" i="19"/>
  <c r="AR19" i="19" s="1"/>
  <c r="AL211" i="19"/>
  <c r="AP211" i="19" s="1"/>
  <c r="AN217" i="19"/>
  <c r="AR217" i="19" s="1"/>
  <c r="AL103" i="19"/>
  <c r="AP103" i="19" s="1"/>
  <c r="AL58" i="19"/>
  <c r="AP58" i="19" s="1"/>
  <c r="AL184" i="19"/>
  <c r="AP184" i="19" s="1"/>
  <c r="AL49" i="19"/>
  <c r="AP49" i="19" s="1"/>
  <c r="AN226" i="19"/>
  <c r="AR226" i="19" s="1"/>
  <c r="AN190" i="19"/>
  <c r="AR190" i="19" s="1"/>
  <c r="AL139" i="19"/>
  <c r="AP139" i="19" s="1"/>
  <c r="AN154" i="19"/>
  <c r="AR154" i="19" s="1"/>
  <c r="AN100" i="19"/>
  <c r="AR100" i="19" s="1"/>
  <c r="AN28" i="19"/>
  <c r="AR28" i="19" s="1"/>
  <c r="AL13" i="19"/>
  <c r="AP13" i="19" s="1"/>
  <c r="AL112" i="19"/>
  <c r="AP112" i="19" s="1"/>
  <c r="AN91" i="19"/>
  <c r="AR91" i="19" s="1"/>
  <c r="AL121" i="19"/>
  <c r="AP121" i="19" s="1"/>
  <c r="AN172" i="19"/>
  <c r="AR172" i="19" s="1"/>
  <c r="AN73" i="19"/>
  <c r="AR73" i="19" s="1"/>
  <c r="AN118" i="19"/>
  <c r="AR118" i="19" s="1"/>
  <c r="AN55" i="19"/>
  <c r="AR55" i="19" s="1"/>
  <c r="AN181" i="19"/>
  <c r="AR181" i="19" s="1"/>
  <c r="AN145" i="19"/>
  <c r="AR145" i="19" s="1"/>
  <c r="AL76" i="19"/>
  <c r="AP76" i="19" s="1"/>
  <c r="AN199" i="19"/>
  <c r="AR199" i="19" s="1"/>
  <c r="AL157" i="19"/>
  <c r="AP157" i="19" s="1"/>
  <c r="AN46" i="19"/>
  <c r="AR46" i="19" s="1"/>
  <c r="AL22" i="19"/>
  <c r="AP22" i="19" s="1"/>
  <c r="AN20" i="19"/>
  <c r="AR20" i="19" s="1"/>
  <c r="AN49" i="19"/>
  <c r="AR49" i="19" s="1"/>
  <c r="AL118" i="19"/>
  <c r="AP118" i="19" s="1"/>
  <c r="AL207" i="19"/>
  <c r="AP207" i="19" s="1"/>
  <c r="AL37" i="19"/>
  <c r="AP37" i="19" s="1"/>
  <c r="AN170" i="19"/>
  <c r="AR170" i="19" s="1"/>
  <c r="AL55" i="19"/>
  <c r="AP55" i="19" s="1"/>
  <c r="AL73" i="19"/>
  <c r="AP73" i="19" s="1"/>
  <c r="AL180" i="19"/>
  <c r="AP180" i="19" s="1"/>
  <c r="AL109" i="19"/>
  <c r="AP109" i="19" s="1"/>
  <c r="AL135" i="19"/>
  <c r="AP135" i="19" s="1"/>
  <c r="AL163" i="19"/>
  <c r="AP163" i="19" s="1"/>
  <c r="AO28" i="19"/>
  <c r="AS28" i="19" s="1"/>
  <c r="AO208" i="19"/>
  <c r="AS208" i="19" s="1"/>
  <c r="AL145" i="19"/>
  <c r="AP145" i="19" s="1"/>
  <c r="AO73" i="19"/>
  <c r="AS73" i="19" s="1"/>
  <c r="AL19" i="19"/>
  <c r="AP19" i="19" s="1"/>
  <c r="AO226" i="19"/>
  <c r="AS226" i="19" s="1"/>
  <c r="AO33" i="19"/>
  <c r="AS33" i="19" s="1"/>
  <c r="AO13" i="19"/>
  <c r="AS13" i="19" s="1"/>
  <c r="AM105" i="19"/>
  <c r="AQ105" i="19" s="1"/>
  <c r="AO22" i="19"/>
  <c r="AS22" i="19" s="1"/>
  <c r="AO198" i="19"/>
  <c r="AS198" i="19" s="1"/>
  <c r="AO162" i="19"/>
  <c r="AS162" i="19" s="1"/>
  <c r="AL24" i="19"/>
  <c r="AP24" i="19" s="1"/>
  <c r="AN139" i="19"/>
  <c r="AR139" i="19" s="1"/>
  <c r="AO112" i="19"/>
  <c r="AS112" i="19" s="1"/>
  <c r="AO54" i="19"/>
  <c r="AS54" i="19" s="1"/>
  <c r="AO211" i="19"/>
  <c r="AS211" i="19" s="1"/>
  <c r="AO58" i="19"/>
  <c r="AS58" i="19" s="1"/>
  <c r="AO216" i="19"/>
  <c r="AS216" i="19" s="1"/>
  <c r="AO207" i="19"/>
  <c r="AS207" i="19" s="1"/>
  <c r="AO81" i="19"/>
  <c r="AS81" i="19" s="1"/>
  <c r="AM71" i="19"/>
  <c r="AQ71" i="19" s="1"/>
  <c r="AL36" i="19"/>
  <c r="AP36" i="19" s="1"/>
  <c r="AM66" i="19"/>
  <c r="AQ66" i="19" s="1"/>
  <c r="AO82" i="19"/>
  <c r="AS82" i="19" s="1"/>
  <c r="AO130" i="19"/>
  <c r="AS130" i="19" s="1"/>
  <c r="AN103" i="19"/>
  <c r="AR103" i="19" s="1"/>
  <c r="AL45" i="19"/>
  <c r="AP45" i="19" s="1"/>
  <c r="AL216" i="19"/>
  <c r="AP216" i="19" s="1"/>
  <c r="AL18" i="19"/>
  <c r="AP18" i="19" s="1"/>
  <c r="AL117" i="19"/>
  <c r="AP117" i="19" s="1"/>
  <c r="AN166" i="19"/>
  <c r="AR166" i="19" s="1"/>
  <c r="AL9" i="19"/>
  <c r="AP9" i="19" s="1"/>
  <c r="AL225" i="19"/>
  <c r="AP225" i="19" s="1"/>
  <c r="AL82" i="19"/>
  <c r="AP82" i="19" s="1"/>
  <c r="AL217" i="19"/>
  <c r="AP217" i="19" s="1"/>
  <c r="AL99" i="19"/>
  <c r="AP99" i="19" s="1"/>
  <c r="AN76" i="19"/>
  <c r="AR76" i="19" s="1"/>
  <c r="AL154" i="19"/>
  <c r="AP154" i="19" s="1"/>
  <c r="AL181" i="19"/>
  <c r="AP181" i="19" s="1"/>
  <c r="AN69" i="19"/>
  <c r="AR69" i="19" s="1"/>
  <c r="AL126" i="19"/>
  <c r="AP126" i="19" s="1"/>
  <c r="AL54" i="19"/>
  <c r="AP54" i="19" s="1"/>
  <c r="AL81" i="19"/>
  <c r="AP81" i="19" s="1"/>
  <c r="AL127" i="19"/>
  <c r="AP127" i="19" s="1"/>
  <c r="AL90" i="19"/>
  <c r="AP90" i="19" s="1"/>
  <c r="AL144" i="19"/>
  <c r="AP144" i="19" s="1"/>
  <c r="AL108" i="19"/>
  <c r="AP108" i="19" s="1"/>
  <c r="AL46" i="19"/>
  <c r="AP46" i="19" s="1"/>
  <c r="AL64" i="19"/>
  <c r="AP64" i="19" s="1"/>
  <c r="AL189" i="19"/>
  <c r="AP189" i="19" s="1"/>
  <c r="AL28" i="19"/>
  <c r="AP28" i="19" s="1"/>
  <c r="AL91" i="19"/>
  <c r="AP91" i="19" s="1"/>
  <c r="AL63" i="19"/>
  <c r="AP63" i="19" s="1"/>
  <c r="AL199" i="19"/>
  <c r="AP199" i="19" s="1"/>
  <c r="AL136" i="19"/>
  <c r="AP136" i="19" s="1"/>
  <c r="AL208" i="19"/>
  <c r="AP208" i="19" s="1"/>
  <c r="AL171" i="19"/>
  <c r="AP171" i="19" s="1"/>
  <c r="AM11" i="19"/>
  <c r="AQ11" i="19" s="1"/>
  <c r="AL226" i="19"/>
  <c r="AP226" i="19" s="1"/>
  <c r="AL27" i="19"/>
  <c r="AP27" i="19" s="1"/>
  <c r="AL162" i="19"/>
  <c r="AP162" i="19" s="1"/>
  <c r="AM60" i="19"/>
  <c r="AQ60" i="19" s="1"/>
  <c r="AL172" i="19"/>
  <c r="AP172" i="19" s="1"/>
  <c r="AM117" i="19"/>
  <c r="AQ117" i="19" s="1"/>
  <c r="AL198" i="19"/>
  <c r="AP198" i="19" s="1"/>
  <c r="AO100" i="19"/>
  <c r="AS100" i="19" s="1"/>
  <c r="AL190" i="19"/>
  <c r="AP190" i="19" s="1"/>
  <c r="AL100" i="19"/>
  <c r="AP100" i="19" s="1"/>
  <c r="AL72" i="19"/>
  <c r="AP72" i="19" s="1"/>
  <c r="AO139" i="19"/>
  <c r="AS139" i="19" s="1"/>
  <c r="AM218" i="19"/>
  <c r="AQ218" i="19" s="1"/>
  <c r="AN213" i="19"/>
  <c r="AR213" i="19" s="1"/>
  <c r="AL185" i="19"/>
  <c r="AP185" i="19" s="1"/>
  <c r="AL83" i="19"/>
  <c r="AP83" i="19" s="1"/>
  <c r="AO67" i="19"/>
  <c r="AS67" i="19" s="1"/>
  <c r="AM101" i="19"/>
  <c r="AQ101" i="19" s="1"/>
  <c r="AO121" i="19"/>
  <c r="AS121" i="19" s="1"/>
  <c r="AO127" i="19"/>
  <c r="AS127" i="19" s="1"/>
  <c r="AN85" i="19"/>
  <c r="AR85" i="19" s="1"/>
  <c r="AN177" i="19"/>
  <c r="AR177" i="19" s="1"/>
  <c r="AO31" i="19"/>
  <c r="AS31" i="19" s="1"/>
  <c r="AN22" i="19"/>
  <c r="AR22" i="19" s="1"/>
  <c r="AO45" i="19"/>
  <c r="AS45" i="19" s="1"/>
  <c r="AO184" i="19"/>
  <c r="AS184" i="19" s="1"/>
  <c r="AO85" i="19"/>
  <c r="AS85" i="19" s="1"/>
  <c r="AO131" i="19"/>
  <c r="AS131" i="19" s="1"/>
  <c r="AL165" i="19"/>
  <c r="AP165" i="19" s="1"/>
  <c r="AO175" i="19"/>
  <c r="AS175" i="19" s="1"/>
  <c r="AN168" i="19"/>
  <c r="AR168" i="19" s="1"/>
  <c r="AM89" i="19"/>
  <c r="AQ89" i="19" s="1"/>
  <c r="AN58" i="19"/>
  <c r="AR58" i="19" s="1"/>
  <c r="AN121" i="19"/>
  <c r="AR121" i="19" s="1"/>
  <c r="AO64" i="19"/>
  <c r="AS64" i="19" s="1"/>
  <c r="AO37" i="19"/>
  <c r="AS37" i="19" s="1"/>
  <c r="AO36" i="19"/>
  <c r="AS36" i="19" s="1"/>
  <c r="AO180" i="19"/>
  <c r="AS180" i="19" s="1"/>
  <c r="AO49" i="19"/>
  <c r="AS49" i="19" s="1"/>
  <c r="AM17" i="19"/>
  <c r="AQ17" i="19" s="1"/>
  <c r="AM145" i="19"/>
  <c r="AQ145" i="19" s="1"/>
  <c r="AN31" i="19"/>
  <c r="AR31" i="19" s="1"/>
  <c r="AO126" i="19"/>
  <c r="AS126" i="19" s="1"/>
  <c r="AN202" i="19"/>
  <c r="AR202" i="19" s="1"/>
  <c r="AN13" i="19"/>
  <c r="AR13" i="19" s="1"/>
  <c r="AO157" i="19"/>
  <c r="AS157" i="19" s="1"/>
  <c r="AO103" i="19"/>
  <c r="AS103" i="19" s="1"/>
  <c r="AN193" i="19"/>
  <c r="AR193" i="19" s="1"/>
  <c r="AO220" i="19"/>
  <c r="AS220" i="19" s="1"/>
  <c r="AN112" i="19"/>
  <c r="AR112" i="19" s="1"/>
  <c r="AN175" i="19"/>
  <c r="AR175" i="19" s="1"/>
  <c r="AO109" i="19"/>
  <c r="AS109" i="19" s="1"/>
  <c r="AN220" i="19"/>
  <c r="AR220" i="19" s="1"/>
  <c r="AO156" i="19"/>
  <c r="AS156" i="19" s="1"/>
  <c r="AN148" i="19"/>
  <c r="AR148" i="19" s="1"/>
  <c r="AO144" i="19"/>
  <c r="AS144" i="19" s="1"/>
  <c r="AN211" i="19"/>
  <c r="AR211" i="19" s="1"/>
  <c r="AN48" i="19"/>
  <c r="AR48" i="19" s="1"/>
  <c r="AN157" i="19"/>
  <c r="AR157" i="19" s="1"/>
  <c r="AM208" i="19"/>
  <c r="AQ208" i="19" s="1"/>
  <c r="AN67" i="19"/>
  <c r="AR67" i="19" s="1"/>
  <c r="AM217" i="19"/>
  <c r="AQ217" i="19" s="1"/>
  <c r="AM38" i="19"/>
  <c r="AQ38" i="19" s="1"/>
  <c r="AO18" i="19"/>
  <c r="AS18" i="19" s="1"/>
  <c r="AN94" i="19"/>
  <c r="AR94" i="19" s="1"/>
  <c r="AM20" i="19"/>
  <c r="AQ20" i="19" s="1"/>
  <c r="AO40" i="19"/>
  <c r="AS40" i="19" s="1"/>
  <c r="AO217" i="19"/>
  <c r="AS217" i="19" s="1"/>
  <c r="AO193" i="19"/>
  <c r="AS193" i="19" s="1"/>
  <c r="AM45" i="19"/>
  <c r="AQ45" i="19" s="1"/>
  <c r="AO148" i="19"/>
  <c r="AS148" i="19" s="1"/>
  <c r="AO135" i="19"/>
  <c r="AS135" i="19" s="1"/>
  <c r="AO94" i="19"/>
  <c r="AS94" i="19" s="1"/>
  <c r="AN40" i="19"/>
  <c r="AR40" i="19" s="1"/>
  <c r="AO146" i="19"/>
  <c r="AS146" i="19" s="1"/>
  <c r="AM189" i="19"/>
  <c r="AQ189" i="19" s="1"/>
  <c r="AM109" i="19"/>
  <c r="AQ109" i="19" s="1"/>
  <c r="AM82" i="19"/>
  <c r="AQ82" i="19" s="1"/>
  <c r="AM69" i="19"/>
  <c r="AQ69" i="19" s="1"/>
  <c r="AO172" i="19"/>
  <c r="AS172" i="19" s="1"/>
  <c r="AO63" i="19"/>
  <c r="AS63" i="19" s="1"/>
  <c r="AM100" i="19"/>
  <c r="AQ100" i="19" s="1"/>
  <c r="AM170" i="19"/>
  <c r="AQ170" i="19" s="1"/>
  <c r="AO27" i="19"/>
  <c r="AS27" i="19" s="1"/>
  <c r="AM107" i="19"/>
  <c r="AQ107" i="19" s="1"/>
  <c r="AM62" i="19"/>
  <c r="AQ62" i="19" s="1"/>
  <c r="AL191" i="19"/>
  <c r="AP191" i="19" s="1"/>
  <c r="AM209" i="19"/>
  <c r="AQ209" i="19" s="1"/>
  <c r="AM180" i="19"/>
  <c r="AQ180" i="19" s="1"/>
  <c r="AO163" i="19"/>
  <c r="AS163" i="19" s="1"/>
  <c r="AN219" i="19"/>
  <c r="AR219" i="19" s="1"/>
  <c r="AN4" i="19"/>
  <c r="AR4" i="19" s="1"/>
  <c r="AM181" i="19"/>
  <c r="AQ181" i="19" s="1"/>
  <c r="AO19" i="19"/>
  <c r="AS19" i="19" s="1"/>
  <c r="AO145" i="19"/>
  <c r="AS145" i="19" s="1"/>
  <c r="AM55" i="19"/>
  <c r="AQ55" i="19" s="1"/>
  <c r="AO164" i="19"/>
  <c r="AS164" i="19" s="1"/>
  <c r="AO153" i="19"/>
  <c r="AS153" i="19" s="1"/>
  <c r="AM226" i="19"/>
  <c r="AQ226" i="19" s="1"/>
  <c r="AO91" i="19"/>
  <c r="AS91" i="19" s="1"/>
  <c r="AO92" i="19"/>
  <c r="AS92" i="19" s="1"/>
  <c r="AO118" i="19"/>
  <c r="AS118" i="19" s="1"/>
  <c r="AM35" i="19"/>
  <c r="AQ35" i="19" s="1"/>
  <c r="AL203" i="19"/>
  <c r="AP203" i="19" s="1"/>
  <c r="AO154" i="19"/>
  <c r="AS154" i="19" s="1"/>
  <c r="AM64" i="19"/>
  <c r="AQ64" i="19" s="1"/>
  <c r="AL71" i="19"/>
  <c r="AP71" i="19" s="1"/>
  <c r="AO76" i="19"/>
  <c r="AS76" i="19" s="1"/>
  <c r="AM137" i="19"/>
  <c r="AQ137" i="19" s="1"/>
  <c r="AM162" i="19"/>
  <c r="AQ162" i="19" s="1"/>
  <c r="AN184" i="19"/>
  <c r="AR184" i="19" s="1"/>
  <c r="AO12" i="19"/>
  <c r="AS12" i="19" s="1"/>
  <c r="AO122" i="19"/>
  <c r="AS122" i="19" s="1"/>
  <c r="AO181" i="19"/>
  <c r="AS181" i="19" s="1"/>
  <c r="AO11" i="19"/>
  <c r="AS11" i="19" s="1"/>
  <c r="AM143" i="19"/>
  <c r="AQ143" i="19" s="1"/>
  <c r="AM19" i="19"/>
  <c r="AQ19" i="19" s="1"/>
  <c r="AM127" i="19"/>
  <c r="AQ127" i="19" s="1"/>
  <c r="AM79" i="19"/>
  <c r="AQ79" i="19" s="1"/>
  <c r="AM63" i="19"/>
  <c r="AQ63" i="19" s="1"/>
  <c r="AO136" i="19"/>
  <c r="AS136" i="19" s="1"/>
  <c r="AN130" i="19"/>
  <c r="AR130" i="19" s="1"/>
  <c r="AO199" i="19"/>
  <c r="AS199" i="19" s="1"/>
  <c r="AM152" i="19"/>
  <c r="AQ152" i="19" s="1"/>
  <c r="AO99" i="19"/>
  <c r="AS99" i="19" s="1"/>
  <c r="AO46" i="19"/>
  <c r="AS46" i="19" s="1"/>
  <c r="AO23" i="19"/>
  <c r="AS23" i="19" s="1"/>
  <c r="AO32" i="19"/>
  <c r="AS32" i="19" s="1"/>
  <c r="AO202" i="19"/>
  <c r="AS202" i="19" s="1"/>
  <c r="AO55" i="19"/>
  <c r="AS55" i="19" s="1"/>
  <c r="AN222" i="19"/>
  <c r="AR222" i="19" s="1"/>
  <c r="AO189" i="19"/>
  <c r="AS189" i="19" s="1"/>
  <c r="AM138" i="19"/>
  <c r="AQ138" i="19" s="1"/>
  <c r="AO86" i="19"/>
  <c r="AS86" i="19" s="1"/>
  <c r="AM39" i="19"/>
  <c r="AQ39" i="19" s="1"/>
  <c r="AO201" i="19"/>
  <c r="AS201" i="19" s="1"/>
  <c r="AO57" i="19"/>
  <c r="AS57" i="19" s="1"/>
  <c r="AO210" i="19"/>
  <c r="AS210" i="19" s="1"/>
  <c r="AO66" i="19"/>
  <c r="AS66" i="19" s="1"/>
  <c r="AO119" i="19"/>
  <c r="AS119" i="19" s="1"/>
  <c r="AO77" i="19"/>
  <c r="AS77" i="19" s="1"/>
  <c r="AO192" i="19"/>
  <c r="AS192" i="19" s="1"/>
  <c r="AL218" i="19"/>
  <c r="AP218" i="19" s="1"/>
  <c r="AO120" i="19"/>
  <c r="AS120" i="19" s="1"/>
  <c r="AO97" i="19"/>
  <c r="AS97" i="19" s="1"/>
  <c r="AO221" i="19"/>
  <c r="AS221" i="19" s="1"/>
  <c r="AO190" i="19"/>
  <c r="AS190" i="19" s="1"/>
  <c r="AM91" i="19"/>
  <c r="AQ91" i="19" s="1"/>
  <c r="AL75" i="19"/>
  <c r="AP75" i="19" s="1"/>
  <c r="AO151" i="19"/>
  <c r="AS151" i="19" s="1"/>
  <c r="AO200" i="19"/>
  <c r="AS200" i="19" s="1"/>
  <c r="AM37" i="19"/>
  <c r="AQ37" i="19" s="1"/>
  <c r="AM94" i="19"/>
  <c r="AQ94" i="19" s="1"/>
  <c r="AM220" i="19"/>
  <c r="AQ220" i="19" s="1"/>
  <c r="AL101" i="19"/>
  <c r="AP101" i="19" s="1"/>
  <c r="AN101" i="19"/>
  <c r="AR101" i="19" s="1"/>
  <c r="AO10" i="19"/>
  <c r="AS10" i="19" s="1"/>
  <c r="AM73" i="19"/>
  <c r="AQ73" i="19" s="1"/>
  <c r="AM118" i="19"/>
  <c r="AQ118" i="19" s="1"/>
  <c r="AM51" i="19"/>
  <c r="AQ51" i="19" s="1"/>
  <c r="AM154" i="19"/>
  <c r="AQ154" i="19" s="1"/>
  <c r="AL48" i="19"/>
  <c r="AP48" i="19" s="1"/>
  <c r="AO173" i="19"/>
  <c r="AS173" i="19" s="1"/>
  <c r="AO95" i="19"/>
  <c r="AS95" i="19" s="1"/>
  <c r="AM136" i="19"/>
  <c r="AQ136" i="19" s="1"/>
  <c r="AM9" i="19"/>
  <c r="AQ9" i="19" s="1"/>
  <c r="AM28" i="19"/>
  <c r="AQ28" i="19" s="1"/>
  <c r="AM30" i="19"/>
  <c r="AQ30" i="19" s="1"/>
  <c r="AO128" i="19"/>
  <c r="AS128" i="19" s="1"/>
  <c r="AO174" i="19"/>
  <c r="AS174" i="19" s="1"/>
  <c r="AM188" i="19"/>
  <c r="AQ188" i="19" s="1"/>
  <c r="AO20" i="19"/>
  <c r="AS20" i="19" s="1"/>
  <c r="AM121" i="19"/>
  <c r="AQ121" i="19" s="1"/>
  <c r="AO110" i="19"/>
  <c r="AS110" i="19" s="1"/>
  <c r="AM58" i="19"/>
  <c r="AQ58" i="19" s="1"/>
  <c r="AM130" i="19"/>
  <c r="AQ130" i="19" s="1"/>
  <c r="AO166" i="19"/>
  <c r="AS166" i="19" s="1"/>
  <c r="AL192" i="19"/>
  <c r="AP192" i="19" s="1"/>
  <c r="AM31" i="19"/>
  <c r="AQ31" i="19" s="1"/>
  <c r="AN174" i="19"/>
  <c r="AR174" i="19" s="1"/>
  <c r="AO34" i="19"/>
  <c r="AS34" i="19" s="1"/>
  <c r="AM72" i="19"/>
  <c r="AQ72" i="19" s="1"/>
  <c r="AM46" i="19"/>
  <c r="AQ46" i="19" s="1"/>
  <c r="AL20" i="19"/>
  <c r="AP20" i="19" s="1"/>
  <c r="AO158" i="19"/>
  <c r="AS158" i="19" s="1"/>
  <c r="AO5" i="19"/>
  <c r="AS5" i="19" s="1"/>
  <c r="AM199" i="19"/>
  <c r="AQ199" i="19" s="1"/>
  <c r="AM172" i="19"/>
  <c r="AQ172" i="19" s="1"/>
  <c r="AO38" i="19"/>
  <c r="AS38" i="19" s="1"/>
  <c r="AM92" i="19"/>
  <c r="AQ92" i="19" s="1"/>
  <c r="AM192" i="19"/>
  <c r="AQ192" i="19" s="1"/>
  <c r="AO219" i="19"/>
  <c r="AS219" i="19" s="1"/>
  <c r="AO140" i="19"/>
  <c r="AS140" i="19" s="1"/>
  <c r="AL210" i="19"/>
  <c r="AP210" i="19" s="1"/>
  <c r="AL200" i="19"/>
  <c r="AP200" i="19" s="1"/>
  <c r="AL168" i="19"/>
  <c r="AP168" i="19" s="1"/>
  <c r="AN128" i="19"/>
  <c r="AR128" i="19" s="1"/>
  <c r="AL131" i="19"/>
  <c r="AP131" i="19" s="1"/>
  <c r="AO138" i="19"/>
  <c r="AS138" i="19" s="1"/>
  <c r="AM13" i="19"/>
  <c r="AQ13" i="19" s="1"/>
  <c r="AL26" i="19"/>
  <c r="AP26" i="19" s="1"/>
  <c r="AM10" i="19"/>
  <c r="AQ10" i="19" s="1"/>
  <c r="AM216" i="19"/>
  <c r="AQ216" i="19" s="1"/>
  <c r="AO52" i="19"/>
  <c r="AS52" i="19" s="1"/>
  <c r="AM206" i="19"/>
  <c r="AQ206" i="19" s="1"/>
  <c r="AO212" i="19"/>
  <c r="AS212" i="19" s="1"/>
  <c r="AO50" i="19"/>
  <c r="AS50" i="19" s="1"/>
  <c r="AM190" i="19"/>
  <c r="AQ190" i="19" s="1"/>
  <c r="AO147" i="19"/>
  <c r="AS147" i="19" s="1"/>
  <c r="AO41" i="19"/>
  <c r="AS41" i="19" s="1"/>
  <c r="AM40" i="19"/>
  <c r="AQ40" i="19" s="1"/>
  <c r="AL110" i="19"/>
  <c r="AP110" i="19" s="1"/>
  <c r="AO203" i="19"/>
  <c r="AS203" i="19" s="1"/>
  <c r="AN173" i="19"/>
  <c r="AR173" i="19" s="1"/>
  <c r="AM163" i="19"/>
  <c r="AQ163" i="19" s="1"/>
  <c r="AO29" i="19"/>
  <c r="AS29" i="19" s="1"/>
  <c r="AM151" i="19"/>
  <c r="AQ151" i="19" s="1"/>
  <c r="AL156" i="19"/>
  <c r="AP156" i="19" s="1"/>
  <c r="AM12" i="19"/>
  <c r="AQ12" i="19" s="1"/>
  <c r="AM141" i="19"/>
  <c r="AQ141" i="19" s="1"/>
  <c r="AM139" i="19"/>
  <c r="AQ139" i="19" s="1"/>
  <c r="AL188" i="19"/>
  <c r="AP188" i="19" s="1"/>
  <c r="AM179" i="19"/>
  <c r="AQ179" i="19" s="1"/>
  <c r="AL92" i="19"/>
  <c r="AP92" i="19" s="1"/>
  <c r="AL215" i="19"/>
  <c r="AP215" i="19" s="1"/>
  <c r="AM169" i="19"/>
  <c r="AQ169" i="19" s="1"/>
  <c r="AM80" i="19"/>
  <c r="AQ80" i="19" s="1"/>
  <c r="AM161" i="19"/>
  <c r="AQ161" i="19" s="1"/>
  <c r="AO79" i="19"/>
  <c r="AS79" i="19" s="1"/>
  <c r="AM93" i="19"/>
  <c r="AQ93" i="19" s="1"/>
  <c r="AM112" i="19"/>
  <c r="AQ112" i="19" s="1"/>
  <c r="AM22" i="19"/>
  <c r="AQ22" i="19" s="1"/>
  <c r="AM119" i="19"/>
  <c r="AQ119" i="19" s="1"/>
  <c r="AM54" i="19"/>
  <c r="AQ54" i="19" s="1"/>
  <c r="AL30" i="19"/>
  <c r="AP30" i="19" s="1"/>
  <c r="AL128" i="19"/>
  <c r="AP128" i="19" s="1"/>
  <c r="AL80" i="19"/>
  <c r="AP80" i="19" s="1"/>
  <c r="AM56" i="19"/>
  <c r="AQ56" i="19" s="1"/>
  <c r="AO195" i="19"/>
  <c r="AS195" i="19" s="1"/>
  <c r="AM110" i="19"/>
  <c r="AQ110" i="19" s="1"/>
  <c r="AO93" i="19"/>
  <c r="AS93" i="19" s="1"/>
  <c r="AL213" i="19"/>
  <c r="AP213" i="19" s="1"/>
  <c r="AL119" i="19"/>
  <c r="AP119" i="19" s="1"/>
  <c r="AM157" i="19"/>
  <c r="AQ157" i="19" s="1"/>
  <c r="AM76" i="19"/>
  <c r="AQ76" i="19" s="1"/>
  <c r="AM202" i="19"/>
  <c r="AQ202" i="19" s="1"/>
  <c r="AM99" i="19"/>
  <c r="AQ99" i="19" s="1"/>
  <c r="AO108" i="19"/>
  <c r="AS108" i="19" s="1"/>
  <c r="AM156" i="19"/>
  <c r="AQ156" i="19" s="1"/>
  <c r="AN141" i="19"/>
  <c r="AR141" i="19" s="1"/>
  <c r="AO159" i="19"/>
  <c r="AS159" i="19" s="1"/>
  <c r="AM29" i="19"/>
  <c r="AQ29" i="19" s="1"/>
  <c r="AM171" i="19"/>
  <c r="AQ171" i="19" s="1"/>
  <c r="AM90" i="19"/>
  <c r="AQ90" i="19" s="1"/>
  <c r="AM103" i="19"/>
  <c r="AQ103" i="19" s="1"/>
  <c r="AO72" i="19"/>
  <c r="AS72" i="19" s="1"/>
  <c r="AM211" i="19"/>
  <c r="AQ211" i="19" s="1"/>
  <c r="AO225" i="19"/>
  <c r="AS225" i="19" s="1"/>
  <c r="AL177" i="19"/>
  <c r="AP177" i="19" s="1"/>
  <c r="AL179" i="19"/>
  <c r="AP179" i="19" s="1"/>
  <c r="AM195" i="19"/>
  <c r="AQ195" i="19" s="1"/>
  <c r="AL224" i="19"/>
  <c r="AP224" i="19" s="1"/>
  <c r="AM219" i="19"/>
  <c r="AQ219" i="19" s="1"/>
  <c r="AO167" i="19"/>
  <c r="AS167" i="19" s="1"/>
  <c r="AO176" i="19"/>
  <c r="AS176" i="19" s="1"/>
  <c r="AO70" i="19"/>
  <c r="AS70" i="19" s="1"/>
  <c r="AM74" i="19"/>
  <c r="AQ74" i="19" s="1"/>
  <c r="AM144" i="19"/>
  <c r="AQ144" i="19" s="1"/>
  <c r="AM108" i="19"/>
  <c r="AQ108" i="19" s="1"/>
  <c r="AL17" i="19"/>
  <c r="AP17" i="19" s="1"/>
  <c r="AL38" i="19"/>
  <c r="AP38" i="19" s="1"/>
  <c r="AM85" i="19"/>
  <c r="AQ85" i="19" s="1"/>
  <c r="AN138" i="19"/>
  <c r="AR138" i="19" s="1"/>
  <c r="AL183" i="19"/>
  <c r="AP183" i="19" s="1"/>
  <c r="AL33" i="19"/>
  <c r="AP33" i="19" s="1"/>
  <c r="AM111" i="19"/>
  <c r="AQ111" i="19" s="1"/>
  <c r="AM114" i="19"/>
  <c r="AQ114" i="19" s="1"/>
  <c r="AO185" i="19"/>
  <c r="AS185" i="19" s="1"/>
  <c r="AM120" i="19"/>
  <c r="AQ120" i="19" s="1"/>
  <c r="AM57" i="19"/>
  <c r="AQ57" i="19" s="1"/>
  <c r="AM201" i="19"/>
  <c r="AQ201" i="19" s="1"/>
  <c r="AN33" i="19"/>
  <c r="AR33" i="19" s="1"/>
  <c r="AO90" i="19"/>
  <c r="AS90" i="19" s="1"/>
  <c r="AM18" i="19"/>
  <c r="AQ18" i="19" s="1"/>
  <c r="AM148" i="19"/>
  <c r="AQ148" i="19" s="1"/>
  <c r="AM184" i="19"/>
  <c r="AQ184" i="19" s="1"/>
  <c r="AO61" i="19"/>
  <c r="AS61" i="19" s="1"/>
  <c r="AN102" i="19"/>
  <c r="AR102" i="19" s="1"/>
  <c r="AL12" i="19"/>
  <c r="AP12" i="19" s="1"/>
  <c r="AM146" i="19"/>
  <c r="AQ146" i="19" s="1"/>
  <c r="AM43" i="19"/>
  <c r="AQ43" i="19" s="1"/>
  <c r="AO14" i="19"/>
  <c r="AS14" i="19" s="1"/>
  <c r="AM48" i="19"/>
  <c r="AQ48" i="19" s="1"/>
  <c r="AM75" i="19"/>
  <c r="AQ75" i="19" s="1"/>
  <c r="AL209" i="19"/>
  <c r="AP209" i="19" s="1"/>
  <c r="AM200" i="19"/>
  <c r="AQ200" i="19" s="1"/>
  <c r="AL35" i="19"/>
  <c r="AP35" i="19" s="1"/>
  <c r="AN60" i="19"/>
  <c r="AR60" i="19" s="1"/>
  <c r="AO124" i="19"/>
  <c r="AS124" i="19" s="1"/>
  <c r="AO48" i="19"/>
  <c r="AS48" i="19" s="1"/>
  <c r="AM115" i="19"/>
  <c r="AQ115" i="19" s="1"/>
  <c r="AL98" i="19"/>
  <c r="AP98" i="19" s="1"/>
  <c r="AM207" i="19"/>
  <c r="AQ207" i="19" s="1"/>
  <c r="AM183" i="19"/>
  <c r="AQ183" i="19" s="1"/>
  <c r="AM47" i="19"/>
  <c r="AQ47" i="19" s="1"/>
  <c r="AM27" i="19"/>
  <c r="AQ27" i="19" s="1"/>
  <c r="AM44" i="19"/>
  <c r="AQ44" i="19" s="1"/>
  <c r="AO115" i="19"/>
  <c r="AS115" i="19" s="1"/>
  <c r="AL113" i="19"/>
  <c r="AP113" i="19" s="1"/>
  <c r="AM191" i="19"/>
  <c r="AQ191" i="19" s="1"/>
  <c r="AO194" i="19"/>
  <c r="AS194" i="19" s="1"/>
  <c r="AO30" i="19"/>
  <c r="AS30" i="19" s="1"/>
  <c r="AN15" i="19"/>
  <c r="AR15" i="19" s="1"/>
  <c r="AO123" i="19"/>
  <c r="AS123" i="19" s="1"/>
  <c r="AM147" i="19"/>
  <c r="AQ147" i="19" s="1"/>
  <c r="AL120" i="19"/>
  <c r="AP120" i="19" s="1"/>
  <c r="AM97" i="19"/>
  <c r="AQ97" i="19" s="1"/>
  <c r="AO129" i="19"/>
  <c r="AS129" i="19" s="1"/>
  <c r="AM153" i="19"/>
  <c r="AQ153" i="19" s="1"/>
  <c r="AM15" i="19"/>
  <c r="AQ15" i="19" s="1"/>
  <c r="AL219" i="19"/>
  <c r="AP219" i="19" s="1"/>
  <c r="AM36" i="19"/>
  <c r="AQ36" i="19" s="1"/>
  <c r="AM129" i="19"/>
  <c r="AQ129" i="19" s="1"/>
  <c r="AM198" i="19"/>
  <c r="AQ198" i="19" s="1"/>
  <c r="AM166" i="19"/>
  <c r="AQ166" i="19" s="1"/>
  <c r="AL57" i="19"/>
  <c r="AP57" i="19" s="1"/>
  <c r="AO104" i="19"/>
  <c r="AS104" i="19" s="1"/>
  <c r="AM155" i="19"/>
  <c r="AQ155" i="19" s="1"/>
  <c r="AL138" i="19"/>
  <c r="AP138" i="19" s="1"/>
  <c r="AL68" i="19"/>
  <c r="AP68" i="19" s="1"/>
  <c r="AL11" i="19"/>
  <c r="AP11" i="19" s="1"/>
  <c r="AM225" i="19"/>
  <c r="AQ225" i="19" s="1"/>
  <c r="AO114" i="19"/>
  <c r="AS114" i="19" s="1"/>
  <c r="AO111" i="19"/>
  <c r="AS111" i="19" s="1"/>
  <c r="AO113" i="19"/>
  <c r="AS113" i="19" s="1"/>
  <c r="AL102" i="19"/>
  <c r="AP102" i="19" s="1"/>
  <c r="AM174" i="19"/>
  <c r="AQ174" i="19" s="1"/>
  <c r="AM116" i="19"/>
  <c r="AQ116" i="19" s="1"/>
  <c r="AM98" i="19"/>
  <c r="AQ98" i="19" s="1"/>
  <c r="AM61" i="19"/>
  <c r="AQ61" i="19" s="1"/>
  <c r="AO149" i="19"/>
  <c r="AS149" i="19" s="1"/>
  <c r="AM175" i="19"/>
  <c r="AQ175" i="19" s="1"/>
  <c r="AM193" i="19"/>
  <c r="AQ193" i="19" s="1"/>
  <c r="AM135" i="19"/>
  <c r="AQ135" i="19" s="1"/>
  <c r="AO88" i="19"/>
  <c r="AS88" i="19" s="1"/>
  <c r="AL134" i="19"/>
  <c r="AP134" i="19" s="1"/>
  <c r="AL155" i="19"/>
  <c r="AP155" i="19" s="1"/>
  <c r="AL161" i="19"/>
  <c r="AP161" i="19" s="1"/>
  <c r="AL147" i="19"/>
  <c r="AP147" i="19" s="1"/>
  <c r="AO106" i="19"/>
  <c r="AS106" i="19" s="1"/>
  <c r="AL170" i="19"/>
  <c r="AP170" i="19" s="1"/>
  <c r="AM126" i="19"/>
  <c r="AQ126" i="19" s="1"/>
  <c r="AL201" i="19"/>
  <c r="AP201" i="19" s="1"/>
  <c r="AN30" i="19"/>
  <c r="AR30" i="19" s="1"/>
  <c r="AO68" i="19"/>
  <c r="AS68" i="19" s="1"/>
  <c r="AO168" i="19"/>
  <c r="AS168" i="19" s="1"/>
  <c r="AM215" i="19"/>
  <c r="AQ215" i="19" s="1"/>
  <c r="AL158" i="19"/>
  <c r="AP158" i="19" s="1"/>
  <c r="AM168" i="19"/>
  <c r="AQ168" i="19" s="1"/>
  <c r="AM67" i="19"/>
  <c r="AQ67" i="19" s="1"/>
  <c r="AN114" i="19"/>
  <c r="AR114" i="19" s="1"/>
  <c r="AL74" i="19"/>
  <c r="AP74" i="19" s="1"/>
  <c r="AM132" i="19"/>
  <c r="AQ132" i="19" s="1"/>
  <c r="AL53" i="19"/>
  <c r="AP53" i="19" s="1"/>
  <c r="AL174" i="19"/>
  <c r="AP174" i="19" s="1"/>
  <c r="AN93" i="19"/>
  <c r="AR93" i="19" s="1"/>
  <c r="AL111" i="19"/>
  <c r="AP111" i="19" s="1"/>
  <c r="AM177" i="19"/>
  <c r="AQ177" i="19" s="1"/>
  <c r="AM81" i="19"/>
  <c r="AQ81" i="19" s="1"/>
  <c r="AO169" i="19"/>
  <c r="AS169" i="19" s="1"/>
  <c r="AM49" i="19"/>
  <c r="AQ49" i="19" s="1"/>
  <c r="AO171" i="19"/>
  <c r="AS171" i="19" s="1"/>
  <c r="AO117" i="19"/>
  <c r="AS117" i="19" s="1"/>
  <c r="AN8" i="19"/>
  <c r="AR8" i="19" s="1"/>
  <c r="AN107" i="19"/>
  <c r="AR107" i="19" s="1"/>
  <c r="AN26" i="19"/>
  <c r="AR26" i="19" s="1"/>
  <c r="AN44" i="19"/>
  <c r="AR44" i="19" s="1"/>
  <c r="AN125" i="19"/>
  <c r="AR125" i="19" s="1"/>
  <c r="AN224" i="19"/>
  <c r="AR224" i="19" s="1"/>
  <c r="AN62" i="19"/>
  <c r="AR62" i="19" s="1"/>
  <c r="AO215" i="19"/>
  <c r="AS215" i="19" s="1"/>
  <c r="AM5" i="19"/>
  <c r="AQ5" i="19" s="1"/>
  <c r="AM176" i="19"/>
  <c r="AQ176" i="19" s="1"/>
  <c r="AM185" i="19"/>
  <c r="AQ185" i="19" s="1"/>
  <c r="AM203" i="19"/>
  <c r="AQ203" i="19" s="1"/>
  <c r="AM23" i="19"/>
  <c r="AQ23" i="19" s="1"/>
  <c r="AM86" i="19"/>
  <c r="AQ86" i="19" s="1"/>
  <c r="AM104" i="19"/>
  <c r="AQ104" i="19" s="1"/>
  <c r="AN89" i="19"/>
  <c r="AR89" i="19" s="1"/>
  <c r="AO44" i="19"/>
  <c r="AS44" i="19" s="1"/>
  <c r="AN188" i="19"/>
  <c r="AR188" i="19" s="1"/>
  <c r="AN206" i="19"/>
  <c r="AR206" i="19" s="1"/>
  <c r="AO152" i="19"/>
  <c r="AS152" i="19" s="1"/>
  <c r="AM113" i="19"/>
  <c r="AQ113" i="19" s="1"/>
  <c r="AO188" i="19"/>
  <c r="AS188" i="19" s="1"/>
  <c r="AN197" i="19"/>
  <c r="AR197" i="19" s="1"/>
  <c r="AO69" i="19"/>
  <c r="AS69" i="19" s="1"/>
  <c r="AM131" i="19"/>
  <c r="AQ131" i="19" s="1"/>
  <c r="AO60" i="19"/>
  <c r="AS60" i="19" s="1"/>
  <c r="AO17" i="19"/>
  <c r="AS17" i="19" s="1"/>
  <c r="AN65" i="19"/>
  <c r="AR65" i="19" s="1"/>
  <c r="AN146" i="19"/>
  <c r="AR146" i="19" s="1"/>
  <c r="AN2" i="19"/>
  <c r="AR2" i="19" s="1"/>
  <c r="AN137" i="19"/>
  <c r="AR137" i="19" s="1"/>
  <c r="AN38" i="19"/>
  <c r="AR38" i="19" s="1"/>
  <c r="AN209" i="19"/>
  <c r="AR209" i="19" s="1"/>
  <c r="AN47" i="19"/>
  <c r="AR47" i="19" s="1"/>
  <c r="AL114" i="19"/>
  <c r="AP114" i="19" s="1"/>
  <c r="AL60" i="19"/>
  <c r="AP60" i="19" s="1"/>
  <c r="AO161" i="19"/>
  <c r="AS161" i="19" s="1"/>
  <c r="AM95" i="19"/>
  <c r="AQ95" i="19" s="1"/>
  <c r="AN110" i="19"/>
  <c r="AR110" i="19" s="1"/>
  <c r="AN11" i="19"/>
  <c r="AR11" i="19" s="1"/>
  <c r="AM178" i="19"/>
  <c r="AQ178" i="19" s="1"/>
  <c r="AM65" i="19"/>
  <c r="AQ65" i="19" s="1"/>
  <c r="AM142" i="19"/>
  <c r="AQ142" i="19" s="1"/>
  <c r="AM70" i="19"/>
  <c r="AQ70" i="19" s="1"/>
  <c r="AN35" i="19"/>
  <c r="AR35" i="19" s="1"/>
  <c r="AN201" i="19"/>
  <c r="AR201" i="19" s="1"/>
  <c r="AO218" i="19"/>
  <c r="AS218" i="19" s="1"/>
  <c r="AO74" i="19"/>
  <c r="AS74" i="19" s="1"/>
  <c r="AN111" i="19"/>
  <c r="AR111" i="19" s="1"/>
  <c r="AN218" i="19"/>
  <c r="AR218" i="19" s="1"/>
  <c r="AM8" i="19"/>
  <c r="AQ8" i="19" s="1"/>
  <c r="AM125" i="19"/>
  <c r="AQ125" i="19" s="1"/>
  <c r="AM224" i="19"/>
  <c r="AQ224" i="19" s="1"/>
  <c r="AM197" i="19"/>
  <c r="AQ197" i="19" s="1"/>
  <c r="AO143" i="19"/>
  <c r="AS143" i="19" s="1"/>
  <c r="AN165" i="19"/>
  <c r="AR165" i="19" s="1"/>
  <c r="AM173" i="19"/>
  <c r="AQ173" i="19" s="1"/>
  <c r="AM77" i="19"/>
  <c r="AQ77" i="19" s="1"/>
  <c r="AO101" i="19"/>
  <c r="AS101" i="19" s="1"/>
  <c r="AM221" i="19"/>
  <c r="AQ221" i="19" s="1"/>
  <c r="AO179" i="19"/>
  <c r="AS179" i="19" s="1"/>
  <c r="AO65" i="19"/>
  <c r="AS65" i="19" s="1"/>
  <c r="AO75" i="19"/>
  <c r="AS75" i="19" s="1"/>
  <c r="AN186" i="19"/>
  <c r="AR186" i="19" s="1"/>
  <c r="AM204" i="19"/>
  <c r="AQ204" i="19" s="1"/>
  <c r="AN119" i="19"/>
  <c r="AR119" i="19" s="1"/>
  <c r="AL39" i="19"/>
  <c r="AP39" i="19" s="1"/>
  <c r="AL152" i="19"/>
  <c r="AP152" i="19" s="1"/>
  <c r="AM186" i="19"/>
  <c r="AQ186" i="19" s="1"/>
  <c r="AN195" i="19"/>
  <c r="AR195" i="19" s="1"/>
  <c r="AL93" i="19"/>
  <c r="AP93" i="19" s="1"/>
  <c r="AO134" i="19"/>
  <c r="AS134" i="19" s="1"/>
  <c r="AL140" i="19"/>
  <c r="AP140" i="19" s="1"/>
  <c r="AM182" i="19"/>
  <c r="AQ182" i="19" s="1"/>
  <c r="AM21" i="19"/>
  <c r="AQ21" i="19" s="1"/>
  <c r="AO21" i="19"/>
  <c r="AS21" i="19" s="1"/>
  <c r="AM33" i="19"/>
  <c r="AQ33" i="19" s="1"/>
  <c r="AM160" i="19"/>
  <c r="AQ160" i="19" s="1"/>
  <c r="AL42" i="19"/>
  <c r="AP42" i="19" s="1"/>
  <c r="AL69" i="19"/>
  <c r="AP69" i="19" s="1"/>
  <c r="AL204" i="19"/>
  <c r="AP204" i="19" s="1"/>
  <c r="AL6" i="19"/>
  <c r="AP6" i="19" s="1"/>
  <c r="AL87" i="19"/>
  <c r="AP87" i="19" s="1"/>
  <c r="AL96" i="19"/>
  <c r="AP96" i="19" s="1"/>
  <c r="AL186" i="19"/>
  <c r="AP186" i="19" s="1"/>
  <c r="AL105" i="19"/>
  <c r="AP105" i="19" s="1"/>
  <c r="AL150" i="19"/>
  <c r="AP150" i="19" s="1"/>
  <c r="AL222" i="19"/>
  <c r="AP222" i="19" s="1"/>
  <c r="AM149" i="19"/>
  <c r="AQ149" i="19" s="1"/>
  <c r="AN134" i="19"/>
  <c r="AR134" i="19" s="1"/>
  <c r="AO6" i="19"/>
  <c r="AS6" i="19" s="1"/>
  <c r="AO105" i="19"/>
  <c r="AS105" i="19" s="1"/>
  <c r="AO24" i="19"/>
  <c r="AS24" i="19" s="1"/>
  <c r="AO96" i="19"/>
  <c r="AS96" i="19" s="1"/>
  <c r="AO186" i="19"/>
  <c r="AS186" i="19" s="1"/>
  <c r="AL132" i="19"/>
  <c r="AP132" i="19" s="1"/>
  <c r="AL86" i="19"/>
  <c r="AP86" i="19" s="1"/>
  <c r="AL149" i="19"/>
  <c r="AP149" i="19" s="1"/>
  <c r="AL122" i="19"/>
  <c r="AP122" i="19" s="1"/>
  <c r="AL5" i="19"/>
  <c r="AP5" i="19" s="1"/>
  <c r="AL167" i="19"/>
  <c r="AP167" i="19" s="1"/>
  <c r="AL176" i="19"/>
  <c r="AP176" i="19" s="1"/>
  <c r="AO26" i="19"/>
  <c r="AS26" i="19" s="1"/>
  <c r="AL15" i="19"/>
  <c r="AP15" i="19" s="1"/>
  <c r="AL141" i="19"/>
  <c r="AP141" i="19" s="1"/>
  <c r="AM87" i="19"/>
  <c r="AQ87" i="19" s="1"/>
  <c r="AM78" i="19"/>
  <c r="AQ78" i="19" s="1"/>
  <c r="AO47" i="19"/>
  <c r="AS47" i="19" s="1"/>
  <c r="AN71" i="19"/>
  <c r="AR71" i="19" s="1"/>
  <c r="AO177" i="19"/>
  <c r="AS177" i="19" s="1"/>
  <c r="AM52" i="19"/>
  <c r="AQ52" i="19" s="1"/>
  <c r="AL56" i="19"/>
  <c r="AP56" i="19" s="1"/>
  <c r="AL65" i="19"/>
  <c r="AP65" i="19" s="1"/>
  <c r="AL47" i="19"/>
  <c r="AP47" i="19" s="1"/>
  <c r="AL182" i="19"/>
  <c r="AP182" i="19" s="1"/>
  <c r="AL2" i="19"/>
  <c r="AP2" i="19" s="1"/>
  <c r="AL29" i="19"/>
  <c r="AP29" i="19" s="1"/>
  <c r="AL164" i="19"/>
  <c r="AP164" i="19" s="1"/>
  <c r="AL23" i="19"/>
  <c r="AP23" i="19" s="1"/>
  <c r="AN192" i="19"/>
  <c r="AR192" i="19" s="1"/>
  <c r="AO150" i="19"/>
  <c r="AS150" i="19" s="1"/>
  <c r="AN123" i="19"/>
  <c r="AR123" i="19" s="1"/>
  <c r="AM187" i="19"/>
  <c r="AQ187" i="19" s="1"/>
  <c r="AO3" i="19"/>
  <c r="AS3" i="19" s="1"/>
  <c r="AO84" i="19"/>
  <c r="AS84" i="19" s="1"/>
  <c r="AO183" i="19"/>
  <c r="AS183" i="19" s="1"/>
  <c r="AO102" i="19"/>
  <c r="AS102" i="19" s="1"/>
  <c r="AO165" i="19"/>
  <c r="AS165" i="19" s="1"/>
  <c r="AO39" i="19"/>
  <c r="AS39" i="19" s="1"/>
  <c r="AL146" i="19"/>
  <c r="AP146" i="19" s="1"/>
  <c r="AM83" i="19"/>
  <c r="AQ83" i="19" s="1"/>
  <c r="AM134" i="19"/>
  <c r="AQ134" i="19" s="1"/>
  <c r="AN74" i="19"/>
  <c r="AR74" i="19" s="1"/>
  <c r="AM140" i="19"/>
  <c r="AQ140" i="19" s="1"/>
  <c r="AL77" i="19"/>
  <c r="AP77" i="19" s="1"/>
  <c r="AN17" i="19"/>
  <c r="AR17" i="19" s="1"/>
  <c r="AL59" i="19"/>
  <c r="AP59" i="19" s="1"/>
  <c r="AN12" i="19"/>
  <c r="AR12" i="19" s="1"/>
  <c r="AM214" i="19"/>
  <c r="AQ214" i="19" s="1"/>
  <c r="AM53" i="19"/>
  <c r="AQ53" i="19" s="1"/>
  <c r="AL173" i="19"/>
  <c r="AP173" i="19" s="1"/>
  <c r="AO214" i="19"/>
  <c r="AS214" i="19" s="1"/>
  <c r="AN132" i="19"/>
  <c r="AR132" i="19" s="1"/>
  <c r="AO133" i="19"/>
  <c r="AS133" i="19" s="1"/>
  <c r="AL21" i="19"/>
  <c r="AP21" i="19" s="1"/>
  <c r="AN21" i="19"/>
  <c r="AR21" i="19" s="1"/>
  <c r="AM59" i="19"/>
  <c r="AQ59" i="19" s="1"/>
  <c r="AM133" i="19"/>
  <c r="AQ133" i="19" s="1"/>
  <c r="AO137" i="19"/>
  <c r="AS137" i="19" s="1"/>
  <c r="AL51" i="19"/>
  <c r="AP51" i="19" s="1"/>
  <c r="AM158" i="19"/>
  <c r="AQ158" i="19" s="1"/>
  <c r="AO89" i="19"/>
  <c r="AS89" i="19" s="1"/>
  <c r="AO206" i="19"/>
  <c r="AS206" i="19" s="1"/>
  <c r="AL32" i="19"/>
  <c r="AP32" i="19" s="1"/>
  <c r="AL212" i="19"/>
  <c r="AP212" i="19" s="1"/>
  <c r="AO224" i="19"/>
  <c r="AS224" i="19" s="1"/>
  <c r="AO78" i="19"/>
  <c r="AS78" i="19" s="1"/>
  <c r="AL123" i="19"/>
  <c r="AP123" i="19" s="1"/>
  <c r="AO107" i="19"/>
  <c r="AS107" i="19" s="1"/>
  <c r="AO191" i="19"/>
  <c r="AS191" i="19" s="1"/>
  <c r="AM6" i="19"/>
  <c r="AQ6" i="19" s="1"/>
  <c r="AM24" i="19"/>
  <c r="AQ24" i="19" s="1"/>
  <c r="AM96" i="19"/>
  <c r="AQ96" i="19" s="1"/>
  <c r="AM42" i="19"/>
  <c r="AQ42" i="19" s="1"/>
  <c r="AM213" i="19"/>
  <c r="AQ213" i="19" s="1"/>
  <c r="AM123" i="19"/>
  <c r="AQ123" i="19" s="1"/>
  <c r="AN80" i="19"/>
  <c r="AR80" i="19" s="1"/>
  <c r="AN152" i="19"/>
  <c r="AR152" i="19" s="1"/>
  <c r="AN156" i="19"/>
  <c r="AR156" i="19" s="1"/>
  <c r="AN84" i="19"/>
  <c r="AR84" i="19" s="1"/>
  <c r="AN57" i="19"/>
  <c r="AR57" i="19" s="1"/>
  <c r="AN129" i="19"/>
  <c r="AR129" i="19" s="1"/>
  <c r="AN183" i="19"/>
  <c r="AR183" i="19" s="1"/>
  <c r="AN147" i="19"/>
  <c r="AR147" i="19" s="1"/>
  <c r="AN3" i="19"/>
  <c r="AR3" i="19" s="1"/>
  <c r="AO87" i="19"/>
  <c r="AS87" i="19" s="1"/>
  <c r="AL194" i="19"/>
  <c r="AP194" i="19" s="1"/>
  <c r="AO42" i="19"/>
  <c r="AS42" i="19" s="1"/>
  <c r="AN150" i="19"/>
  <c r="AR150" i="19" s="1"/>
  <c r="AN98" i="19"/>
  <c r="AR98" i="19" s="1"/>
  <c r="AN39" i="19"/>
  <c r="AR39" i="19" s="1"/>
  <c r="AN51" i="19"/>
  <c r="AR51" i="19" s="1"/>
  <c r="AO15" i="19"/>
  <c r="AS15" i="19" s="1"/>
  <c r="AL195" i="19"/>
  <c r="AP195" i="19" s="1"/>
  <c r="AN120" i="19"/>
  <c r="AR120" i="19" s="1"/>
  <c r="AO178" i="19"/>
  <c r="AS178" i="19" s="1"/>
  <c r="AO35" i="19"/>
  <c r="AS35" i="19" s="1"/>
  <c r="AL50" i="19"/>
  <c r="AP50" i="19" s="1"/>
  <c r="AN155" i="19"/>
  <c r="AR155" i="19" s="1"/>
  <c r="AL221" i="19"/>
  <c r="AP221" i="19" s="1"/>
  <c r="AM68" i="19"/>
  <c r="AQ68" i="19" s="1"/>
  <c r="AN159" i="19"/>
  <c r="AR159" i="19" s="1"/>
  <c r="AN92" i="19"/>
  <c r="AR92" i="19" s="1"/>
  <c r="AL66" i="19"/>
  <c r="AP66" i="19" s="1"/>
  <c r="AL84" i="19"/>
  <c r="AP84" i="19" s="1"/>
  <c r="AL129" i="19"/>
  <c r="AP129" i="19" s="1"/>
  <c r="AL3" i="19"/>
  <c r="AP3" i="19" s="1"/>
  <c r="AN53" i="19"/>
  <c r="AR53" i="19" s="1"/>
  <c r="AO213" i="19"/>
  <c r="AS213" i="19" s="1"/>
  <c r="AN191" i="19"/>
  <c r="AR191" i="19" s="1"/>
  <c r="AN29" i="19"/>
  <c r="AR29" i="19" s="1"/>
  <c r="AM122" i="19"/>
  <c r="AQ122" i="19" s="1"/>
  <c r="AM41" i="19"/>
  <c r="AQ41" i="19" s="1"/>
  <c r="AO53" i="19"/>
  <c r="AS53" i="19" s="1"/>
  <c r="AO62" i="19"/>
  <c r="AS62" i="19" s="1"/>
  <c r="AO8" i="19"/>
  <c r="AS8" i="19" s="1"/>
  <c r="AO125" i="19"/>
  <c r="AS125" i="19" s="1"/>
  <c r="AO98" i="19"/>
  <c r="AS98" i="19" s="1"/>
  <c r="AO116" i="19"/>
  <c r="AS116" i="19" s="1"/>
  <c r="AO170" i="19"/>
  <c r="AS170" i="19" s="1"/>
  <c r="AN143" i="19"/>
  <c r="AR143" i="19" s="1"/>
  <c r="AM14" i="19"/>
  <c r="AQ14" i="19" s="1"/>
  <c r="AO141" i="19"/>
  <c r="AS141" i="19" s="1"/>
  <c r="AM32" i="19"/>
  <c r="AQ32" i="19" s="1"/>
  <c r="AO51" i="19"/>
  <c r="AS51" i="19" s="1"/>
  <c r="AL95" i="19"/>
  <c r="AP95" i="19" s="1"/>
  <c r="AO71" i="19"/>
  <c r="AS71" i="19" s="1"/>
  <c r="AO80" i="19"/>
  <c r="AS80" i="19" s="1"/>
  <c r="AO2" i="19"/>
  <c r="AS2" i="19" s="1"/>
  <c r="AO56" i="19"/>
  <c r="AS56" i="19" s="1"/>
  <c r="AN87" i="19"/>
  <c r="AR87" i="19" s="1"/>
  <c r="AN6" i="19"/>
  <c r="AR6" i="19" s="1"/>
  <c r="AN42" i="19"/>
  <c r="AR42" i="19" s="1"/>
  <c r="AN105" i="19"/>
  <c r="AR105" i="19" s="1"/>
  <c r="AN24" i="19"/>
  <c r="AR24" i="19" s="1"/>
  <c r="AN96" i="19"/>
  <c r="AR96" i="19" s="1"/>
  <c r="AN204" i="19"/>
  <c r="AR204" i="19" s="1"/>
  <c r="AN161" i="19"/>
  <c r="AR161" i="19" s="1"/>
  <c r="AL14" i="19"/>
  <c r="AP14" i="19" s="1"/>
  <c r="AN78" i="19"/>
  <c r="AR78" i="19" s="1"/>
  <c r="AM7" i="19"/>
  <c r="AQ7" i="19" s="1"/>
  <c r="AM223" i="19"/>
  <c r="AQ223" i="19" s="1"/>
  <c r="AM16" i="19"/>
  <c r="AQ16" i="19" s="1"/>
  <c r="AM25" i="19"/>
  <c r="AQ25" i="19" s="1"/>
  <c r="AM106" i="19"/>
  <c r="AQ106" i="19" s="1"/>
  <c r="AM205" i="19"/>
  <c r="AQ205" i="19" s="1"/>
  <c r="AM124" i="19"/>
  <c r="AQ124" i="19" s="1"/>
  <c r="AM196" i="19"/>
  <c r="AQ196" i="19" s="1"/>
  <c r="AM34" i="19"/>
  <c r="AQ34" i="19" s="1"/>
  <c r="AM2" i="19"/>
  <c r="AQ2" i="19" s="1"/>
  <c r="AM164" i="19"/>
  <c r="AQ164" i="19" s="1"/>
  <c r="AO209" i="19"/>
  <c r="AS209" i="19" s="1"/>
  <c r="AM167" i="19"/>
  <c r="AQ167" i="19" s="1"/>
  <c r="AO7" i="19"/>
  <c r="AS7" i="19" s="1"/>
  <c r="AO142" i="19"/>
  <c r="AS142" i="19" s="1"/>
  <c r="AO25" i="19"/>
  <c r="AS25" i="19" s="1"/>
  <c r="AO205" i="19"/>
  <c r="AS205" i="19" s="1"/>
  <c r="AO16" i="19"/>
  <c r="AS16" i="19" s="1"/>
  <c r="AO196" i="19"/>
  <c r="AS196" i="19" s="1"/>
  <c r="AO187" i="19"/>
  <c r="AS187" i="19" s="1"/>
  <c r="AO223" i="19"/>
  <c r="AS223" i="19" s="1"/>
  <c r="AN182" i="19"/>
  <c r="AR182" i="19" s="1"/>
  <c r="AM194" i="19"/>
  <c r="AQ194" i="19" s="1"/>
  <c r="AL78" i="19"/>
  <c r="AP78" i="19" s="1"/>
  <c r="AM212" i="19"/>
  <c r="AQ212" i="19" s="1"/>
  <c r="AO222" i="19"/>
  <c r="AS222" i="19" s="1"/>
  <c r="AO182" i="19"/>
  <c r="AS182" i="19" s="1"/>
  <c r="AL104" i="19"/>
  <c r="AP104" i="19" s="1"/>
  <c r="AN164" i="19"/>
  <c r="AR164" i="19" s="1"/>
  <c r="AN83" i="19"/>
  <c r="AR83" i="19" s="1"/>
  <c r="AM150" i="19"/>
  <c r="AQ150" i="19" s="1"/>
  <c r="AN210" i="19"/>
  <c r="AR210" i="19" s="1"/>
  <c r="AN75" i="19"/>
  <c r="AR75" i="19" s="1"/>
  <c r="AN215" i="19"/>
  <c r="AR215" i="19" s="1"/>
  <c r="AL137" i="19"/>
  <c r="AP137" i="19" s="1"/>
  <c r="AN116" i="19"/>
  <c r="AR116" i="19" s="1"/>
  <c r="AM88" i="19"/>
  <c r="AQ88" i="19" s="1"/>
  <c r="AO155" i="19"/>
  <c r="AS155" i="19" s="1"/>
  <c r="AL8" i="19"/>
  <c r="AP8" i="19" s="1"/>
  <c r="AL116" i="19"/>
  <c r="AP116" i="19" s="1"/>
  <c r="AL107" i="19"/>
  <c r="AP107" i="19" s="1"/>
  <c r="AL125" i="19"/>
  <c r="AP125" i="19" s="1"/>
  <c r="AL44" i="19"/>
  <c r="AP44" i="19" s="1"/>
  <c r="AL206" i="19"/>
  <c r="AP206" i="19" s="1"/>
  <c r="AL62" i="19"/>
  <c r="AP62" i="19" s="1"/>
  <c r="AL197" i="19"/>
  <c r="AP197" i="19" s="1"/>
  <c r="AL143" i="19"/>
  <c r="AP143" i="19" s="1"/>
  <c r="AL89" i="19"/>
  <c r="AP89" i="19" s="1"/>
  <c r="AM128" i="19"/>
  <c r="AQ128" i="19" s="1"/>
  <c r="AM222" i="19"/>
  <c r="AQ222" i="19" s="1"/>
  <c r="AN179" i="19"/>
  <c r="AR179" i="19" s="1"/>
  <c r="AL159" i="19"/>
  <c r="AP159" i="19" s="1"/>
  <c r="AM3" i="19"/>
  <c r="AQ3" i="19" s="1"/>
  <c r="AM165" i="19"/>
  <c r="AQ165" i="19" s="1"/>
  <c r="AM102" i="19"/>
  <c r="AQ102" i="19" s="1"/>
  <c r="AM84" i="19"/>
  <c r="AQ84" i="19" s="1"/>
  <c r="AM210" i="19"/>
  <c r="AQ210" i="19" s="1"/>
  <c r="AN66" i="19"/>
  <c r="AR66" i="19" s="1"/>
  <c r="AO132" i="19"/>
  <c r="AS132" i="19" s="1"/>
  <c r="AM50" i="19"/>
  <c r="AQ50" i="19" s="1"/>
  <c r="AO160" i="19"/>
  <c r="AS160" i="19" s="1"/>
  <c r="AO204" i="19"/>
  <c r="AS204" i="19" s="1"/>
  <c r="AN200" i="19"/>
  <c r="AR200" i="19" s="1"/>
  <c r="AN56" i="19"/>
  <c r="AR56" i="19" s="1"/>
  <c r="AL41" i="19"/>
  <c r="AP41" i="19" s="1"/>
  <c r="AM159" i="19"/>
  <c r="AQ159" i="19" s="1"/>
  <c r="AM26" i="19"/>
  <c r="AQ26" i="19" s="1"/>
</calcChain>
</file>

<file path=xl/sharedStrings.xml><?xml version="1.0" encoding="utf-8"?>
<sst xmlns="http://schemas.openxmlformats.org/spreadsheetml/2006/main" count="1472" uniqueCount="199">
  <si>
    <t>G_dz(ox)</t>
    <phoneticPr fontId="1" type="noConversion"/>
  </si>
  <si>
    <t>G_dz(red-)</t>
    <phoneticPr fontId="1" type="noConversion"/>
  </si>
  <si>
    <t>G_dz(red2-)</t>
    <phoneticPr fontId="1" type="noConversion"/>
  </si>
  <si>
    <t>E_dz(ox)</t>
    <phoneticPr fontId="1" type="noConversion"/>
  </si>
  <si>
    <t>E_dz(red-)</t>
    <phoneticPr fontId="1" type="noConversion"/>
  </si>
  <si>
    <t>E_dz(red2-)</t>
    <phoneticPr fontId="1" type="noConversion"/>
  </si>
  <si>
    <t>E_gas(ox)</t>
    <phoneticPr fontId="1" type="noConversion"/>
  </si>
  <si>
    <t>E_dmso(ox)</t>
    <phoneticPr fontId="1" type="noConversion"/>
  </si>
  <si>
    <t>E_gas(red-)</t>
    <phoneticPr fontId="1" type="noConversion"/>
  </si>
  <si>
    <t>E_dmso(red-)</t>
    <phoneticPr fontId="1" type="noConversion"/>
  </si>
  <si>
    <t>E_gas(red2-)</t>
    <phoneticPr fontId="1" type="noConversion"/>
  </si>
  <si>
    <t>E_dmso(red2-)</t>
    <phoneticPr fontId="1" type="noConversion"/>
  </si>
  <si>
    <t>E_tz(ox)</t>
    <phoneticPr fontId="1" type="noConversion"/>
  </si>
  <si>
    <t>E_tz(red-)</t>
    <phoneticPr fontId="1" type="noConversion"/>
  </si>
  <si>
    <t>E_tz(red2-)</t>
    <phoneticPr fontId="1" type="noConversion"/>
  </si>
  <si>
    <t>ΔG_1e_dz</t>
    <phoneticPr fontId="1" type="noConversion"/>
  </si>
  <si>
    <t>ΔG_1e_tz</t>
    <phoneticPr fontId="1" type="noConversion"/>
  </si>
  <si>
    <t>ΔG_2e_dz</t>
    <phoneticPr fontId="1" type="noConversion"/>
  </si>
  <si>
    <t>ΔG_2e_tz</t>
    <phoneticPr fontId="1" type="noConversion"/>
  </si>
  <si>
    <t>E_Fc</t>
    <phoneticPr fontId="1" type="noConversion"/>
  </si>
  <si>
    <t>E_1e_dz</t>
    <phoneticPr fontId="1" type="noConversion"/>
  </si>
  <si>
    <t>E_1e_tz</t>
    <phoneticPr fontId="1" type="noConversion"/>
  </si>
  <si>
    <t>E_2e_dz</t>
    <phoneticPr fontId="1" type="noConversion"/>
  </si>
  <si>
    <t>E_2e_tz</t>
    <phoneticPr fontId="1" type="noConversion"/>
  </si>
  <si>
    <t>E_1e_exp</t>
    <phoneticPr fontId="1" type="noConversion"/>
  </si>
  <si>
    <t>E_2e_exp</t>
    <phoneticPr fontId="1" type="noConversion"/>
  </si>
  <si>
    <t>BPy</t>
    <phoneticPr fontId="1" type="noConversion"/>
  </si>
  <si>
    <t>B3LYP-D3(BJ)</t>
    <phoneticPr fontId="1" type="noConversion"/>
  </si>
  <si>
    <t>NA</t>
  </si>
  <si>
    <t>ωB97X-D3(BJ)</t>
    <phoneticPr fontId="1" type="noConversion"/>
  </si>
  <si>
    <t>ωB97M-D3(BJ)</t>
    <phoneticPr fontId="1" type="noConversion"/>
  </si>
  <si>
    <t>ωB97X-V</t>
    <phoneticPr fontId="1" type="noConversion"/>
  </si>
  <si>
    <t>ωB97M-V</t>
    <phoneticPr fontId="1" type="noConversion"/>
  </si>
  <si>
    <t>MACE-OMol</t>
    <phoneticPr fontId="1" type="noConversion"/>
  </si>
  <si>
    <t>QX</t>
  </si>
  <si>
    <t>BNSN</t>
  </si>
  <si>
    <t>AzB</t>
  </si>
  <si>
    <t>PhN</t>
  </si>
  <si>
    <t>AzPy</t>
    <phoneticPr fontId="1" type="noConversion"/>
  </si>
  <si>
    <t>Molecule</t>
  </si>
  <si>
    <t>Method</t>
  </si>
  <si>
    <t>MACE-OMol*</t>
  </si>
  <si>
    <t>UMA-S</t>
  </si>
  <si>
    <t>DLPNO-CCSD(T)-F12</t>
  </si>
  <si>
    <t>G(H+)</t>
    <phoneticPr fontId="1" type="noConversion"/>
  </si>
  <si>
    <t>G_dz(red)</t>
    <phoneticPr fontId="1" type="noConversion"/>
  </si>
  <si>
    <t>E_dz(red)</t>
    <phoneticPr fontId="1" type="noConversion"/>
  </si>
  <si>
    <t>E_smd(ox)</t>
    <phoneticPr fontId="1" type="noConversion"/>
  </si>
  <si>
    <t>E_gas(red)</t>
    <phoneticPr fontId="1" type="noConversion"/>
  </si>
  <si>
    <t>E_smd(red)</t>
    <phoneticPr fontId="1" type="noConversion"/>
  </si>
  <si>
    <t>E_tz(red)</t>
    <phoneticPr fontId="1" type="noConversion"/>
  </si>
  <si>
    <t>ΔE</t>
  </si>
  <si>
    <t>ΔδG</t>
  </si>
  <si>
    <t>ΔG_dz</t>
    <phoneticPr fontId="1" type="noConversion"/>
  </si>
  <si>
    <t>ΔG_tz</t>
    <phoneticPr fontId="1" type="noConversion"/>
  </si>
  <si>
    <t>E_SHE</t>
    <phoneticPr fontId="1" type="noConversion"/>
  </si>
  <si>
    <t>E_dz</t>
    <phoneticPr fontId="1" type="noConversion"/>
  </si>
  <si>
    <t>E_tz</t>
    <phoneticPr fontId="1" type="noConversion"/>
  </si>
  <si>
    <t>E_exp</t>
    <phoneticPr fontId="1" type="noConversion"/>
  </si>
  <si>
    <t>AQDH12</t>
    <phoneticPr fontId="1" type="noConversion"/>
  </si>
  <si>
    <t>AQDH14</t>
    <phoneticPr fontId="1" type="noConversion"/>
  </si>
  <si>
    <t>AQDH15</t>
    <phoneticPr fontId="1" type="noConversion"/>
  </si>
  <si>
    <t>AQDH18</t>
    <phoneticPr fontId="1" type="noConversion"/>
  </si>
  <si>
    <t>AQDH26</t>
    <phoneticPr fontId="1" type="noConversion"/>
  </si>
  <si>
    <t>AQDS27</t>
  </si>
  <si>
    <t>AQDS15</t>
    <phoneticPr fontId="1" type="noConversion"/>
  </si>
  <si>
    <t>AQDS18</t>
    <phoneticPr fontId="1" type="noConversion"/>
  </si>
  <si>
    <t>AQS2</t>
    <phoneticPr fontId="1" type="noConversion"/>
  </si>
  <si>
    <t>AQS2DH</t>
    <phoneticPr fontId="1" type="noConversion"/>
  </si>
  <si>
    <t>AQS2NBr</t>
    <phoneticPr fontId="1" type="noConversion"/>
  </si>
  <si>
    <t>AQDH45CA</t>
    <phoneticPr fontId="1" type="noConversion"/>
  </si>
  <si>
    <t>AQDH18MH</t>
    <phoneticPr fontId="1" type="noConversion"/>
  </si>
  <si>
    <t>AQTrHM</t>
    <phoneticPr fontId="1" type="noConversion"/>
  </si>
  <si>
    <t>AQTH12</t>
    <phoneticPr fontId="1" type="noConversion"/>
  </si>
  <si>
    <t>AQTH14</t>
    <phoneticPr fontId="1" type="noConversion"/>
  </si>
  <si>
    <t>NQ12S</t>
    <phoneticPr fontId="1" type="noConversion"/>
  </si>
  <si>
    <t>NQ14HB</t>
    <phoneticPr fontId="1" type="noConversion"/>
  </si>
  <si>
    <t>NQ14H</t>
    <phoneticPr fontId="1" type="noConversion"/>
  </si>
  <si>
    <t>HQ14S</t>
    <phoneticPr fontId="1" type="noConversion"/>
  </si>
  <si>
    <t>HQ12</t>
    <phoneticPr fontId="1" type="noConversion"/>
  </si>
  <si>
    <t>HQ14</t>
    <phoneticPr fontId="1" type="noConversion"/>
  </si>
  <si>
    <t>HQ12DS</t>
    <phoneticPr fontId="1" type="noConversion"/>
  </si>
  <si>
    <t>BQ14DH</t>
    <phoneticPr fontId="1" type="noConversion"/>
  </si>
  <si>
    <t>BQ14DHDCl</t>
    <phoneticPr fontId="1" type="noConversion"/>
  </si>
  <si>
    <t>HQ14TCl</t>
    <phoneticPr fontId="1" type="noConversion"/>
  </si>
  <si>
    <t>BQ14TH</t>
    <phoneticPr fontId="1" type="noConversion"/>
  </si>
  <si>
    <t>HQ14TF</t>
    <phoneticPr fontId="1" type="noConversion"/>
  </si>
  <si>
    <t>G_dz(red2)</t>
    <phoneticPr fontId="1" type="noConversion"/>
  </si>
  <si>
    <t>E_dz(red2)</t>
    <phoneticPr fontId="1" type="noConversion"/>
  </si>
  <si>
    <t>E_water(ox)</t>
    <phoneticPr fontId="1" type="noConversion"/>
  </si>
  <si>
    <t>E_acn(ox)</t>
    <phoneticPr fontId="1" type="noConversion"/>
  </si>
  <si>
    <t>E_acn(red-)</t>
    <phoneticPr fontId="1" type="noConversion"/>
  </si>
  <si>
    <t>E_gas(red2)</t>
    <phoneticPr fontId="1" type="noConversion"/>
  </si>
  <si>
    <t>E_water(red2)</t>
    <phoneticPr fontId="1" type="noConversion"/>
  </si>
  <si>
    <t>E_tz(red2)</t>
    <phoneticPr fontId="1" type="noConversion"/>
  </si>
  <si>
    <t>ΔG_2e2H_tz</t>
    <phoneticPr fontId="1" type="noConversion"/>
  </si>
  <si>
    <t>E_NHE</t>
    <phoneticPr fontId="1" type="noConversion"/>
  </si>
  <si>
    <t>E_2e2H_dz</t>
    <phoneticPr fontId="1" type="noConversion"/>
  </si>
  <si>
    <t>E_2e2H_tz</t>
    <phoneticPr fontId="1" type="noConversion"/>
  </si>
  <si>
    <t>E_2e2H_exp</t>
    <phoneticPr fontId="1" type="noConversion"/>
  </si>
  <si>
    <t>E*_2e2H_dz</t>
  </si>
  <si>
    <t>E*_2e2H_tz</t>
  </si>
  <si>
    <t>E*_1e_dz</t>
  </si>
  <si>
    <t>E*_1e_tz</t>
  </si>
  <si>
    <t>DDQ</t>
    <phoneticPr fontId="1" type="noConversion"/>
  </si>
  <si>
    <t>PQ</t>
    <phoneticPr fontId="1" type="noConversion"/>
  </si>
  <si>
    <t>DDQ</t>
  </si>
  <si>
    <t>PQ</t>
  </si>
  <si>
    <t>SP</t>
  </si>
  <si>
    <t>Exptl.</t>
    <phoneticPr fontId="1" type="noConversion"/>
  </si>
  <si>
    <t>BQ14S</t>
  </si>
  <si>
    <t>BQ12</t>
  </si>
  <si>
    <t>BQ14</t>
  </si>
  <si>
    <t>BQ12DS</t>
  </si>
  <si>
    <t>BQ14TCl</t>
  </si>
  <si>
    <t>BQ14TF</t>
  </si>
  <si>
    <t>MAE</t>
  </si>
  <si>
    <t>BPy_1e</t>
    <phoneticPr fontId="1" type="noConversion"/>
  </si>
  <si>
    <t>QX_1e</t>
    <phoneticPr fontId="1" type="noConversion"/>
  </si>
  <si>
    <t>BNSN_1e</t>
    <phoneticPr fontId="1" type="noConversion"/>
  </si>
  <si>
    <t>AzB_1e</t>
    <phoneticPr fontId="1" type="noConversion"/>
  </si>
  <si>
    <t>PhN_1e</t>
    <phoneticPr fontId="1" type="noConversion"/>
  </si>
  <si>
    <t>AzPy_1e</t>
    <phoneticPr fontId="1" type="noConversion"/>
  </si>
  <si>
    <t>BQ14Ph</t>
  </si>
  <si>
    <t>BQ14Me</t>
  </si>
  <si>
    <t>BQ14tBu</t>
  </si>
  <si>
    <t>BQ14MeO</t>
  </si>
  <si>
    <t>BQ14DMe26</t>
  </si>
  <si>
    <t>BQ14DMe23</t>
  </si>
  <si>
    <t>BQ14TrMe</t>
  </si>
  <si>
    <t>BQ14DMeO26</t>
  </si>
  <si>
    <t>BQ14TMe</t>
  </si>
  <si>
    <t>BQ12TF</t>
  </si>
  <si>
    <t>BQ14DCl25</t>
  </si>
  <si>
    <t>BQ14Cl</t>
  </si>
  <si>
    <t>NQ14</t>
  </si>
  <si>
    <t>AQ</t>
  </si>
  <si>
    <t>AQDCl18</t>
  </si>
  <si>
    <t>NQ14DCl23</t>
  </si>
  <si>
    <t>BQ12DtBu35</t>
  </si>
  <si>
    <t>BQ12tBu4</t>
  </si>
  <si>
    <t>NQ12</t>
  </si>
  <si>
    <t>Phendio</t>
  </si>
  <si>
    <t>BQ12TCl</t>
  </si>
  <si>
    <t>B3LYP-D3(BJ)</t>
  </si>
  <si>
    <t>M06-2X-D3</t>
  </si>
  <si>
    <t>ωB97X-D3(BJ)</t>
  </si>
  <si>
    <t>ωB97X-V</t>
  </si>
  <si>
    <t>ωB97M-D3(BJ)</t>
  </si>
  <si>
    <t>ωB97M-V</t>
  </si>
  <si>
    <t>MACE-OMol</t>
  </si>
  <si>
    <t>ΔδGsolv</t>
  </si>
  <si>
    <t>BNSN_2e</t>
    <phoneticPr fontId="1" type="noConversion"/>
  </si>
  <si>
    <t>AzB_2e</t>
    <phoneticPr fontId="1" type="noConversion"/>
  </si>
  <si>
    <t>PhN_2e</t>
    <phoneticPr fontId="1" type="noConversion"/>
  </si>
  <si>
    <t>AzPy_2e</t>
    <phoneticPr fontId="1" type="noConversion"/>
  </si>
  <si>
    <t>AE_1e_dz</t>
  </si>
  <si>
    <t>AE_1e_tz</t>
  </si>
  <si>
    <t>AE_2e_dz</t>
  </si>
  <si>
    <t>AE_2e_tz</t>
  </si>
  <si>
    <t>OPT</t>
  </si>
  <si>
    <t>def2-SVPD</t>
  </si>
  <si>
    <t>def2-TZVPD</t>
  </si>
  <si>
    <t>VV10</t>
  </si>
  <si>
    <t>Model</t>
  </si>
  <si>
    <t>Target</t>
  </si>
  <si>
    <t>AE_dz</t>
  </si>
  <si>
    <t>AE_tz</t>
  </si>
  <si>
    <t>UMA-S*</t>
  </si>
  <si>
    <t>UMA-S</t>
    <phoneticPr fontId="1" type="noConversion"/>
  </si>
  <si>
    <t>AE_2e2H_dz</t>
    <phoneticPr fontId="1" type="noConversion"/>
  </si>
  <si>
    <t>AE_2e2H_tz</t>
    <phoneticPr fontId="1" type="noConversion"/>
  </si>
  <si>
    <t>AE_1e_dz</t>
    <phoneticPr fontId="1" type="noConversion"/>
  </si>
  <si>
    <t>AE_1e_tz</t>
    <phoneticPr fontId="1" type="noConversion"/>
  </si>
  <si>
    <t>UMA-S</t>
    <phoneticPr fontId="1" type="noConversion"/>
  </si>
  <si>
    <t>MAE 2e</t>
    <phoneticPr fontId="1" type="noConversion"/>
  </si>
  <si>
    <t>MAE 1e</t>
    <phoneticPr fontId="1" type="noConversion"/>
  </si>
  <si>
    <t>ΔE_1e</t>
    <phoneticPr fontId="1" type="noConversion"/>
  </si>
  <si>
    <t>ΔE_2e</t>
    <phoneticPr fontId="1" type="noConversion"/>
  </si>
  <si>
    <t>ΔδG_1e</t>
    <phoneticPr fontId="1" type="noConversion"/>
  </si>
  <si>
    <t>ΔδG_2e</t>
    <phoneticPr fontId="1" type="noConversion"/>
  </si>
  <si>
    <t>ΔG_solv_1e</t>
    <phoneticPr fontId="1" type="noConversion"/>
  </si>
  <si>
    <t>ΔG_solv</t>
  </si>
  <si>
    <t>ΔE_2e2H</t>
  </si>
  <si>
    <t>ΔE_1e</t>
  </si>
  <si>
    <t>ΔδG_2e2H</t>
  </si>
  <si>
    <t>ΔδG_1e</t>
  </si>
  <si>
    <t>ΔG_solv_2e2H</t>
  </si>
  <si>
    <t>ΔG_solv_1e</t>
  </si>
  <si>
    <t>ΔG_2e2H_dz</t>
  </si>
  <si>
    <t>CC</t>
  </si>
  <si>
    <t>ΔE_1e_dz</t>
  </si>
  <si>
    <t>ΔE_1e_tz</t>
  </si>
  <si>
    <t>ΔE_2e_dz</t>
  </si>
  <si>
    <t>ΔE_2e_tz</t>
  </si>
  <si>
    <t>SetA</t>
  </si>
  <si>
    <t>SetB</t>
  </si>
  <si>
    <t>SetC ET</t>
  </si>
  <si>
    <t>SetC PCET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</si>
</sst>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_ "/>
    <numFmt numFmtId="165" formatCode="0.0000_ "/>
    <numFmt numFmtId="166" formatCode="0.0000_);[Red]\(0.0000\)"/>
    <numFmt numFmtId="167" formatCode="0.0000"/>
    <numFmt numFmtId="168" formatCode="0.000"/>
  </numFmts>
  <fonts count="12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3"/>
      <charset val="134"/>
      <scheme val="minor"/>
    </font>
    <font>
      <sz val="11"/>
      <color theme="4"/>
      <name val="Calibri"/>
      <family val="3"/>
      <charset val="134"/>
      <scheme val="minor"/>
    </font>
    <font>
      <sz val="11"/>
      <color theme="5"/>
      <name val="Calibri"/>
      <family val="3"/>
      <charset val="134"/>
      <scheme val="minor"/>
    </font>
    <font>
      <sz val="11"/>
      <color theme="1"/>
      <name val="Calibri"/>
      <family val="4"/>
      <charset val="13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164" fontId="2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165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7" fontId="9" fillId="0" borderId="0" xfId="0" applyNumberFormat="1" applyFont="1">
      <alignment vertical="center"/>
    </xf>
    <xf numFmtId="0" fontId="0" fillId="0" borderId="0" xfId="0" applyFill="1">
      <alignment vertical="center"/>
    </xf>
    <xf numFmtId="0" fontId="9" fillId="0" borderId="0" xfId="0" applyFont="1" applyFill="1">
      <alignment vertical="center"/>
    </xf>
    <xf numFmtId="0" fontId="9" fillId="0" borderId="0" xfId="0" applyFont="1" applyFill="1" applyAlignment="1">
      <alignment horizontal="center" vertical="center"/>
    </xf>
    <xf numFmtId="165" fontId="9" fillId="0" borderId="0" xfId="0" applyNumberFormat="1" applyFont="1" applyFill="1" applyAlignment="1">
      <alignment horizontal="center" vertical="center"/>
    </xf>
    <xf numFmtId="166" fontId="9" fillId="0" borderId="0" xfId="0" applyNumberFormat="1" applyFont="1" applyFill="1" applyAlignment="1">
      <alignment horizontal="center" vertical="center"/>
    </xf>
    <xf numFmtId="165" fontId="9" fillId="0" borderId="0" xfId="0" applyNumberFormat="1" applyFont="1" applyFill="1">
      <alignment vertical="center"/>
    </xf>
    <xf numFmtId="164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167" fontId="9" fillId="0" borderId="0" xfId="0" applyNumberFormat="1" applyFont="1" applyFill="1" applyAlignment="1">
      <alignment horizontal="left" vertical="center"/>
    </xf>
    <xf numFmtId="167" fontId="9" fillId="0" borderId="0" xfId="0" applyNumberFormat="1" applyFont="1" applyFill="1" applyAlignment="1">
      <alignment horizontal="center" vertical="center"/>
    </xf>
    <xf numFmtId="167" fontId="6" fillId="0" borderId="0" xfId="0" applyNumberFormat="1" applyFont="1" applyFill="1" applyAlignment="1">
      <alignment horizontal="center" vertical="center"/>
    </xf>
    <xf numFmtId="167" fontId="7" fillId="0" borderId="0" xfId="0" applyNumberFormat="1" applyFont="1" applyFill="1" applyAlignment="1">
      <alignment horizontal="center" vertical="center"/>
    </xf>
    <xf numFmtId="167" fontId="9" fillId="0" borderId="0" xfId="0" applyNumberFormat="1" applyFont="1" applyFill="1">
      <alignment vertical="center"/>
    </xf>
    <xf numFmtId="0" fontId="7" fillId="0" borderId="0" xfId="0" applyFont="1" applyFill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7" fontId="7" fillId="0" borderId="0" xfId="0" applyNumberFormat="1" applyFont="1" applyFill="1">
      <alignment vertical="center"/>
    </xf>
    <xf numFmtId="0" fontId="7" fillId="0" borderId="0" xfId="0" applyFont="1" applyFill="1">
      <alignment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164" fontId="6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68" fontId="9" fillId="0" borderId="0" xfId="0" applyNumberFormat="1" applyFont="1">
      <alignment vertical="center"/>
    </xf>
    <xf numFmtId="167" fontId="11" fillId="0" borderId="0" xfId="0" applyNumberFormat="1" applyFont="1" applyAlignment="1">
      <alignment horizontal="center" vertical="center"/>
    </xf>
    <xf numFmtId="167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67" fontId="7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11E0-5942-E34B-B7CB-B36870599CEC}">
  <dimension ref="A1:AP55"/>
  <sheetViews>
    <sheetView zoomScaleNormal="100" workbookViewId="0">
      <selection activeCell="B12" sqref="B12"/>
    </sheetView>
  </sheetViews>
  <sheetFormatPr baseColWidth="10" defaultColWidth="8.83203125" defaultRowHeight="15" x14ac:dyDescent="0.2"/>
  <cols>
    <col min="1" max="1" width="9" style="19" customWidth="1"/>
    <col min="2" max="2" width="16.83203125" style="19" customWidth="1"/>
    <col min="3" max="3" width="11.6640625" style="20" customWidth="1"/>
    <col min="4" max="4" width="10.5" style="20" customWidth="1"/>
    <col min="5" max="5" width="11" style="20" customWidth="1"/>
    <col min="6" max="6" width="12" style="20" customWidth="1"/>
    <col min="7" max="7" width="12.33203125" style="20" customWidth="1"/>
    <col min="8" max="9" width="12" style="20" customWidth="1"/>
    <col min="10" max="10" width="11.1640625" style="20" customWidth="1"/>
    <col min="11" max="11" width="11.6640625" style="20" customWidth="1"/>
    <col min="12" max="12" width="10.5" style="20" customWidth="1"/>
    <col min="13" max="13" width="11.83203125" style="20" customWidth="1"/>
    <col min="14" max="14" width="12.83203125" style="20" customWidth="1"/>
    <col min="15" max="15" width="12.1640625" style="20" customWidth="1"/>
    <col min="16" max="16" width="10.33203125" style="20" customWidth="1"/>
    <col min="17" max="17" width="11.83203125" style="20" customWidth="1"/>
    <col min="18" max="23" width="10.33203125" style="19" customWidth="1"/>
    <col min="24" max="24" width="11" style="19" customWidth="1"/>
    <col min="25" max="25" width="9.5" style="19" customWidth="1"/>
    <col min="26" max="31" width="10" style="19" customWidth="1"/>
    <col min="32" max="32" width="8.83203125" style="19" customWidth="1"/>
    <col min="33" max="33" width="9.33203125" style="19" customWidth="1"/>
    <col min="34" max="38" width="8.83203125" style="19" customWidth="1"/>
    <col min="39" max="16384" width="8.83203125" style="19"/>
  </cols>
  <sheetData>
    <row r="1" spans="1:42" x14ac:dyDescent="0.2">
      <c r="A1" s="19" t="s">
        <v>39</v>
      </c>
      <c r="B1" s="19" t="s">
        <v>40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177</v>
      </c>
      <c r="S1" s="20" t="s">
        <v>178</v>
      </c>
      <c r="T1" s="20" t="s">
        <v>179</v>
      </c>
      <c r="U1" s="20" t="s">
        <v>180</v>
      </c>
      <c r="V1" s="20" t="s">
        <v>181</v>
      </c>
      <c r="W1" s="20" t="s">
        <v>181</v>
      </c>
      <c r="X1" s="21" t="s">
        <v>15</v>
      </c>
      <c r="Y1" s="21" t="s">
        <v>16</v>
      </c>
      <c r="Z1" s="21" t="s">
        <v>17</v>
      </c>
      <c r="AA1" s="21" t="s">
        <v>18</v>
      </c>
      <c r="AB1" s="21" t="s">
        <v>191</v>
      </c>
      <c r="AC1" s="21" t="s">
        <v>192</v>
      </c>
      <c r="AD1" s="21" t="s">
        <v>193</v>
      </c>
      <c r="AE1" s="21" t="s">
        <v>194</v>
      </c>
      <c r="AF1" s="20" t="s">
        <v>19</v>
      </c>
      <c r="AG1" s="21" t="s">
        <v>20</v>
      </c>
      <c r="AH1" s="21" t="s">
        <v>21</v>
      </c>
      <c r="AI1" s="21" t="s">
        <v>22</v>
      </c>
      <c r="AJ1" s="21" t="s">
        <v>23</v>
      </c>
      <c r="AK1" s="22" t="s">
        <v>24</v>
      </c>
      <c r="AL1" s="19" t="s">
        <v>25</v>
      </c>
      <c r="AM1" s="21" t="s">
        <v>156</v>
      </c>
      <c r="AN1" s="21" t="s">
        <v>157</v>
      </c>
      <c r="AO1" s="21" t="s">
        <v>158</v>
      </c>
      <c r="AP1" s="21" t="s">
        <v>159</v>
      </c>
    </row>
    <row r="2" spans="1:42" x14ac:dyDescent="0.2">
      <c r="A2" s="19" t="s">
        <v>26</v>
      </c>
      <c r="B2" s="19" t="s">
        <v>27</v>
      </c>
      <c r="C2" s="20">
        <v>-494.95961</v>
      </c>
      <c r="D2" s="20">
        <v>-494.99277999999998</v>
      </c>
      <c r="E2" s="20">
        <v>-494.86077999999998</v>
      </c>
      <c r="F2" s="20">
        <v>-495.08536928939998</v>
      </c>
      <c r="G2" s="20">
        <v>-495.1148036061</v>
      </c>
      <c r="H2" s="20">
        <v>-494.9785830047</v>
      </c>
      <c r="I2" s="20">
        <v>-495.15918219449998</v>
      </c>
      <c r="J2" s="20">
        <v>-495.17370377970002</v>
      </c>
      <c r="K2" s="20">
        <v>-495.1699974201</v>
      </c>
      <c r="L2" s="20">
        <v>-495.25092179950002</v>
      </c>
      <c r="M2" s="20">
        <v>-495.0091731654</v>
      </c>
      <c r="N2" s="20">
        <v>-495.29864773830002</v>
      </c>
      <c r="O2" s="20">
        <v>-495.59963895459998</v>
      </c>
      <c r="P2" s="20">
        <v>-495.62879336290001</v>
      </c>
      <c r="Q2" s="20">
        <v>-495.49463367020002</v>
      </c>
      <c r="R2" s="20">
        <f>(P2-O2)*27.211324570273</f>
        <v>-0.79333006690638708</v>
      </c>
      <c r="S2" s="20">
        <f>(Q2-P2)*27.211324570273</f>
        <v>3.6506629423076626</v>
      </c>
      <c r="T2" s="20">
        <f>(D2-G2-C2+F2)*27.211324570273</f>
        <v>-0.10165289076709275</v>
      </c>
      <c r="U2" s="20">
        <f>(E2-H2-D2+G2)*27.211324570273</f>
        <v>-0.11484815457695893</v>
      </c>
      <c r="V2" s="20">
        <f>(L2-K2-J2+I2)*27.211324570273</f>
        <v>-1.8069079853485179</v>
      </c>
      <c r="W2" s="20">
        <f>(N2-M2-L2+K2)*27.211324570273</f>
        <v>-5.6749270045218063</v>
      </c>
      <c r="X2" s="21">
        <f>(D2+L2-K2-C2-J2+I2)*27.211324570273</f>
        <v>-2.7095076213455891</v>
      </c>
      <c r="Y2" s="21">
        <f>(P2+D2-G2+L2-K2-O2-C2+F2-J2+I2)*27.211324570273</f>
        <v>-2.7018909430204512</v>
      </c>
      <c r="Z2" s="21">
        <f>(E2+N2-M2-D2-L2+K2)*27.211324570273</f>
        <v>-2.083032161245634</v>
      </c>
      <c r="AA2" s="21">
        <f>(Q2+E2-H2+N2-M2-P2-D2+G2-L2+K2)*27.211324570273</f>
        <v>-2.1391122167926486</v>
      </c>
      <c r="AB2" s="21">
        <f>(G2-F2)*27.211324570273</f>
        <v>-0.80094674522843157</v>
      </c>
      <c r="AC2" s="21">
        <f>(P2-O2)*27.211324570273</f>
        <v>-0.79333006690638708</v>
      </c>
      <c r="AD2" s="21">
        <f>(H2-G2)*27.211324570273</f>
        <v>3.706742997853131</v>
      </c>
      <c r="AE2" s="21">
        <f>(Q2-P2)*27.211324570273</f>
        <v>3.6506629423076626</v>
      </c>
      <c r="AF2" s="20">
        <v>4.84</v>
      </c>
      <c r="AG2" s="21">
        <f>-X2-AF2</f>
        <v>-2.1304923786544108</v>
      </c>
      <c r="AH2" s="21">
        <f>-Y2-AF2</f>
        <v>-2.1381090569795487</v>
      </c>
      <c r="AI2" s="21">
        <f>-Z2-AF2</f>
        <v>-2.7569678387543659</v>
      </c>
      <c r="AJ2" s="21">
        <f>-AA2-AF2</f>
        <v>-2.7008877832073512</v>
      </c>
      <c r="AK2" s="23">
        <v>-2.282</v>
      </c>
      <c r="AL2" s="21" t="s">
        <v>28</v>
      </c>
      <c r="AM2" s="19">
        <f>ABS(AG2-AK2)</f>
        <v>0.15150762134558926</v>
      </c>
      <c r="AN2" s="19">
        <f>ABS(AH2-AK2)</f>
        <v>0.14389094302045136</v>
      </c>
      <c r="AO2" s="19" t="e">
        <f>ABS(AI2-AL2)</f>
        <v>#VALUE!</v>
      </c>
      <c r="AP2" s="19" t="e">
        <f>ABS(AJ2-AL2)</f>
        <v>#VALUE!</v>
      </c>
    </row>
    <row r="3" spans="1:42" x14ac:dyDescent="0.2">
      <c r="A3" s="19" t="s">
        <v>26</v>
      </c>
      <c r="B3" s="19" t="s">
        <v>145</v>
      </c>
      <c r="C3" s="20">
        <v>-494.69837999999999</v>
      </c>
      <c r="D3" s="20">
        <v>-494.72640000000001</v>
      </c>
      <c r="E3" s="20">
        <v>-494.59453000000002</v>
      </c>
      <c r="F3" s="20">
        <v>-494.82360047140003</v>
      </c>
      <c r="G3" s="20">
        <v>-494.85009829019998</v>
      </c>
      <c r="H3" s="20">
        <v>-494.71464420950002</v>
      </c>
      <c r="I3" s="20">
        <v>-495.15942908340003</v>
      </c>
      <c r="J3" s="20">
        <v>-495.17384484270002</v>
      </c>
      <c r="K3" s="20">
        <v>-495.17030186860001</v>
      </c>
      <c r="L3" s="20">
        <v>-495.25107477180001</v>
      </c>
      <c r="M3" s="20">
        <v>-495.00979578990001</v>
      </c>
      <c r="N3" s="20">
        <v>-495.29915141689997</v>
      </c>
      <c r="O3" s="20">
        <v>-495.3490220493</v>
      </c>
      <c r="P3" s="20">
        <v>-495.3757311064</v>
      </c>
      <c r="Q3" s="20">
        <v>-495.24327950420002</v>
      </c>
      <c r="R3" s="20">
        <f>(P3-O3)*27.211324570273</f>
        <v>-0.72678882171385328</v>
      </c>
      <c r="S3" s="20">
        <f>(Q3-P3)*27.211324570273</f>
        <v>3.604183537316298</v>
      </c>
      <c r="T3" s="20">
        <f>(D3-G3-C3+F3)*27.211324570273</f>
        <v>-4.1420566689959276E-2</v>
      </c>
      <c r="U3" s="20">
        <f>(E3-H3-D3+G3)*27.211324570273</f>
        <v>-9.7527583212822053E-2</v>
      </c>
      <c r="V3" s="20">
        <f>(L3-K3-J3+I3)*27.211324570273</f>
        <v>-1.8056657802193901</v>
      </c>
      <c r="W3" s="20">
        <f>(N3-M3-L3+K3)*27.211324570273</f>
        <v>-5.6758121970724211</v>
      </c>
      <c r="X3" s="21">
        <f>(D3+L3-K3-C3-J3+I3)*27.211324570273</f>
        <v>-2.5681270946776098</v>
      </c>
      <c r="Y3" s="21">
        <f>(P3+D3-G3+L3-K3-O3-C3+F3-J3+I3)*27.211324570273</f>
        <v>-2.5738751686262962</v>
      </c>
      <c r="Z3" s="21">
        <f>(E3+N3-M3-D3-L3+K3)*27.211324570273</f>
        <v>-2.0874548259907342</v>
      </c>
      <c r="AA3" s="21">
        <f>(Q3+E3-H3+N3-M3-P3-D3+G3-L3+K3)*27.211324570273</f>
        <v>-2.1691562429704923</v>
      </c>
      <c r="AB3" s="21">
        <f>(G3-F3)*27.211324570273</f>
        <v>-0.72104074776980742</v>
      </c>
      <c r="AC3" s="21">
        <f>(P3-O3)*27.211324570273</f>
        <v>-0.72678882171385328</v>
      </c>
      <c r="AD3" s="21">
        <f>(H3-G3)*27.211324570273</f>
        <v>3.6858849542945094</v>
      </c>
      <c r="AE3" s="21">
        <f>(Q3-P3)*27.211324570273</f>
        <v>3.604183537316298</v>
      </c>
      <c r="AF3" s="20">
        <v>4.84</v>
      </c>
      <c r="AG3" s="21">
        <f t="shared" ref="AG3:AG55" si="0">-X3-AF3</f>
        <v>-2.2718729053223901</v>
      </c>
      <c r="AH3" s="21">
        <f t="shared" ref="AH3:AH55" si="1">-Y3-AF3</f>
        <v>-2.2661248313737037</v>
      </c>
      <c r="AI3" s="21">
        <f t="shared" ref="AI3:AI55" si="2">-Z3-AF3</f>
        <v>-2.7525451740092657</v>
      </c>
      <c r="AJ3" s="21">
        <f t="shared" ref="AJ3:AJ55" si="3">-AA3-AF3</f>
        <v>-2.6708437570295076</v>
      </c>
      <c r="AK3" s="23">
        <v>-2.282</v>
      </c>
      <c r="AL3" s="21" t="s">
        <v>28</v>
      </c>
      <c r="AM3" s="19">
        <f t="shared" ref="AM3:AM51" si="4">ABS(AG3-AK3)</f>
        <v>1.0127094677609971E-2</v>
      </c>
      <c r="AN3" s="19">
        <f t="shared" ref="AN3:AN51" si="5">ABS(AH3-AK3)</f>
        <v>1.5875168626296343E-2</v>
      </c>
      <c r="AO3" s="19" t="e">
        <f t="shared" ref="AO3:AO51" si="6">ABS(AI3-AL3)</f>
        <v>#VALUE!</v>
      </c>
      <c r="AP3" s="19" t="e">
        <f t="shared" ref="AP3:AP51" si="7">ABS(AJ3-AL3)</f>
        <v>#VALUE!</v>
      </c>
    </row>
    <row r="4" spans="1:42" x14ac:dyDescent="0.2">
      <c r="A4" s="19" t="s">
        <v>26</v>
      </c>
      <c r="B4" s="19" t="s">
        <v>29</v>
      </c>
      <c r="C4" s="20">
        <v>-495.13263999999998</v>
      </c>
      <c r="D4" s="20">
        <v>-495.15823999999998</v>
      </c>
      <c r="E4" s="20">
        <v>-495.02366999999998</v>
      </c>
      <c r="F4" s="20">
        <v>-495.25940378780001</v>
      </c>
      <c r="G4" s="20">
        <v>-495.28212443770002</v>
      </c>
      <c r="H4" s="20">
        <v>-495.14430296199998</v>
      </c>
      <c r="I4" s="20">
        <v>-495.16202387980002</v>
      </c>
      <c r="J4" s="20">
        <v>-495.17565265489998</v>
      </c>
      <c r="K4" s="20">
        <v>-495.17016077059998</v>
      </c>
      <c r="L4" s="20">
        <v>-495.25096384199998</v>
      </c>
      <c r="M4" s="20">
        <v>-495.00973826209997</v>
      </c>
      <c r="N4" s="20">
        <v>-495.29892282449998</v>
      </c>
      <c r="O4" s="20">
        <v>-495.76357289085001</v>
      </c>
      <c r="P4" s="20">
        <v>-495.78833977559702</v>
      </c>
      <c r="Q4" s="20">
        <v>-495.65234405866403</v>
      </c>
      <c r="R4" s="20">
        <f>(P4-O4)*27.211324570273</f>
        <v>-0.67393973944541918</v>
      </c>
      <c r="S4" s="20">
        <f>(Q4-P4)*27.211324570273</f>
        <v>3.7006235936307244</v>
      </c>
      <c r="T4" s="20">
        <f>(D4-G4-C4+F4)*27.211324570273</f>
        <v>-7.8350930122226575E-2</v>
      </c>
      <c r="U4" s="20">
        <f>(E4-H4-D4+G4)*27.211324570273</f>
        <v>-8.8476960606141838E-2</v>
      </c>
      <c r="V4" s="20">
        <f>(L4-K4-J4+I4)*27.211324570273</f>
        <v>-1.8279015794000322</v>
      </c>
      <c r="W4" s="20">
        <f>(N4-M4-L4+K4)*27.211324570273</f>
        <v>-5.6703363860387341</v>
      </c>
      <c r="X4" s="21">
        <f>(D4+L4-K4-C4-J4+I4)*27.211324570273</f>
        <v>-2.5245114883973976</v>
      </c>
      <c r="Y4" s="21">
        <f>(P4+D4-G4+L4-K4-O4-C4+F4-J4+I4)*27.211324570273</f>
        <v>-2.5801922489676778</v>
      </c>
      <c r="Z4" s="21">
        <f>(E4+N4-M4-D4-L4+K4)*27.211324570273</f>
        <v>-2.0085084386156442</v>
      </c>
      <c r="AA4" s="21">
        <f>(Q4+E4-H4+N4-M4-P4-D4+G4-L4+K4)*27.211324570273</f>
        <v>-2.0581897530141515</v>
      </c>
      <c r="AB4" s="21">
        <f>(G4-F4)*27.211324570273</f>
        <v>-0.61825897887668546</v>
      </c>
      <c r="AC4" s="21">
        <f>(P4-O4)*27.211324570273</f>
        <v>-0.67393973944541918</v>
      </c>
      <c r="AD4" s="21">
        <f>(H4-G4)*27.211324570273</f>
        <v>3.7503049080276849</v>
      </c>
      <c r="AE4" s="21">
        <f>(Q4-P4)*27.211324570273</f>
        <v>3.7006235936307244</v>
      </c>
      <c r="AF4" s="20">
        <v>4.84</v>
      </c>
      <c r="AG4" s="21">
        <f t="shared" si="0"/>
        <v>-2.3154885116026023</v>
      </c>
      <c r="AH4" s="21">
        <f t="shared" si="1"/>
        <v>-2.259807751032322</v>
      </c>
      <c r="AI4" s="21">
        <f t="shared" si="2"/>
        <v>-2.8314915613843556</v>
      </c>
      <c r="AJ4" s="21">
        <f t="shared" si="3"/>
        <v>-2.7818102469858483</v>
      </c>
      <c r="AK4" s="23">
        <v>-2.282</v>
      </c>
      <c r="AL4" s="21" t="s">
        <v>28</v>
      </c>
      <c r="AM4" s="19">
        <f t="shared" si="4"/>
        <v>3.3488511602602244E-2</v>
      </c>
      <c r="AN4" s="19">
        <f t="shared" si="5"/>
        <v>2.2192248967678019E-2</v>
      </c>
      <c r="AO4" s="19" t="e">
        <f t="shared" si="6"/>
        <v>#VALUE!</v>
      </c>
      <c r="AP4" s="19" t="e">
        <f t="shared" si="7"/>
        <v>#VALUE!</v>
      </c>
    </row>
    <row r="5" spans="1:42" x14ac:dyDescent="0.2">
      <c r="A5" s="19" t="s">
        <v>26</v>
      </c>
      <c r="B5" s="19" t="s">
        <v>30</v>
      </c>
      <c r="C5" s="20">
        <v>-495.07279999999997</v>
      </c>
      <c r="D5" s="20">
        <v>-495.09723000000002</v>
      </c>
      <c r="E5" s="20">
        <v>-494.96445</v>
      </c>
      <c r="F5" s="20">
        <v>-495.19878383060001</v>
      </c>
      <c r="G5" s="20">
        <v>-495.2205122245</v>
      </c>
      <c r="H5" s="20">
        <v>-495.08405661569998</v>
      </c>
      <c r="I5" s="20">
        <v>-495.16225147590001</v>
      </c>
      <c r="J5" s="20">
        <v>-495.17584530670001</v>
      </c>
      <c r="K5" s="20">
        <v>-495.17037896580001</v>
      </c>
      <c r="L5" s="20">
        <v>-495.25115059989997</v>
      </c>
      <c r="M5" s="20">
        <v>-495.00992042169997</v>
      </c>
      <c r="N5" s="20">
        <v>-495.29920612410001</v>
      </c>
      <c r="O5" s="20">
        <v>-495.7200650872</v>
      </c>
      <c r="P5" s="20">
        <v>-495.7409537721</v>
      </c>
      <c r="Q5" s="20">
        <v>-495.6060186103</v>
      </c>
      <c r="R5" s="20">
        <f>(P5-O5)*27.211324570273</f>
        <v>-0.56840878466008649</v>
      </c>
      <c r="S5" s="20">
        <f>(Q5-P5)*27.211324570273</f>
        <v>3.6717644836821415</v>
      </c>
      <c r="T5" s="20">
        <f>(D5-G5-C5+F5)*27.211324570273</f>
        <v>-7.3514280449785807E-2</v>
      </c>
      <c r="U5" s="20">
        <f>(E5-H5-D5+G5)*27.211324570273</f>
        <v>-0.10001818405000835</v>
      </c>
      <c r="V5" s="20">
        <f>(L5-K5-J5+I5)*27.211324570273</f>
        <v>-1.8279970095130453</v>
      </c>
      <c r="W5" s="20">
        <f>(N5-M5-L5+K5)*27.211324570273</f>
        <v>-5.6739439899814377</v>
      </c>
      <c r="X5" s="21">
        <f>(D5+L5-K5-C5-J5+I5)*27.211324570273</f>
        <v>-2.4927696687662331</v>
      </c>
      <c r="Y5" s="21">
        <f>(P5+D5-G5+L5-K5-O5-C5+F5-J5+I5)*27.211324570273</f>
        <v>-2.469920074621371</v>
      </c>
      <c r="Z5" s="21">
        <f>(E5+N5-M5-D5-L5+K5)*27.211324570273</f>
        <v>-2.0608243135383564</v>
      </c>
      <c r="AA5" s="21">
        <f>(Q5+E5-H5+N5-M5-P5-D5+G5-L5+K5)*27.211324570273</f>
        <v>-2.1021976903477579</v>
      </c>
      <c r="AB5" s="21">
        <f>(G5-F5)*27.211324570273</f>
        <v>-0.59125837880340215</v>
      </c>
      <c r="AC5" s="21">
        <f>(P5-O5)*27.211324570273</f>
        <v>-0.56840878466008649</v>
      </c>
      <c r="AD5" s="21">
        <f>(H5-G5)*27.211324570273</f>
        <v>3.7131378604915435</v>
      </c>
      <c r="AE5" s="21">
        <f>(Q5-P5)*27.211324570273</f>
        <v>3.6717644836821415</v>
      </c>
      <c r="AF5" s="20">
        <v>4.84</v>
      </c>
      <c r="AG5" s="21">
        <f t="shared" si="0"/>
        <v>-2.3472303312337668</v>
      </c>
      <c r="AH5" s="21">
        <f t="shared" si="1"/>
        <v>-2.3700799253786289</v>
      </c>
      <c r="AI5" s="21">
        <f t="shared" si="2"/>
        <v>-2.7791756864616435</v>
      </c>
      <c r="AJ5" s="21">
        <f t="shared" si="3"/>
        <v>-2.7378023096522419</v>
      </c>
      <c r="AK5" s="23">
        <v>-2.282</v>
      </c>
      <c r="AL5" s="21" t="s">
        <v>28</v>
      </c>
      <c r="AM5" s="19">
        <f t="shared" si="4"/>
        <v>6.5230331233766758E-2</v>
      </c>
      <c r="AN5" s="19">
        <f t="shared" si="5"/>
        <v>8.8079925378628854E-2</v>
      </c>
      <c r="AO5" s="19" t="e">
        <f t="shared" si="6"/>
        <v>#VALUE!</v>
      </c>
      <c r="AP5" s="19" t="e">
        <f t="shared" si="7"/>
        <v>#VALUE!</v>
      </c>
    </row>
    <row r="6" spans="1:42" x14ac:dyDescent="0.2">
      <c r="A6" s="19" t="s">
        <v>26</v>
      </c>
      <c r="B6" s="19" t="s">
        <v>31</v>
      </c>
      <c r="C6" s="20">
        <v>-495.13263999999998</v>
      </c>
      <c r="D6" s="20">
        <v>-495.15823999999998</v>
      </c>
      <c r="E6" s="20">
        <v>-495.02366999999998</v>
      </c>
      <c r="F6" s="20">
        <v>-495.25940378780001</v>
      </c>
      <c r="G6" s="20">
        <v>-495.28212443770002</v>
      </c>
      <c r="H6" s="20">
        <v>-495.14430296199998</v>
      </c>
      <c r="I6" s="20">
        <v>-495.16202387980002</v>
      </c>
      <c r="J6" s="20">
        <v>-495.17565265489998</v>
      </c>
      <c r="K6" s="20">
        <v>-495.17016077059998</v>
      </c>
      <c r="L6" s="20">
        <v>-495.25096384199998</v>
      </c>
      <c r="M6" s="20">
        <v>-495.00973826209997</v>
      </c>
      <c r="N6" s="20">
        <v>-495.29892282449998</v>
      </c>
      <c r="O6" s="20">
        <v>-495.40994061079999</v>
      </c>
      <c r="P6" s="20">
        <v>-495.430491781</v>
      </c>
      <c r="Q6" s="20">
        <v>-495.29329255490001</v>
      </c>
      <c r="R6" s="20">
        <f>(P6-O6)*27.211324570273</f>
        <v>-0.55922456261134201</v>
      </c>
      <c r="S6" s="20">
        <f>(Q6-P6)*27.211324570273</f>
        <v>3.7333726721972229</v>
      </c>
      <c r="T6" s="20">
        <f>(D6-G6-C6+F6)*27.211324570273</f>
        <v>-7.8350930122226575E-2</v>
      </c>
      <c r="U6" s="20">
        <f>(E6-H6-D6+G6)*27.211324570273</f>
        <v>-8.8476960606141838E-2</v>
      </c>
      <c r="V6" s="20">
        <f>(L6-K6-J6+I6)*27.211324570273</f>
        <v>-1.8279015794000322</v>
      </c>
      <c r="W6" s="20">
        <f>(N6-M6-L6+K6)*27.211324570273</f>
        <v>-5.6703363860387341</v>
      </c>
      <c r="X6" s="21">
        <f>(D6+L6-K6-C6-J6+I6)*27.211324570273</f>
        <v>-2.5245114883973976</v>
      </c>
      <c r="Y6" s="21">
        <f>(P6+D6-G6+L6-K6-O6-C6+F6-J6+I6)*27.211324570273</f>
        <v>-2.4654770721336008</v>
      </c>
      <c r="Z6" s="21">
        <f>(E6+N6-M6-D6-L6+K6)*27.211324570273</f>
        <v>-2.0085084386156442</v>
      </c>
      <c r="AA6" s="21">
        <f>(Q6+E6-H6+N6-M6-P6-D6+G6-L6+K6)*27.211324570273</f>
        <v>-2.025440674447653</v>
      </c>
      <c r="AB6" s="21">
        <f>(G6-F6)*27.211324570273</f>
        <v>-0.61825897887668546</v>
      </c>
      <c r="AC6" s="21">
        <f>(P6-O6)*27.211324570273</f>
        <v>-0.55922456261134201</v>
      </c>
      <c r="AD6" s="21">
        <f>(H6-G6)*27.211324570273</f>
        <v>3.7503049080276849</v>
      </c>
      <c r="AE6" s="21">
        <f>(Q6-P6)*27.211324570273</f>
        <v>3.7333726721972229</v>
      </c>
      <c r="AF6" s="20">
        <v>4.84</v>
      </c>
      <c r="AG6" s="21">
        <f t="shared" si="0"/>
        <v>-2.3154885116026023</v>
      </c>
      <c r="AH6" s="21">
        <f t="shared" si="1"/>
        <v>-2.3745229278663991</v>
      </c>
      <c r="AI6" s="21">
        <f t="shared" si="2"/>
        <v>-2.8314915613843556</v>
      </c>
      <c r="AJ6" s="21">
        <f t="shared" si="3"/>
        <v>-2.8145593255523469</v>
      </c>
      <c r="AK6" s="23">
        <v>-2.282</v>
      </c>
      <c r="AL6" s="21" t="s">
        <v>28</v>
      </c>
      <c r="AM6" s="19">
        <f t="shared" si="4"/>
        <v>3.3488511602602244E-2</v>
      </c>
      <c r="AN6" s="19">
        <f t="shared" si="5"/>
        <v>9.2522927866399041E-2</v>
      </c>
      <c r="AO6" s="19" t="e">
        <f t="shared" si="6"/>
        <v>#VALUE!</v>
      </c>
      <c r="AP6" s="19" t="e">
        <f t="shared" si="7"/>
        <v>#VALUE!</v>
      </c>
    </row>
    <row r="7" spans="1:42" x14ac:dyDescent="0.2">
      <c r="A7" s="19" t="s">
        <v>26</v>
      </c>
      <c r="B7" s="19" t="s">
        <v>32</v>
      </c>
      <c r="C7" s="20">
        <v>-495.07279999999997</v>
      </c>
      <c r="D7" s="20">
        <v>-495.09723000000002</v>
      </c>
      <c r="E7" s="20">
        <v>-494.96445</v>
      </c>
      <c r="F7" s="20">
        <v>-495.19878383060001</v>
      </c>
      <c r="G7" s="20">
        <v>-495.2205122245</v>
      </c>
      <c r="H7" s="20">
        <v>-495.08405661569998</v>
      </c>
      <c r="I7" s="20">
        <v>-495.16225147590001</v>
      </c>
      <c r="J7" s="20">
        <v>-495.17584530670001</v>
      </c>
      <c r="K7" s="20">
        <v>-495.17037896580001</v>
      </c>
      <c r="L7" s="20">
        <v>-495.25115059989997</v>
      </c>
      <c r="M7" s="20">
        <v>-495.00992042169997</v>
      </c>
      <c r="N7" s="20">
        <v>-495.29920612410001</v>
      </c>
      <c r="O7" s="20">
        <v>-495.37647954009998</v>
      </c>
      <c r="P7" s="20">
        <v>-495.39581791180001</v>
      </c>
      <c r="Q7" s="20">
        <v>-495.25956337999997</v>
      </c>
      <c r="R7" s="20">
        <f>(P7-O7)*27.211324570273</f>
        <v>-0.52622270899010293</v>
      </c>
      <c r="S7" s="20">
        <f>(Q7-P7)*27.211324570273</f>
        <v>3.7076662889813181</v>
      </c>
      <c r="T7" s="20">
        <f>(D7-G7-C7+F7)*27.211324570273</f>
        <v>-7.3514280449785807E-2</v>
      </c>
      <c r="U7" s="20">
        <f>(E7-H7-D7+G7)*27.211324570273</f>
        <v>-0.10001818405000835</v>
      </c>
      <c r="V7" s="20">
        <f>(L7-K7-J7+I7)*27.211324570273</f>
        <v>-1.8279970095130453</v>
      </c>
      <c r="W7" s="20">
        <f>(N7-M7-L7+K7)*27.211324570273</f>
        <v>-5.6739439899814377</v>
      </c>
      <c r="X7" s="21">
        <f>(D7+L7-K7-C7-J7+I7)*27.211324570273</f>
        <v>-2.4927696687662331</v>
      </c>
      <c r="Y7" s="21">
        <f>(P7+D7-G7+L7-K7-O7-C7+F7-J7+I7)*27.211324570273</f>
        <v>-2.4277339989529341</v>
      </c>
      <c r="Z7" s="21">
        <f>(E7+N7-M7-D7-L7+K7)*27.211324570273</f>
        <v>-2.0608243135383564</v>
      </c>
      <c r="AA7" s="21">
        <f>(Q7+E7-H7+N7-M7-P7-D7+G7-L7+K7)*27.211324570273</f>
        <v>-2.0662958850501285</v>
      </c>
      <c r="AB7" s="21">
        <f>(G7-F7)*27.211324570273</f>
        <v>-0.59125837880340215</v>
      </c>
      <c r="AC7" s="21">
        <f>(P7-O7)*27.211324570273</f>
        <v>-0.52622270899010293</v>
      </c>
      <c r="AD7" s="21">
        <f>(H7-G7)*27.211324570273</f>
        <v>3.7131378604915435</v>
      </c>
      <c r="AE7" s="21">
        <f>(Q7-P7)*27.211324570273</f>
        <v>3.7076662889813181</v>
      </c>
      <c r="AF7" s="20">
        <v>4.84</v>
      </c>
      <c r="AG7" s="21">
        <f t="shared" si="0"/>
        <v>-2.3472303312337668</v>
      </c>
      <c r="AH7" s="21">
        <f t="shared" si="1"/>
        <v>-2.4122660010470658</v>
      </c>
      <c r="AI7" s="21">
        <f t="shared" si="2"/>
        <v>-2.7791756864616435</v>
      </c>
      <c r="AJ7" s="21">
        <f t="shared" si="3"/>
        <v>-2.7737041149498713</v>
      </c>
      <c r="AK7" s="23">
        <v>-2.282</v>
      </c>
      <c r="AL7" s="21" t="s">
        <v>28</v>
      </c>
      <c r="AM7" s="19">
        <f t="shared" si="4"/>
        <v>6.5230331233766758E-2</v>
      </c>
      <c r="AN7" s="19">
        <f t="shared" si="5"/>
        <v>0.13026600104706576</v>
      </c>
      <c r="AO7" s="19" t="e">
        <f t="shared" si="6"/>
        <v>#VALUE!</v>
      </c>
      <c r="AP7" s="19" t="e">
        <f t="shared" si="7"/>
        <v>#VALUE!</v>
      </c>
    </row>
    <row r="8" spans="1:42" x14ac:dyDescent="0.2">
      <c r="A8" s="19" t="s">
        <v>26</v>
      </c>
      <c r="B8" s="19" t="s">
        <v>33</v>
      </c>
      <c r="C8" s="20">
        <f>-495.25189</f>
        <v>-495.25189</v>
      </c>
      <c r="D8" s="20">
        <v>-495.27253999999999</v>
      </c>
      <c r="E8" s="20">
        <v>-495.25407999999999</v>
      </c>
      <c r="F8" s="20">
        <v>-495.3773451783</v>
      </c>
      <c r="G8" s="20">
        <v>-495.3919763033</v>
      </c>
      <c r="H8" s="20">
        <v>-495.3785595553</v>
      </c>
      <c r="I8" s="20">
        <v>-495.16206897680001</v>
      </c>
      <c r="J8" s="20">
        <v>-495.17557966509997</v>
      </c>
      <c r="K8" s="20">
        <v>-495.17004876409999</v>
      </c>
      <c r="L8" s="20">
        <v>-495.2507166744</v>
      </c>
      <c r="M8" s="20">
        <v>-494.95738643890002</v>
      </c>
      <c r="N8" s="20">
        <v>-495.2486970109</v>
      </c>
      <c r="O8" s="20">
        <v>-495.37717959000003</v>
      </c>
      <c r="P8" s="20">
        <v>-495.3963416766</v>
      </c>
      <c r="Q8" s="20">
        <v>-495.21257194970002</v>
      </c>
      <c r="R8" s="20">
        <f>(P8-O8)*27.211324570273</f>
        <v>-0.5214257579156435</v>
      </c>
      <c r="S8" s="20">
        <f>(Q8-P8)*27.211324570273</f>
        <v>5.0006176848658344</v>
      </c>
      <c r="T8" s="20">
        <f>(D8-G8-C8+F8)*27.211324570273</f>
        <v>-0.16378156117277143</v>
      </c>
      <c r="U8" s="20">
        <f>(E8-H8-D8+G8)*27.211324570273</f>
        <v>0.13723356706187476</v>
      </c>
      <c r="V8" s="20">
        <f>(L8-K8-J8+I8)*27.211324570273</f>
        <v>-1.8274369650811977</v>
      </c>
      <c r="W8" s="20">
        <f>(N8-M8-L8+K8)*27.211324570273</f>
        <v>-5.7318658358643244</v>
      </c>
      <c r="X8" s="21">
        <f>(D8+L8-K8-C8-J8+I8)*27.211324570273</f>
        <v>-2.3893508174585874</v>
      </c>
      <c r="Y8" s="21">
        <f>(P8+D8-G8+L8-K8-O8-C8+F8-J8+I8)*27.211324570273</f>
        <v>-2.5126442841696126</v>
      </c>
      <c r="Z8" s="21">
        <f>(E8+N8-M8-D8-L8+K8)*27.211324570273</f>
        <v>-5.2295447842969605</v>
      </c>
      <c r="AA8" s="21">
        <f>(Q8+E8-H8+N8-M8-P8-D8+G8-L8+K8)*27.211324570273</f>
        <v>-0.5940145839366151</v>
      </c>
      <c r="AB8" s="21">
        <f>(G8-F8)*27.211324570273</f>
        <v>-0.39813229120307153</v>
      </c>
      <c r="AC8" s="21">
        <f>(P8-O8)*27.211324570273</f>
        <v>-0.5214257579156435</v>
      </c>
      <c r="AD8" s="21">
        <f>(H8-G8)*27.211324570273</f>
        <v>0.36508748450548956</v>
      </c>
      <c r="AE8" s="21">
        <f>(Q8-P8)*27.211324570273</f>
        <v>5.0006176848658344</v>
      </c>
      <c r="AF8" s="20">
        <v>4.84</v>
      </c>
      <c r="AG8" s="21">
        <f t="shared" si="0"/>
        <v>-2.4506491825414125</v>
      </c>
      <c r="AH8" s="21">
        <f t="shared" si="1"/>
        <v>-2.3273557158303873</v>
      </c>
      <c r="AI8" s="21">
        <f t="shared" si="2"/>
        <v>0.3895447842969606</v>
      </c>
      <c r="AJ8" s="21">
        <f t="shared" si="3"/>
        <v>-4.2459854160633848</v>
      </c>
      <c r="AK8" s="23">
        <v>-2.282</v>
      </c>
      <c r="AL8" s="21" t="s">
        <v>28</v>
      </c>
      <c r="AM8" s="19">
        <f t="shared" si="4"/>
        <v>0.16864918254141248</v>
      </c>
      <c r="AN8" s="19">
        <f t="shared" si="5"/>
        <v>4.5355715830387222E-2</v>
      </c>
      <c r="AO8" s="19" t="e">
        <f t="shared" si="6"/>
        <v>#VALUE!</v>
      </c>
      <c r="AP8" s="19" t="e">
        <f t="shared" si="7"/>
        <v>#VALUE!</v>
      </c>
    </row>
    <row r="9" spans="1:42" x14ac:dyDescent="0.2">
      <c r="A9" s="19" t="s">
        <v>26</v>
      </c>
      <c r="B9" s="19" t="s">
        <v>42</v>
      </c>
      <c r="C9" s="20">
        <v>-495.25184999999999</v>
      </c>
      <c r="D9" s="20">
        <v>-495.27546000000001</v>
      </c>
      <c r="E9" s="20">
        <v>-495.24984999999998</v>
      </c>
      <c r="F9" s="20">
        <v>-495.37739789339997</v>
      </c>
      <c r="G9" s="20">
        <v>-495.39667336090002</v>
      </c>
      <c r="H9" s="20">
        <v>-495.37611789300001</v>
      </c>
      <c r="I9" s="20">
        <v>-495.16207532229998</v>
      </c>
      <c r="J9" s="20">
        <v>-495.17559146129997</v>
      </c>
      <c r="K9" s="20">
        <v>-495.17028090650001</v>
      </c>
      <c r="L9" s="20">
        <v>-495.25090543390002</v>
      </c>
      <c r="M9" s="20">
        <v>-494.953053211</v>
      </c>
      <c r="N9" s="20">
        <v>-495.24432739550002</v>
      </c>
      <c r="O9" s="20">
        <v>-495.3771794937</v>
      </c>
      <c r="P9" s="20">
        <v>-495.39645352790001</v>
      </c>
      <c r="Q9" s="20">
        <v>-495.20885490540002</v>
      </c>
      <c r="R9" s="20">
        <f>(P9-O9)*27.211324570273</f>
        <v>-0.52447200039499464</v>
      </c>
      <c r="S9" s="20">
        <f>(Q9-P9)*27.211324570273</f>
        <v>5.1048070057833632</v>
      </c>
      <c r="T9" s="20">
        <f>(D9-G9-C9+F9)*27.211324570273</f>
        <v>-0.1179483707170189</v>
      </c>
      <c r="U9" s="20">
        <f>(E9-H9-D9+G9)*27.211324570273</f>
        <v>0.13754051352446986</v>
      </c>
      <c r="V9" s="20">
        <f>(L9-K9-J9+I9)*27.211324570273</f>
        <v>-1.8261081381407633</v>
      </c>
      <c r="W9" s="20">
        <f>(N9-M9-L9+K9)*27.211324570273</f>
        <v>-5.7320561899653759</v>
      </c>
      <c r="X9" s="21">
        <f>(D9+L9-K9-C9-J9+I9)*27.211324570273</f>
        <v>-2.4685675112469787</v>
      </c>
      <c r="Y9" s="21">
        <f>(P9+D9-G9+L9-K9-O9-C9+F9-J9+I9)*27.211324570273</f>
        <v>-2.4685285092527769</v>
      </c>
      <c r="Z9" s="21">
        <f>(E9+N9-M9-D9-L9+K9)*27.211324570273</f>
        <v>-5.0351741677183544</v>
      </c>
      <c r="AA9" s="21">
        <f>(Q9+E9-H9+N9-M9-P9-D9+G9-L9+K9)*27.211324570273</f>
        <v>-0.48970867065908924</v>
      </c>
      <c r="AB9" s="21">
        <f>(G9-F9)*27.211324570273</f>
        <v>-0.52451100238764981</v>
      </c>
      <c r="AC9" s="21">
        <f>(P9-O9)*27.211324570273</f>
        <v>-0.52447200039499464</v>
      </c>
      <c r="AD9" s="21">
        <f>(H9-G9)*27.211324570273</f>
        <v>0.55934150872100474</v>
      </c>
      <c r="AE9" s="21">
        <f>(Q9-P9)*27.211324570273</f>
        <v>5.1048070057833632</v>
      </c>
      <c r="AF9" s="20">
        <v>4.84</v>
      </c>
      <c r="AG9" s="21">
        <f t="shared" si="0"/>
        <v>-2.3714324887530212</v>
      </c>
      <c r="AH9" s="21">
        <f t="shared" si="1"/>
        <v>-2.371471490747223</v>
      </c>
      <c r="AI9" s="21">
        <f t="shared" si="2"/>
        <v>0.1951741677183545</v>
      </c>
      <c r="AJ9" s="21">
        <f t="shared" si="3"/>
        <v>-4.3502913293409105</v>
      </c>
      <c r="AK9" s="23">
        <v>-2.282</v>
      </c>
      <c r="AL9" s="21" t="s">
        <v>28</v>
      </c>
      <c r="AM9" s="19">
        <f t="shared" si="4"/>
        <v>8.9432488753021122E-2</v>
      </c>
      <c r="AN9" s="19">
        <f t="shared" si="5"/>
        <v>8.9471490747222937E-2</v>
      </c>
      <c r="AO9" s="19" t="e">
        <f t="shared" si="6"/>
        <v>#VALUE!</v>
      </c>
      <c r="AP9" s="19" t="e">
        <f t="shared" si="7"/>
        <v>#VALUE!</v>
      </c>
    </row>
    <row r="10" spans="1:42" x14ac:dyDescent="0.2">
      <c r="A10" s="19" t="s">
        <v>26</v>
      </c>
      <c r="B10" s="19" t="s">
        <v>43</v>
      </c>
      <c r="C10" s="20">
        <v>-495.07279999999997</v>
      </c>
      <c r="D10" s="20">
        <v>-495.09723000000002</v>
      </c>
      <c r="E10" s="20">
        <v>-494.96445</v>
      </c>
      <c r="F10" s="20">
        <v>-495.19878383060001</v>
      </c>
      <c r="G10" s="20">
        <v>-495.2205122245</v>
      </c>
      <c r="H10" s="20">
        <v>-495.08405661569998</v>
      </c>
      <c r="I10" s="20">
        <v>-495.16225147590001</v>
      </c>
      <c r="J10" s="20">
        <v>-495.17584530670001</v>
      </c>
      <c r="K10" s="20">
        <v>-495.17037896580001</v>
      </c>
      <c r="L10" s="20">
        <v>-495.25115059989997</v>
      </c>
      <c r="M10" s="20">
        <v>-495.00992042169997</v>
      </c>
      <c r="N10" s="20">
        <v>-495.29920612410001</v>
      </c>
      <c r="O10" s="20">
        <v>-494.652080467161</v>
      </c>
      <c r="P10" s="20">
        <v>-494.67412191649203</v>
      </c>
      <c r="Q10" s="20">
        <v>-494.54850943071801</v>
      </c>
      <c r="R10" s="20">
        <f>(P10-O10)*27.211324570273</f>
        <v>-0.59977703174580921</v>
      </c>
      <c r="S10" s="20">
        <f>(Q10-P10)*27.211324570273</f>
        <v>3.4180821204754754</v>
      </c>
      <c r="T10" s="20">
        <f>(D10-G10-C10+F10)*27.211324570273</f>
        <v>-7.3514280449785807E-2</v>
      </c>
      <c r="U10" s="20">
        <f>(E10-H10-D10+G10)*27.211324570273</f>
        <v>-0.10001818405000835</v>
      </c>
      <c r="V10" s="20">
        <f>(L10-K10-J10+I10)*27.211324570273</f>
        <v>-1.8279970095130453</v>
      </c>
      <c r="W10" s="20">
        <f>(N10-M10-L10+K10)*27.211324570273</f>
        <v>-5.6739439899814377</v>
      </c>
      <c r="X10" s="21">
        <f>(D10+L10-K10-C10-J10+I10)*27.211324570273</f>
        <v>-2.4927696687662331</v>
      </c>
      <c r="Y10" s="21">
        <f>(P10+D10-G10+L10-K10-O10-C10+F10-J10+I10)*27.211324570273</f>
        <v>-2.5012883217086403</v>
      </c>
      <c r="Z10" s="21">
        <f>(E10+N10-M10-D10-L10+K10)*27.211324570273</f>
        <v>-2.0608243135383564</v>
      </c>
      <c r="AA10" s="21">
        <f>(Q10+E10-H10+N10-M10-P10-D10+G10-L10+K10)*27.211324570273</f>
        <v>-2.355880053554424</v>
      </c>
      <c r="AB10" s="21">
        <f>(G10-F10)*27.211324570273</f>
        <v>-0.59125837880340215</v>
      </c>
      <c r="AC10" s="21">
        <f>(P10-O10)*27.211324570273</f>
        <v>-0.59977703174580921</v>
      </c>
      <c r="AD10" s="21">
        <f>(H10-G10)*27.211324570273</f>
        <v>3.7131378604915435</v>
      </c>
      <c r="AE10" s="21">
        <f>(Q10-P10)*27.211324570273</f>
        <v>3.4180821204754754</v>
      </c>
      <c r="AF10" s="20">
        <v>4.84</v>
      </c>
      <c r="AG10" s="21">
        <f t="shared" si="0"/>
        <v>-2.3472303312337668</v>
      </c>
      <c r="AH10" s="21">
        <f t="shared" si="1"/>
        <v>-2.3387116782913595</v>
      </c>
      <c r="AI10" s="21">
        <f t="shared" si="2"/>
        <v>-2.7791756864616435</v>
      </c>
      <c r="AJ10" s="21">
        <f t="shared" si="3"/>
        <v>-2.4841199464455759</v>
      </c>
      <c r="AK10" s="23">
        <v>-2.282</v>
      </c>
      <c r="AL10" s="21" t="s">
        <v>28</v>
      </c>
      <c r="AM10" s="19">
        <f t="shared" si="4"/>
        <v>6.5230331233766758E-2</v>
      </c>
      <c r="AN10" s="19">
        <f t="shared" si="5"/>
        <v>5.671167829135948E-2</v>
      </c>
      <c r="AO10" s="19" t="e">
        <f t="shared" si="6"/>
        <v>#VALUE!</v>
      </c>
      <c r="AP10" s="19" t="e">
        <f t="shared" si="7"/>
        <v>#VALUE!</v>
      </c>
    </row>
    <row r="11" spans="1:42" x14ac:dyDescent="0.2">
      <c r="A11" s="19" t="s">
        <v>34</v>
      </c>
      <c r="B11" s="19" t="s">
        <v>27</v>
      </c>
      <c r="C11" s="20">
        <v>-417.62177000000003</v>
      </c>
      <c r="D11" s="20">
        <v>-417.65098999999998</v>
      </c>
      <c r="E11" s="20">
        <v>-417.49412000000001</v>
      </c>
      <c r="F11" s="20">
        <v>-417.71558421809999</v>
      </c>
      <c r="G11" s="20">
        <v>-417.74012591270002</v>
      </c>
      <c r="H11" s="20">
        <v>-417.57736748460002</v>
      </c>
      <c r="I11" s="20">
        <v>-417.78270797149997</v>
      </c>
      <c r="J11" s="20">
        <v>-417.79264509170002</v>
      </c>
      <c r="K11" s="20">
        <v>-417.787831326</v>
      </c>
      <c r="L11" s="20">
        <v>-417.87602785479999</v>
      </c>
      <c r="M11" s="20">
        <v>-417.59467150260002</v>
      </c>
      <c r="N11" s="20">
        <v>-417.91418210149999</v>
      </c>
      <c r="O11" s="20">
        <v>-418.15025781169999</v>
      </c>
      <c r="P11" s="20">
        <v>-418.17450543450002</v>
      </c>
      <c r="Q11" s="20">
        <v>-418.01405272649998</v>
      </c>
      <c r="R11" s="20">
        <f>(P11-O11)*27.211324570273</f>
        <v>-0.65980993406924393</v>
      </c>
      <c r="S11" s="20">
        <f>(Q11-P11)*27.211324570273</f>
        <v>4.3661307155682358</v>
      </c>
      <c r="T11" s="20">
        <f>(D11-G11-C11+F11)*27.211324570273</f>
        <v>-0.12730288667610151</v>
      </c>
      <c r="U11" s="20">
        <f>(E11-H11-D11+G11)*27.211324570273</f>
        <v>-0.16023192823879503</v>
      </c>
      <c r="V11" s="20">
        <f>(L11-K11-J11+I11)*27.211324570273</f>
        <v>-2.129542168090405</v>
      </c>
      <c r="W11" s="20">
        <f>(N11-M11-L11+K11)*27.211324570273</f>
        <v>-6.2943622391615408</v>
      </c>
      <c r="X11" s="21">
        <f>(D11+L11-K11-C11-J11+I11)*27.211324570273</f>
        <v>-2.92465707203249</v>
      </c>
      <c r="Y11" s="21">
        <f>(P11+D11-G11+L11-K11-O11-C11+F11-J11+I11)*27.211324570273</f>
        <v>-2.9166549888357505</v>
      </c>
      <c r="Z11" s="21">
        <f>(E11+N11-M11-D11-L11+K11)*27.211324570273</f>
        <v>-2.0257217538236478</v>
      </c>
      <c r="AA11" s="21">
        <f>(Q11+E11-H11+N11-M11-P11-D11+G11-L11+K11)*27.211324570273</f>
        <v>-2.0884634518305534</v>
      </c>
      <c r="AB11" s="21">
        <f>(G11-F11)*27.211324570273</f>
        <v>-0.66781201726598316</v>
      </c>
      <c r="AC11" s="21">
        <f>(P11-O11)*27.211324570273</f>
        <v>-0.65980993406924393</v>
      </c>
      <c r="AD11" s="21">
        <f>(H11-G11)*27.211324570273</f>
        <v>4.4288724135766886</v>
      </c>
      <c r="AE11" s="21">
        <f>(Q11-P11)*27.211324570273</f>
        <v>4.3661307155682358</v>
      </c>
      <c r="AF11" s="20">
        <v>4.84</v>
      </c>
      <c r="AG11" s="21">
        <f t="shared" si="0"/>
        <v>-1.9153429279675098</v>
      </c>
      <c r="AH11" s="21">
        <f t="shared" si="1"/>
        <v>-1.9233450111642494</v>
      </c>
      <c r="AI11" s="21">
        <f t="shared" si="2"/>
        <v>-2.814278246176352</v>
      </c>
      <c r="AJ11" s="21">
        <f t="shared" si="3"/>
        <v>-2.7515365481694465</v>
      </c>
      <c r="AK11" s="23">
        <v>-2.0419999999999998</v>
      </c>
      <c r="AL11" s="21" t="s">
        <v>28</v>
      </c>
      <c r="AM11" s="19">
        <f t="shared" si="4"/>
        <v>0.12665707203248999</v>
      </c>
      <c r="AN11" s="19">
        <f t="shared" si="5"/>
        <v>0.11865498883575043</v>
      </c>
      <c r="AO11" s="19" t="e">
        <f t="shared" si="6"/>
        <v>#VALUE!</v>
      </c>
      <c r="AP11" s="19" t="e">
        <f t="shared" si="7"/>
        <v>#VALUE!</v>
      </c>
    </row>
    <row r="12" spans="1:42" x14ac:dyDescent="0.2">
      <c r="A12" s="19" t="s">
        <v>34</v>
      </c>
      <c r="B12" s="19" t="s">
        <v>145</v>
      </c>
      <c r="C12" s="20">
        <v>-417.40402</v>
      </c>
      <c r="D12" s="20">
        <v>-417.43024000000003</v>
      </c>
      <c r="E12" s="20">
        <v>-417.27233999999999</v>
      </c>
      <c r="F12" s="20">
        <v>-417.49864719499999</v>
      </c>
      <c r="G12" s="20">
        <v>-417.52068702880001</v>
      </c>
      <c r="H12" s="20">
        <v>-417.35772309060002</v>
      </c>
      <c r="I12" s="20">
        <v>-417.783014283</v>
      </c>
      <c r="J12" s="20">
        <v>-417.7928497666</v>
      </c>
      <c r="K12" s="20">
        <v>-417.78815116470003</v>
      </c>
      <c r="L12" s="20">
        <v>-417.87623167970003</v>
      </c>
      <c r="M12" s="20">
        <v>-417.5951071376</v>
      </c>
      <c r="N12" s="20">
        <v>-417.91466918859999</v>
      </c>
      <c r="O12" s="20">
        <v>-417.94245771470003</v>
      </c>
      <c r="P12" s="20">
        <v>-417.96464240030002</v>
      </c>
      <c r="Q12" s="20">
        <v>-417.80464217090002</v>
      </c>
      <c r="R12" s="20">
        <f>(P12-O12)*27.211324570273</f>
        <v>-0.60367468035094318</v>
      </c>
      <c r="S12" s="20">
        <f>(Q12-P12)*27.211324570273</f>
        <v>4.3538181735214767</v>
      </c>
      <c r="T12" s="20">
        <f>(D12-G12-C12+F12)*27.211324570273</f>
        <v>-0.11374785922591649</v>
      </c>
      <c r="U12" s="20">
        <f>(E12-H12-D12+G12)*27.211324570273</f>
        <v>-0.13779646596272782</v>
      </c>
      <c r="V12" s="20">
        <f>(L12-K12-J12+I12)*27.211324570273</f>
        <v>-2.129150945436646</v>
      </c>
      <c r="W12" s="20">
        <f>(N12-M12-L12+K12)*27.211324570273</f>
        <v>-6.2989192081210552</v>
      </c>
      <c r="X12" s="21">
        <f>(D12+L12-K12-C12-J12+I12)*27.211324570273</f>
        <v>-2.8426318756698423</v>
      </c>
      <c r="Y12" s="21">
        <f>(P12+D12-G12+L12-K12-O12-C12+F12-J12+I12)*27.211324570273</f>
        <v>-2.8465734850135056</v>
      </c>
      <c r="Z12" s="21">
        <f>(E12+N12-M12-D12-L12+K12)*27.211324570273</f>
        <v>-2.0022510584738451</v>
      </c>
      <c r="AA12" s="21">
        <f>(Q12+E12-H12+N12-M12-P12-D12+G12-L12+K12)*27.211324570273</f>
        <v>-2.0828975005638535</v>
      </c>
      <c r="AB12" s="21">
        <f>(G12-F12)*27.211324570273</f>
        <v>-0.59973307100727957</v>
      </c>
      <c r="AC12" s="21">
        <f>(P12-O12)*27.211324570273</f>
        <v>-0.60367468035094318</v>
      </c>
      <c r="AD12" s="21">
        <f>(H12-G12)*27.211324570273</f>
        <v>4.4344646156099383</v>
      </c>
      <c r="AE12" s="21">
        <f>(Q12-P12)*27.211324570273</f>
        <v>4.3538181735214767</v>
      </c>
      <c r="AF12" s="20">
        <v>4.84</v>
      </c>
      <c r="AG12" s="21">
        <f t="shared" si="0"/>
        <v>-1.9973681243301575</v>
      </c>
      <c r="AH12" s="21">
        <f t="shared" si="1"/>
        <v>-1.9934265149864943</v>
      </c>
      <c r="AI12" s="21">
        <f t="shared" si="2"/>
        <v>-2.8377489415261548</v>
      </c>
      <c r="AJ12" s="21">
        <f t="shared" si="3"/>
        <v>-2.7571024994361464</v>
      </c>
      <c r="AK12" s="23">
        <v>-2.0419999999999998</v>
      </c>
      <c r="AL12" s="21" t="s">
        <v>28</v>
      </c>
      <c r="AM12" s="19">
        <f t="shared" si="4"/>
        <v>4.463187566984228E-2</v>
      </c>
      <c r="AN12" s="19">
        <f t="shared" si="5"/>
        <v>4.8573485013505557E-2</v>
      </c>
      <c r="AO12" s="19" t="e">
        <f t="shared" si="6"/>
        <v>#VALUE!</v>
      </c>
      <c r="AP12" s="19" t="e">
        <f t="shared" si="7"/>
        <v>#VALUE!</v>
      </c>
    </row>
    <row r="13" spans="1:42" x14ac:dyDescent="0.2">
      <c r="A13" s="19" t="s">
        <v>34</v>
      </c>
      <c r="B13" s="19" t="s">
        <v>29</v>
      </c>
      <c r="C13" s="20">
        <v>-417.75999000000002</v>
      </c>
      <c r="D13" s="20">
        <v>-417.78714000000002</v>
      </c>
      <c r="E13" s="20">
        <v>-417.62671</v>
      </c>
      <c r="F13" s="20">
        <v>-417.85494030720002</v>
      </c>
      <c r="G13" s="20">
        <v>-417.87778083009999</v>
      </c>
      <c r="H13" s="20">
        <v>-417.71251987969998</v>
      </c>
      <c r="I13" s="20">
        <v>-417.78287203899998</v>
      </c>
      <c r="J13" s="20">
        <v>-417.79276009889998</v>
      </c>
      <c r="K13" s="20">
        <v>-417.78811004099998</v>
      </c>
      <c r="L13" s="20">
        <v>-417.87628748219998</v>
      </c>
      <c r="M13" s="20">
        <v>-417.59519282899998</v>
      </c>
      <c r="N13" s="20">
        <v>-417.91472075600001</v>
      </c>
      <c r="O13" s="20">
        <v>-418.28331309162297</v>
      </c>
      <c r="P13" s="20">
        <v>-418.305734198224</v>
      </c>
      <c r="Q13" s="20">
        <v>-418.14219182521902</v>
      </c>
      <c r="R13" s="20">
        <f>(P13-O13)*27.211324570273</f>
        <v>-0.61010800894531247</v>
      </c>
      <c r="S13" s="20">
        <f>(Q13-P13)*27.211324570273</f>
        <v>4.4502045928313416</v>
      </c>
      <c r="T13" s="20">
        <f>(D13-G13-C13+F13)*27.211324570273</f>
        <v>-0.11726658009726372</v>
      </c>
      <c r="U13" s="20">
        <f>(E13-H13-D13+G13)*27.211324570273</f>
        <v>-0.13145655931706451</v>
      </c>
      <c r="V13" s="20">
        <f>(L13-K13-J13+I13)*27.211324570273</f>
        <v>-2.1303577649604355</v>
      </c>
      <c r="W13" s="20">
        <f>(N13-M13-L13+K13)*27.211324570273</f>
        <v>-6.2953531585947191</v>
      </c>
      <c r="X13" s="21">
        <f>(D13+L13-K13-C13-J13+I13)*27.211324570273</f>
        <v>-2.869145227041964</v>
      </c>
      <c r="Y13" s="21">
        <f>(P13+D13-G13+L13-K13-O13-C13+F13-J13+I13)*27.211324570273</f>
        <v>-2.8577323540045585</v>
      </c>
      <c r="Z13" s="21">
        <f>(E13+N13-M13-D13-L13+K13)*27.211324570273</f>
        <v>-1.9298403577837477</v>
      </c>
      <c r="AA13" s="21">
        <f>(Q13+E13-H13+N13-M13-P13-D13+G13-L13+K13)*27.211324570273</f>
        <v>-1.9766051250804422</v>
      </c>
      <c r="AB13" s="21">
        <f>(G13-F13)*27.211324570273</f>
        <v>-0.62152088198581157</v>
      </c>
      <c r="AC13" s="21">
        <f>(P13-O13)*27.211324570273</f>
        <v>-0.61010800894531247</v>
      </c>
      <c r="AD13" s="21">
        <f>(H13-G13)*27.211324570273</f>
        <v>4.4969693601264895</v>
      </c>
      <c r="AE13" s="21">
        <f>(Q13-P13)*27.211324570273</f>
        <v>4.4502045928313416</v>
      </c>
      <c r="AF13" s="20">
        <v>4.84</v>
      </c>
      <c r="AG13" s="21">
        <f t="shared" si="0"/>
        <v>-1.9708547729580359</v>
      </c>
      <c r="AH13" s="21">
        <f t="shared" si="1"/>
        <v>-1.9822676459954414</v>
      </c>
      <c r="AI13" s="21">
        <f t="shared" si="2"/>
        <v>-2.9101596422162519</v>
      </c>
      <c r="AJ13" s="21">
        <f t="shared" si="3"/>
        <v>-2.8633948749195577</v>
      </c>
      <c r="AK13" s="23">
        <v>-2.0419999999999998</v>
      </c>
      <c r="AL13" s="21" t="s">
        <v>28</v>
      </c>
      <c r="AM13" s="19">
        <f t="shared" si="4"/>
        <v>7.114522704196391E-2</v>
      </c>
      <c r="AN13" s="19">
        <f t="shared" si="5"/>
        <v>5.9732354004558452E-2</v>
      </c>
      <c r="AO13" s="19" t="e">
        <f t="shared" si="6"/>
        <v>#VALUE!</v>
      </c>
      <c r="AP13" s="19" t="e">
        <f t="shared" si="7"/>
        <v>#VALUE!</v>
      </c>
    </row>
    <row r="14" spans="1:42" x14ac:dyDescent="0.2">
      <c r="A14" s="19" t="s">
        <v>34</v>
      </c>
      <c r="B14" s="19" t="s">
        <v>30</v>
      </c>
      <c r="C14" s="20">
        <v>-417.71566999999999</v>
      </c>
      <c r="D14" s="20">
        <v>-417.74171000000001</v>
      </c>
      <c r="E14" s="20">
        <v>-417.58371</v>
      </c>
      <c r="F14" s="20">
        <v>-417.810214191</v>
      </c>
      <c r="G14" s="20">
        <v>-417.83183163609999</v>
      </c>
      <c r="H14" s="20">
        <v>-417.66856633280003</v>
      </c>
      <c r="I14" s="20">
        <v>-417.78306698839998</v>
      </c>
      <c r="J14" s="20">
        <v>-417.79291756710001</v>
      </c>
      <c r="K14" s="20">
        <v>-417.7882575022</v>
      </c>
      <c r="L14" s="20">
        <v>-417.87640795900001</v>
      </c>
      <c r="M14" s="20">
        <v>-417.59529973780002</v>
      </c>
      <c r="N14" s="20">
        <v>-417.91493497059997</v>
      </c>
      <c r="O14" s="20">
        <v>-418.25045437049999</v>
      </c>
      <c r="P14" s="20">
        <v>-418.27139091639998</v>
      </c>
      <c r="Q14" s="20">
        <v>-418.10962889080002</v>
      </c>
      <c r="R14" s="20">
        <f>(P14-O14)*27.211324570273</f>
        <v>-0.569711145864924</v>
      </c>
      <c r="S14" s="20">
        <f>(Q14-P14)*27.211324570273</f>
        <v>4.4017589817451981</v>
      </c>
      <c r="T14" s="20">
        <f>(D14-G14-C14+F14)*27.211324570273</f>
        <v>-0.12034357681461189</v>
      </c>
      <c r="U14" s="20">
        <f>(E14-H14-D14+G14)*27.211324570273</f>
        <v>-0.14327587705587219</v>
      </c>
      <c r="V14" s="20">
        <f>(L14-K14-J14+I14)*27.211324570273</f>
        <v>-2.1306433967914562</v>
      </c>
      <c r="W14" s="20">
        <f>(N14-M14-L14+K14)*27.211324570273</f>
        <v>-6.2990073728114506</v>
      </c>
      <c r="X14" s="21">
        <f>(D14+L14-K14-C14-J14+I14)*27.211324570273</f>
        <v>-2.839226288603542</v>
      </c>
      <c r="Y14" s="21">
        <f>(P14+D14-G14+L14-K14-O14-C14+F14-J14+I14)*27.211324570273</f>
        <v>-2.8206981194678984</v>
      </c>
      <c r="Z14" s="21">
        <f>(E14+N14-M14-D14-L14+K14)*27.211324570273</f>
        <v>-1.999618090709443</v>
      </c>
      <c r="AA14" s="21">
        <f>(Q14+E14-H14+N14-M14-P14-D14+G14-L14+K14)*27.211324570273</f>
        <v>-2.0405242681236722</v>
      </c>
      <c r="AB14" s="21">
        <f>(G14-F14)*27.211324570273</f>
        <v>-0.58823931499592708</v>
      </c>
      <c r="AC14" s="21">
        <f>(P14-O14)*27.211324570273</f>
        <v>-0.569711145864924</v>
      </c>
      <c r="AD14" s="21">
        <f>(H14-G14)*27.211324570273</f>
        <v>4.4426651591594268</v>
      </c>
      <c r="AE14" s="21">
        <f>(Q14-P14)*27.211324570273</f>
        <v>4.4017589817451981</v>
      </c>
      <c r="AF14" s="20">
        <v>4.84</v>
      </c>
      <c r="AG14" s="21">
        <f t="shared" si="0"/>
        <v>-2.0007737113964579</v>
      </c>
      <c r="AH14" s="21">
        <f t="shared" si="1"/>
        <v>-2.0193018805321015</v>
      </c>
      <c r="AI14" s="21">
        <f t="shared" si="2"/>
        <v>-2.8403819092905569</v>
      </c>
      <c r="AJ14" s="21">
        <f t="shared" si="3"/>
        <v>-2.7994757318763277</v>
      </c>
      <c r="AK14" s="23">
        <v>-2.0419999999999998</v>
      </c>
      <c r="AL14" s="21" t="s">
        <v>28</v>
      </c>
      <c r="AM14" s="19">
        <f t="shared" si="4"/>
        <v>4.1226288603541938E-2</v>
      </c>
      <c r="AN14" s="19">
        <f t="shared" si="5"/>
        <v>2.2698119467898348E-2</v>
      </c>
      <c r="AO14" s="19" t="e">
        <f t="shared" si="6"/>
        <v>#VALUE!</v>
      </c>
      <c r="AP14" s="19" t="e">
        <f t="shared" si="7"/>
        <v>#VALUE!</v>
      </c>
    </row>
    <row r="15" spans="1:42" x14ac:dyDescent="0.2">
      <c r="A15" s="19" t="s">
        <v>34</v>
      </c>
      <c r="B15" s="19" t="s">
        <v>31</v>
      </c>
      <c r="C15" s="20">
        <v>-417.75999000000002</v>
      </c>
      <c r="D15" s="20">
        <v>-417.78714000000002</v>
      </c>
      <c r="E15" s="20">
        <v>-417.62671</v>
      </c>
      <c r="F15" s="20">
        <v>-417.85494030720002</v>
      </c>
      <c r="G15" s="20">
        <v>-417.87778083009999</v>
      </c>
      <c r="H15" s="20">
        <v>-417.71251987969998</v>
      </c>
      <c r="I15" s="20">
        <v>-417.78287203899998</v>
      </c>
      <c r="J15" s="20">
        <v>-417.79276009889998</v>
      </c>
      <c r="K15" s="20">
        <v>-417.78811004099998</v>
      </c>
      <c r="L15" s="20">
        <v>-417.87628748219998</v>
      </c>
      <c r="M15" s="20">
        <v>-417.59519282899998</v>
      </c>
      <c r="N15" s="20">
        <v>-417.91472075600001</v>
      </c>
      <c r="O15" s="20">
        <v>-417.98881745979998</v>
      </c>
      <c r="P15" s="20">
        <v>-418.00967223269998</v>
      </c>
      <c r="Q15" s="20">
        <v>-417.84482270989997</v>
      </c>
      <c r="R15" s="20">
        <f>(P15-O15)*27.211324570273</f>
        <v>-0.56748599422147328</v>
      </c>
      <c r="S15" s="20">
        <f>(Q15-P15)*27.211324570273</f>
        <v>4.4857738701657324</v>
      </c>
      <c r="T15" s="20">
        <f>(D15-G15-C15+F15)*27.211324570273</f>
        <v>-0.11726658009726372</v>
      </c>
      <c r="U15" s="20">
        <f>(E15-H15-D15+G15)*27.211324570273</f>
        <v>-0.13145655931706451</v>
      </c>
      <c r="V15" s="20">
        <f>(L15-K15-J15+I15)*27.211324570273</f>
        <v>-2.1303577649604355</v>
      </c>
      <c r="W15" s="20">
        <f>(N15-M15-L15+K15)*27.211324570273</f>
        <v>-6.2953531585947191</v>
      </c>
      <c r="X15" s="21">
        <f>(D15+L15-K15-C15-J15+I15)*27.211324570273</f>
        <v>-2.869145227041964</v>
      </c>
      <c r="Y15" s="21">
        <f>(P15+D15-G15+L15-K15-O15-C15+F15-J15+I15)*27.211324570273</f>
        <v>-2.8151103392776258</v>
      </c>
      <c r="Z15" s="21">
        <f>(E15+N15-M15-D15-L15+K15)*27.211324570273</f>
        <v>-1.9298403577837477</v>
      </c>
      <c r="AA15" s="21">
        <f>(Q15+E15-H15+N15-M15-P15-D15+G15-L15+K15)*27.211324570273</f>
        <v>-1.9410358477460512</v>
      </c>
      <c r="AB15" s="21">
        <f>(G15-F15)*27.211324570273</f>
        <v>-0.62152088198581157</v>
      </c>
      <c r="AC15" s="21">
        <f>(P15-O15)*27.211324570273</f>
        <v>-0.56748599422147328</v>
      </c>
      <c r="AD15" s="21">
        <f>(H15-G15)*27.211324570273</f>
        <v>4.4969693601264895</v>
      </c>
      <c r="AE15" s="21">
        <f>(Q15-P15)*27.211324570273</f>
        <v>4.4857738701657324</v>
      </c>
      <c r="AF15" s="20">
        <v>4.84</v>
      </c>
      <c r="AG15" s="21">
        <f t="shared" si="0"/>
        <v>-1.9708547729580359</v>
      </c>
      <c r="AH15" s="21">
        <f t="shared" si="1"/>
        <v>-2.0248896607223741</v>
      </c>
      <c r="AI15" s="21">
        <f t="shared" si="2"/>
        <v>-2.9101596422162519</v>
      </c>
      <c r="AJ15" s="21">
        <f t="shared" si="3"/>
        <v>-2.8989641522539484</v>
      </c>
      <c r="AK15" s="23">
        <v>-2.0419999999999998</v>
      </c>
      <c r="AL15" s="21" t="s">
        <v>28</v>
      </c>
      <c r="AM15" s="19">
        <f t="shared" si="4"/>
        <v>7.114522704196391E-2</v>
      </c>
      <c r="AN15" s="19">
        <f t="shared" si="5"/>
        <v>1.711033927762573E-2</v>
      </c>
      <c r="AO15" s="19" t="e">
        <f t="shared" si="6"/>
        <v>#VALUE!</v>
      </c>
      <c r="AP15" s="19" t="e">
        <f t="shared" si="7"/>
        <v>#VALUE!</v>
      </c>
    </row>
    <row r="16" spans="1:42" x14ac:dyDescent="0.2">
      <c r="A16" s="19" t="s">
        <v>34</v>
      </c>
      <c r="B16" s="19" t="s">
        <v>32</v>
      </c>
      <c r="C16" s="20">
        <v>-417.71566999999999</v>
      </c>
      <c r="D16" s="20">
        <v>-417.74171000000001</v>
      </c>
      <c r="E16" s="20">
        <v>-417.58371</v>
      </c>
      <c r="F16" s="20">
        <v>-417.810214191</v>
      </c>
      <c r="G16" s="20">
        <v>-417.83183163609999</v>
      </c>
      <c r="H16" s="20">
        <v>-417.66856633280003</v>
      </c>
      <c r="I16" s="20">
        <v>-417.78306698839998</v>
      </c>
      <c r="J16" s="20">
        <v>-417.79291756710001</v>
      </c>
      <c r="K16" s="20">
        <v>-417.7882575022</v>
      </c>
      <c r="L16" s="20">
        <v>-417.87640795900001</v>
      </c>
      <c r="M16" s="20">
        <v>-417.59529973780002</v>
      </c>
      <c r="N16" s="20">
        <v>-417.91493497059997</v>
      </c>
      <c r="O16" s="20">
        <v>-417.96652532450003</v>
      </c>
      <c r="P16" s="20">
        <v>-417.98588194080003</v>
      </c>
      <c r="Q16" s="20">
        <v>-417.8227392073</v>
      </c>
      <c r="R16" s="20">
        <f>(P16-O16)*27.211324570273</f>
        <v>-0.52671916872157509</v>
      </c>
      <c r="S16" s="20">
        <f>(Q16-P16)*27.211324570273</f>
        <v>4.4393298725507018</v>
      </c>
      <c r="T16" s="20">
        <f>(D16-G16-C16+F16)*27.211324570273</f>
        <v>-0.12034357681461189</v>
      </c>
      <c r="U16" s="20">
        <f>(E16-H16-D16+G16)*27.211324570273</f>
        <v>-0.14327587705587219</v>
      </c>
      <c r="V16" s="20">
        <f>(L16-K16-J16+I16)*27.211324570273</f>
        <v>-2.1306433967914562</v>
      </c>
      <c r="W16" s="20">
        <f>(N16-M16-L16+K16)*27.211324570273</f>
        <v>-6.2990073728114506</v>
      </c>
      <c r="X16" s="21">
        <f>(D16+L16-K16-C16-J16+I16)*27.211324570273</f>
        <v>-2.839226288603542</v>
      </c>
      <c r="Y16" s="21">
        <f>(P16+D16-G16+L16-K16-O16-C16+F16-J16+I16)*27.211324570273</f>
        <v>-2.777706142326096</v>
      </c>
      <c r="Z16" s="21">
        <f>(E16+N16-M16-D16-L16+K16)*27.211324570273</f>
        <v>-1.999618090709443</v>
      </c>
      <c r="AA16" s="21">
        <f>(Q16+E16-H16+N16-M16-P16-D16+G16-L16+K16)*27.211324570273</f>
        <v>-2.002953377318168</v>
      </c>
      <c r="AB16" s="21">
        <f>(G16-F16)*27.211324570273</f>
        <v>-0.58823931499592708</v>
      </c>
      <c r="AC16" s="21">
        <f>(P16-O16)*27.211324570273</f>
        <v>-0.52671916872157509</v>
      </c>
      <c r="AD16" s="21">
        <f>(H16-G16)*27.211324570273</f>
        <v>4.4426651591594268</v>
      </c>
      <c r="AE16" s="21">
        <f>(Q16-P16)*27.211324570273</f>
        <v>4.4393298725507018</v>
      </c>
      <c r="AF16" s="20">
        <v>4.84</v>
      </c>
      <c r="AG16" s="21">
        <f t="shared" si="0"/>
        <v>-2.0007737113964579</v>
      </c>
      <c r="AH16" s="21">
        <f t="shared" si="1"/>
        <v>-2.0622938576739038</v>
      </c>
      <c r="AI16" s="21">
        <f t="shared" si="2"/>
        <v>-2.8403819092905569</v>
      </c>
      <c r="AJ16" s="21">
        <f t="shared" si="3"/>
        <v>-2.8370466226818318</v>
      </c>
      <c r="AK16" s="23">
        <v>-2.0419999999999998</v>
      </c>
      <c r="AL16" s="21" t="s">
        <v>28</v>
      </c>
      <c r="AM16" s="19">
        <f t="shared" si="4"/>
        <v>4.1226288603541938E-2</v>
      </c>
      <c r="AN16" s="19">
        <f t="shared" si="5"/>
        <v>2.0293857673904014E-2</v>
      </c>
      <c r="AO16" s="19" t="e">
        <f t="shared" si="6"/>
        <v>#VALUE!</v>
      </c>
      <c r="AP16" s="19" t="e">
        <f t="shared" si="7"/>
        <v>#VALUE!</v>
      </c>
    </row>
    <row r="17" spans="1:42" x14ac:dyDescent="0.2">
      <c r="A17" s="19" t="s">
        <v>34</v>
      </c>
      <c r="B17" s="19" t="s">
        <v>33</v>
      </c>
      <c r="C17" s="20">
        <f>-417.87347</f>
        <v>-417.87347</v>
      </c>
      <c r="D17" s="20">
        <v>-417.89519999999999</v>
      </c>
      <c r="E17" s="20">
        <v>-417.88031000000001</v>
      </c>
      <c r="F17" s="20">
        <v>-417.967437846</v>
      </c>
      <c r="G17" s="20">
        <v>-417.9841499707</v>
      </c>
      <c r="H17" s="20">
        <v>-417.97341803260002</v>
      </c>
      <c r="I17" s="20">
        <v>-417.78290639430003</v>
      </c>
      <c r="J17" s="20">
        <v>-417.7926177045</v>
      </c>
      <c r="K17" s="20">
        <v>-417.78821095789999</v>
      </c>
      <c r="L17" s="20">
        <v>-417.87635731350002</v>
      </c>
      <c r="M17" s="20">
        <v>-417.56785570749997</v>
      </c>
      <c r="N17" s="20">
        <v>-417.88717053549999</v>
      </c>
      <c r="O17" s="20">
        <v>-417.9671179403</v>
      </c>
      <c r="P17" s="20">
        <v>-417.98643611279999</v>
      </c>
      <c r="Q17" s="20">
        <v>-417.79969010730002</v>
      </c>
      <c r="R17" s="20">
        <f>(P17-O17)*27.211324570273</f>
        <v>-0.52567306200183506</v>
      </c>
      <c r="S17" s="20">
        <f>(Q17-P17)*27.211324570273</f>
        <v>5.0816061678616613</v>
      </c>
      <c r="T17" s="20">
        <f>(D17-G17-C17+F17)*27.211324570273</f>
        <v>-0.13654303344102328</v>
      </c>
      <c r="U17" s="20">
        <f>(E17-H17-D17+G17)*27.211324570273</f>
        <v>0.11314637194418932</v>
      </c>
      <c r="V17" s="20">
        <f>(L17-K17-J17+I17)*27.211324570273</f>
        <v>-2.1343214780650213</v>
      </c>
      <c r="W17" s="20">
        <f>(N17-M17-L17+K17)*27.211324570273</f>
        <v>-6.2904003328902167</v>
      </c>
      <c r="X17" s="21">
        <f>(D17+L17-K17-C17-J17+I17)*27.211324570273</f>
        <v>-2.7256235609768065</v>
      </c>
      <c r="Y17" s="21">
        <f>(P17+D17-G17+L17-K17-O17-C17+F17-J17+I17)*27.211324570273</f>
        <v>-2.7965375735063329</v>
      </c>
      <c r="Z17" s="21">
        <f>(E17+N17-M17-D17-L17+K17)*27.211324570273</f>
        <v>-5.8852237100393996</v>
      </c>
      <c r="AA17" s="21">
        <f>(Q17+E17-H17+N17-M17-P17-D17+G17-L17+K17)*27.211324570273</f>
        <v>-1.0956477930843658</v>
      </c>
      <c r="AB17" s="21">
        <f>(G17-F17)*27.211324570273</f>
        <v>-0.45475904947076201</v>
      </c>
      <c r="AC17" s="21">
        <f>(P17-O17)*27.211324570273</f>
        <v>-0.52567306200183506</v>
      </c>
      <c r="AD17" s="21">
        <f>(H17-G17)*27.211324570273</f>
        <v>0.29203025090662771</v>
      </c>
      <c r="AE17" s="21">
        <f>(Q17-P17)*27.211324570273</f>
        <v>5.0816061678616613</v>
      </c>
      <c r="AF17" s="20">
        <v>4.84</v>
      </c>
      <c r="AG17" s="21">
        <f t="shared" si="0"/>
        <v>-2.1143764390231934</v>
      </c>
      <c r="AH17" s="21">
        <f t="shared" si="1"/>
        <v>-2.0434624264936669</v>
      </c>
      <c r="AI17" s="21">
        <f t="shared" si="2"/>
        <v>1.0452237100393997</v>
      </c>
      <c r="AJ17" s="21">
        <f t="shared" si="3"/>
        <v>-3.7443522069156341</v>
      </c>
      <c r="AK17" s="23">
        <v>-2.0419999999999998</v>
      </c>
      <c r="AL17" s="21" t="s">
        <v>28</v>
      </c>
      <c r="AM17" s="19">
        <f t="shared" si="4"/>
        <v>7.2376439023193573E-2</v>
      </c>
      <c r="AN17" s="19">
        <f t="shared" si="5"/>
        <v>1.4624264936671239E-3</v>
      </c>
      <c r="AO17" s="19" t="e">
        <f t="shared" si="6"/>
        <v>#VALUE!</v>
      </c>
      <c r="AP17" s="19" t="e">
        <f t="shared" si="7"/>
        <v>#VALUE!</v>
      </c>
    </row>
    <row r="18" spans="1:42" x14ac:dyDescent="0.2">
      <c r="A18" s="19" t="s">
        <v>34</v>
      </c>
      <c r="B18" s="19" t="s">
        <v>42</v>
      </c>
      <c r="C18" s="20">
        <v>-417.87335999999999</v>
      </c>
      <c r="D18" s="20">
        <v>-417.89657</v>
      </c>
      <c r="E18" s="20">
        <v>-417.87297000000001</v>
      </c>
      <c r="F18" s="20">
        <v>-417.9673927019</v>
      </c>
      <c r="G18" s="20">
        <v>-417.98542947039999</v>
      </c>
      <c r="H18" s="20">
        <v>-417.9660107441</v>
      </c>
      <c r="I18" s="20">
        <v>-417.78290563550001</v>
      </c>
      <c r="J18" s="20">
        <v>-417.79261595960003</v>
      </c>
      <c r="K18" s="20">
        <v>-417.78822376369999</v>
      </c>
      <c r="L18" s="20">
        <v>-417.87637108310003</v>
      </c>
      <c r="M18" s="20">
        <v>-417.5708605511</v>
      </c>
      <c r="N18" s="20">
        <v>-417.89021449939997</v>
      </c>
      <c r="O18" s="20">
        <v>-417.9671178479</v>
      </c>
      <c r="P18" s="20">
        <v>-417.98643794370003</v>
      </c>
      <c r="Q18" s="20">
        <v>-417.80234115090002</v>
      </c>
      <c r="R18" s="20">
        <f>(P18-O18)*27.211324570273</f>
        <v>-0.5257253975432794</v>
      </c>
      <c r="S18" s="20">
        <f>(Q18-P18)*27.211324570273</f>
        <v>5.0095175812272457</v>
      </c>
      <c r="T18" s="20">
        <f>(D18-G18-C18+F18)*27.211324570273</f>
        <v>-0.14077048142391818</v>
      </c>
      <c r="U18" s="20">
        <f>(E18-H18-D18+G18)*27.211324570273</f>
        <v>0.11377799576780971</v>
      </c>
      <c r="V18" s="20">
        <f>(L18-K18-J18+I18)*27.211324570273</f>
        <v>-2.1343745374259222</v>
      </c>
      <c r="W18" s="20">
        <f>(N18-M18-L18+K18)*27.211324570273</f>
        <v>-6.2914386217949385</v>
      </c>
      <c r="X18" s="21">
        <f>(D18+L18-K18-C18-J18+I18)*27.211324570273</f>
        <v>-2.7659493807021205</v>
      </c>
      <c r="Y18" s="21">
        <f>(P18+D18-G18+L18-K18-O18-C18+F18-J18+I18)*27.211324570273</f>
        <v>-2.8008704163946665</v>
      </c>
      <c r="Z18" s="21">
        <f>(E18+N18-M18-D18-L18+K18)*27.211324570273</f>
        <v>-5.6492513619383793</v>
      </c>
      <c r="AA18" s="21">
        <f>(Q18+E18-H18+N18-M18-P18-D18+G18-L18+K18)*27.211324570273</f>
        <v>-1.1681430448014298</v>
      </c>
      <c r="AB18" s="21">
        <f>(G18-F18)*27.211324570273</f>
        <v>-0.49080436185227999</v>
      </c>
      <c r="AC18" s="21">
        <f>(P18-O18)*27.211324570273</f>
        <v>-0.5257253975432794</v>
      </c>
      <c r="AD18" s="21">
        <f>(H18-G18)*27.211324570273</f>
        <v>0.52840926409029654</v>
      </c>
      <c r="AE18" s="21">
        <f>(Q18-P18)*27.211324570273</f>
        <v>5.0095175812272457</v>
      </c>
      <c r="AF18" s="20">
        <v>4.84</v>
      </c>
      <c r="AG18" s="21">
        <f t="shared" si="0"/>
        <v>-2.0740506192978794</v>
      </c>
      <c r="AH18" s="21">
        <f t="shared" si="1"/>
        <v>-2.0391295836053334</v>
      </c>
      <c r="AI18" s="21">
        <f t="shared" si="2"/>
        <v>0.80925136193837943</v>
      </c>
      <c r="AJ18" s="21">
        <f t="shared" si="3"/>
        <v>-3.67185695519857</v>
      </c>
      <c r="AK18" s="23">
        <v>-2.0419999999999998</v>
      </c>
      <c r="AL18" s="21" t="s">
        <v>28</v>
      </c>
      <c r="AM18" s="19">
        <f t="shared" si="4"/>
        <v>3.2050619297879557E-2</v>
      </c>
      <c r="AN18" s="19">
        <f t="shared" si="5"/>
        <v>2.8704163946664529E-3</v>
      </c>
      <c r="AO18" s="19" t="e">
        <f t="shared" si="6"/>
        <v>#VALUE!</v>
      </c>
      <c r="AP18" s="19" t="e">
        <f t="shared" si="7"/>
        <v>#VALUE!</v>
      </c>
    </row>
    <row r="19" spans="1:42" x14ac:dyDescent="0.2">
      <c r="A19" s="19" t="s">
        <v>34</v>
      </c>
      <c r="B19" s="19" t="s">
        <v>43</v>
      </c>
      <c r="C19" s="20">
        <v>-417.71566999999999</v>
      </c>
      <c r="D19" s="20">
        <v>-417.74171000000001</v>
      </c>
      <c r="E19" s="20">
        <v>-417.58371</v>
      </c>
      <c r="F19" s="20">
        <v>-417.810214191</v>
      </c>
      <c r="G19" s="20">
        <v>-417.83183163609999</v>
      </c>
      <c r="H19" s="20">
        <v>-417.66856633280003</v>
      </c>
      <c r="I19" s="20">
        <v>-417.78306698839998</v>
      </c>
      <c r="J19" s="20">
        <v>-417.79291756710001</v>
      </c>
      <c r="K19" s="20">
        <v>-417.7882575022</v>
      </c>
      <c r="L19" s="20">
        <v>-417.87640795900001</v>
      </c>
      <c r="M19" s="20">
        <v>-417.59529973780002</v>
      </c>
      <c r="N19" s="20">
        <v>-417.91493497059997</v>
      </c>
      <c r="O19" s="20">
        <v>-417.35641095329999</v>
      </c>
      <c r="P19" s="20">
        <v>-417.37687134045802</v>
      </c>
      <c r="Q19" s="20">
        <v>-417.223115830739</v>
      </c>
      <c r="R19" s="20">
        <f>(P19-O19)*27.211324570273</f>
        <v>-0.5567542357908416</v>
      </c>
      <c r="S19" s="20">
        <f>(Q19-P19)*27.211324570273</f>
        <v>4.1838910794319988</v>
      </c>
      <c r="T19" s="20">
        <f>(D19-G19-C19+F19)*27.211324570273</f>
        <v>-0.12034357681461189</v>
      </c>
      <c r="U19" s="20">
        <f>(E19-H19-D19+G19)*27.211324570273</f>
        <v>-0.14327587705587219</v>
      </c>
      <c r="V19" s="20">
        <f>(L19-K19-J19+I19)*27.211324570273</f>
        <v>-2.1306433967914562</v>
      </c>
      <c r="W19" s="20">
        <f>(N19-M19-L19+K19)*27.211324570273</f>
        <v>-6.2990073728114506</v>
      </c>
      <c r="X19" s="21">
        <f>(D19+L19-K19-C19-J19+I19)*27.211324570273</f>
        <v>-2.839226288603542</v>
      </c>
      <c r="Y19" s="21">
        <f>(P19+D19-G19+L19-K19-O19-C19+F19-J19+I19)*27.211324570273</f>
        <v>-2.8077412093984564</v>
      </c>
      <c r="Z19" s="21">
        <f>(E19+N19-M19-D19-L19+K19)*27.211324570273</f>
        <v>-1.999618090709443</v>
      </c>
      <c r="AA19" s="21">
        <f>(Q19+E19-H19+N19-M19-P19-D19+G19-L19+K19)*27.211324570273</f>
        <v>-2.2583921704337775</v>
      </c>
      <c r="AB19" s="21">
        <f>(G19-F19)*27.211324570273</f>
        <v>-0.58823931499592708</v>
      </c>
      <c r="AC19" s="21">
        <f>(P19-O19)*27.211324570273</f>
        <v>-0.5567542357908416</v>
      </c>
      <c r="AD19" s="21">
        <f>(H19-G19)*27.211324570273</f>
        <v>4.4426651591594268</v>
      </c>
      <c r="AE19" s="21">
        <f>(Q19-P19)*27.211324570273</f>
        <v>4.1838910794319988</v>
      </c>
      <c r="AF19" s="20">
        <v>4.84</v>
      </c>
      <c r="AG19" s="21">
        <f t="shared" si="0"/>
        <v>-2.0007737113964579</v>
      </c>
      <c r="AH19" s="21">
        <f t="shared" si="1"/>
        <v>-2.0322587906015435</v>
      </c>
      <c r="AI19" s="21">
        <f t="shared" si="2"/>
        <v>-2.8403819092905569</v>
      </c>
      <c r="AJ19" s="21">
        <f t="shared" si="3"/>
        <v>-2.5816078295662224</v>
      </c>
      <c r="AK19" s="23">
        <v>-2.0419999999999998</v>
      </c>
      <c r="AL19" s="21" t="s">
        <v>28</v>
      </c>
      <c r="AM19" s="19">
        <f t="shared" si="4"/>
        <v>4.1226288603541938E-2</v>
      </c>
      <c r="AN19" s="19">
        <f t="shared" si="5"/>
        <v>9.7412093984563519E-3</v>
      </c>
      <c r="AO19" s="19" t="e">
        <f t="shared" si="6"/>
        <v>#VALUE!</v>
      </c>
      <c r="AP19" s="19" t="e">
        <f t="shared" si="7"/>
        <v>#VALUE!</v>
      </c>
    </row>
    <row r="20" spans="1:42" x14ac:dyDescent="0.2">
      <c r="A20" s="19" t="s">
        <v>35</v>
      </c>
      <c r="B20" s="19" t="s">
        <v>27</v>
      </c>
      <c r="C20" s="20">
        <v>-738.35064999999997</v>
      </c>
      <c r="D20" s="20">
        <v>-738.39108999999996</v>
      </c>
      <c r="E20" s="20">
        <v>-738.24359000000004</v>
      </c>
      <c r="F20" s="20">
        <v>-738.41152551469997</v>
      </c>
      <c r="G20" s="20">
        <v>-738.44814064289994</v>
      </c>
      <c r="H20" s="20">
        <v>-738.29679839360006</v>
      </c>
      <c r="I20" s="20">
        <v>-738.53336443989997</v>
      </c>
      <c r="J20" s="20">
        <v>-738.54115977089998</v>
      </c>
      <c r="K20" s="20">
        <v>-738.55260593230003</v>
      </c>
      <c r="L20" s="20">
        <v>-738.63835131530004</v>
      </c>
      <c r="M20" s="20">
        <v>-738.37168320549995</v>
      </c>
      <c r="N20" s="20">
        <v>-738.68568546630001</v>
      </c>
      <c r="O20" s="20">
        <v>-738.91256982690004</v>
      </c>
      <c r="P20" s="20">
        <v>-738.94643726300001</v>
      </c>
      <c r="Q20" s="20">
        <v>-738.79695975619995</v>
      </c>
      <c r="R20" s="20">
        <f>(P20-O20)*27.211324570273</f>
        <v>-0.9215777960791981</v>
      </c>
      <c r="S20" s="20">
        <f>(Q20-P20)*27.211324570273</f>
        <v>4.0674809534914464</v>
      </c>
      <c r="T20" s="20">
        <f>(D20-G20-C20+F20)*27.211324570273</f>
        <v>-0.10407982799004069</v>
      </c>
      <c r="U20" s="20">
        <f>(E20-H20-D20+G20)*27.211324570273</f>
        <v>-0.10455269278123418</v>
      </c>
      <c r="V20" s="20">
        <f>(L20-K20-J20+I20)*27.211324570273</f>
        <v>-2.1211241652418105</v>
      </c>
      <c r="W20" s="20">
        <f>(N20-M20-L20+K20)*27.211324570273</f>
        <v>-6.2111719872142901</v>
      </c>
      <c r="X20" s="21">
        <f>(D20+L20-K20-C20-J20+I20)*27.211324570273</f>
        <v>-3.2215501308664609</v>
      </c>
      <c r="Y20" s="21">
        <f>(P20+D20-G20+L20-K20-O20-C20+F20-J20+I20)*27.211324570273</f>
        <v>-3.1467817893141428</v>
      </c>
      <c r="Z20" s="21">
        <f>(E20+N20-M20-D20-L20+K20)*27.211324570273</f>
        <v>-2.1975016131042198</v>
      </c>
      <c r="AA20" s="21">
        <f>(Q20+E20-H20+N20-M20-P20-D20+G20-L20+K20)*27.211324570273</f>
        <v>-2.2482437265102644</v>
      </c>
      <c r="AB20" s="21">
        <f>(G20-F20)*27.211324570273</f>
        <v>-0.99634613763151625</v>
      </c>
      <c r="AC20" s="21">
        <f>(P20-O20)*27.211324570273</f>
        <v>-0.9215777960791981</v>
      </c>
      <c r="AD20" s="21">
        <f>(H20-G20)*27.211324570273</f>
        <v>4.118223066894398</v>
      </c>
      <c r="AE20" s="21">
        <f>(Q20-P20)*27.211324570273</f>
        <v>4.0674809534914464</v>
      </c>
      <c r="AF20" s="20">
        <v>4.84</v>
      </c>
      <c r="AG20" s="21">
        <f t="shared" si="0"/>
        <v>-1.6184498691335389</v>
      </c>
      <c r="AH20" s="21">
        <f t="shared" si="1"/>
        <v>-1.6932182106858571</v>
      </c>
      <c r="AI20" s="21">
        <f t="shared" si="2"/>
        <v>-2.6424983868957801</v>
      </c>
      <c r="AJ20" s="21">
        <f t="shared" si="3"/>
        <v>-2.5917562734897355</v>
      </c>
      <c r="AK20" s="23">
        <v>-1.845</v>
      </c>
      <c r="AL20" s="23">
        <v>-3.0619999999999998</v>
      </c>
      <c r="AM20" s="19">
        <f t="shared" si="4"/>
        <v>0.22655013086646103</v>
      </c>
      <c r="AN20" s="19">
        <f t="shared" si="5"/>
        <v>0.15178178931414288</v>
      </c>
      <c r="AO20" s="19">
        <f t="shared" si="6"/>
        <v>0.41950161310421974</v>
      </c>
      <c r="AP20" s="19">
        <f t="shared" si="7"/>
        <v>0.47024372651026436</v>
      </c>
    </row>
    <row r="21" spans="1:42" x14ac:dyDescent="0.2">
      <c r="A21" s="19" t="s">
        <v>35</v>
      </c>
      <c r="B21" s="19" t="s">
        <v>145</v>
      </c>
      <c r="C21" s="20">
        <v>-738.14481999999998</v>
      </c>
      <c r="D21" s="20">
        <v>-738.18329000000006</v>
      </c>
      <c r="E21" s="20">
        <v>-738.03502000000003</v>
      </c>
      <c r="F21" s="20">
        <v>-738.20682865030005</v>
      </c>
      <c r="G21" s="20">
        <v>-738.24173616849998</v>
      </c>
      <c r="H21" s="20">
        <v>-738.09024018260004</v>
      </c>
      <c r="I21" s="20">
        <v>-738.53413408460005</v>
      </c>
      <c r="J21" s="20">
        <v>-738.54183516119997</v>
      </c>
      <c r="K21" s="20">
        <v>-738.55307192060002</v>
      </c>
      <c r="L21" s="20">
        <v>-738.63870155689995</v>
      </c>
      <c r="M21" s="20">
        <v>-738.37171393539995</v>
      </c>
      <c r="N21" s="20">
        <v>-738.68585818250006</v>
      </c>
      <c r="O21" s="20">
        <v>-738.71361398069996</v>
      </c>
      <c r="P21" s="20">
        <v>-738.74567793120002</v>
      </c>
      <c r="Q21" s="20">
        <v>-738.59546732369995</v>
      </c>
      <c r="R21" s="20">
        <f>(P21-O21)*27.211324570273</f>
        <v>-0.87250256406229842</v>
      </c>
      <c r="S21" s="20">
        <f>(Q21-P21)*27.211324570273</f>
        <v>4.0874295945823178</v>
      </c>
      <c r="T21" s="20">
        <f>(D21-G21-C21+F21)*27.211324570273</f>
        <v>-9.693984853944089E-2</v>
      </c>
      <c r="U21" s="20">
        <f>(E21-H21-D21+G21)*27.211324570273</f>
        <v>-8.7783349381761633E-2</v>
      </c>
      <c r="V21" s="20">
        <f>(L21-K21-J21+I21)*27.211324570273</f>
        <v>-2.1205393312909382</v>
      </c>
      <c r="W21" s="20">
        <f>(N21-M21-L21+K21)*27.211324570273</f>
        <v>-6.2181852435331857</v>
      </c>
      <c r="X21" s="21">
        <f>(D21+L21-K21-C21-J21+I21)*27.211324570273</f>
        <v>-3.1673589875113768</v>
      </c>
      <c r="Y21" s="21">
        <f>(P21+D21-G21+L21-K21-O21-C21+F21-J21+I21)*27.211324570273</f>
        <v>-3.0899817438957711</v>
      </c>
      <c r="Z21" s="21">
        <f>(E21+N21-M21-D21-L21+K21)*27.211324570273</f>
        <v>-2.1835621495012214</v>
      </c>
      <c r="AA21" s="21">
        <f>(Q21+E21-H21+N21-M21-P21-D21+G21-L21+K21)*27.211324570273</f>
        <v>-2.2185389983326291</v>
      </c>
      <c r="AB21" s="21">
        <f>(G21-F21)*27.211324570273</f>
        <v>-0.94987980768099778</v>
      </c>
      <c r="AC21" s="21">
        <f>(P21-O21)*27.211324570273</f>
        <v>-0.87250256406229842</v>
      </c>
      <c r="AD21" s="21">
        <f>(H21-G21)*27.211324570273</f>
        <v>4.1224064434168195</v>
      </c>
      <c r="AE21" s="21">
        <f>(Q21-P21)*27.211324570273</f>
        <v>4.0874295945823178</v>
      </c>
      <c r="AF21" s="20">
        <v>4.84</v>
      </c>
      <c r="AG21" s="21">
        <f t="shared" si="0"/>
        <v>-1.6726410124886231</v>
      </c>
      <c r="AH21" s="21">
        <f t="shared" si="1"/>
        <v>-1.7500182561042288</v>
      </c>
      <c r="AI21" s="21">
        <f t="shared" si="2"/>
        <v>-2.6564378504987785</v>
      </c>
      <c r="AJ21" s="21">
        <f t="shared" si="3"/>
        <v>-2.6214610016673707</v>
      </c>
      <c r="AK21" s="23">
        <v>-1.845</v>
      </c>
      <c r="AL21" s="23">
        <v>-3.0619999999999998</v>
      </c>
      <c r="AM21" s="19">
        <f t="shared" si="4"/>
        <v>0.1723589875113769</v>
      </c>
      <c r="AN21" s="19">
        <f t="shared" si="5"/>
        <v>9.4981743895771187E-2</v>
      </c>
      <c r="AO21" s="19">
        <f t="shared" si="6"/>
        <v>0.40556214950122138</v>
      </c>
      <c r="AP21" s="19">
        <f t="shared" si="7"/>
        <v>0.44053899833262911</v>
      </c>
    </row>
    <row r="22" spans="1:42" x14ac:dyDescent="0.2">
      <c r="A22" s="19" t="s">
        <v>35</v>
      </c>
      <c r="B22" s="19" t="s">
        <v>29</v>
      </c>
      <c r="C22" s="20">
        <v>-738.44824000000006</v>
      </c>
      <c r="D22" s="20">
        <v>-738.48819000000003</v>
      </c>
      <c r="E22" s="20">
        <v>-738.33861999999999</v>
      </c>
      <c r="F22" s="20">
        <v>-738.51034694889995</v>
      </c>
      <c r="G22" s="20">
        <v>-738.54666483309995</v>
      </c>
      <c r="H22" s="20">
        <v>-738.39380709889997</v>
      </c>
      <c r="I22" s="20">
        <v>-738.53396048299999</v>
      </c>
      <c r="J22" s="20">
        <v>-738.54170168430005</v>
      </c>
      <c r="K22" s="20">
        <v>-738.5529031909</v>
      </c>
      <c r="L22" s="20">
        <v>-738.63862878259999</v>
      </c>
      <c r="M22" s="20">
        <v>-738.371711484</v>
      </c>
      <c r="N22" s="20">
        <v>-738.68577351340002</v>
      </c>
      <c r="O22" s="20">
        <v>-739.00686638136301</v>
      </c>
      <c r="P22" s="20">
        <v>-739.04005725334605</v>
      </c>
      <c r="Q22" s="20">
        <v>-738.887331858842</v>
      </c>
      <c r="R22" s="20">
        <f>(P22-O22)*27.211324570273</f>
        <v>-0.90316759030082905</v>
      </c>
      <c r="S22" s="20">
        <f>(Q22-P22)*27.211324570273</f>
        <v>4.1558602799725746</v>
      </c>
      <c r="T22" s="20">
        <f>(D22-G22-C22+F22)*27.211324570273</f>
        <v>-9.8834681909900829E-2</v>
      </c>
      <c r="U22" s="20">
        <f>(E22-H22-D22+G22)*27.211324570273</f>
        <v>-8.9463602415456756E-2</v>
      </c>
      <c r="V22" s="20">
        <f>(L22-K22-J22+I22)*27.211324570273</f>
        <v>-2.1220585585874736</v>
      </c>
      <c r="W22" s="20">
        <f>(N22-M22-L22+K22)*27.211324570273</f>
        <v>-6.2133369174752335</v>
      </c>
      <c r="X22" s="21">
        <f>(D22+L22-K22-C22-J22+I22)*27.211324570273</f>
        <v>-3.2091509751661378</v>
      </c>
      <c r="Y22" s="21">
        <f>(P22+D22-G22+L22-K22-O22-C22+F22-J22+I22)*27.211324570273</f>
        <v>-3.1240608307982032</v>
      </c>
      <c r="Z22" s="21">
        <f>(E22+N22-M22-D22-L22+K22)*27.211324570273</f>
        <v>-2.1433391014953265</v>
      </c>
      <c r="AA22" s="21">
        <f>(Q22+E22-H22+N22-M22-P22-D22+G22-L22+K22)*27.211324570273</f>
        <v>-2.1469402399243029</v>
      </c>
      <c r="AB22" s="21">
        <f>(G22-F22)*27.211324570273</f>
        <v>-0.98825773467185707</v>
      </c>
      <c r="AC22" s="21">
        <f>(P22-O22)*27.211324570273</f>
        <v>-0.90316759030082905</v>
      </c>
      <c r="AD22" s="21">
        <f>(H22-G22)*27.211324570273</f>
        <v>4.1594614183922705</v>
      </c>
      <c r="AE22" s="21">
        <f>(Q22-P22)*27.211324570273</f>
        <v>4.1558602799725746</v>
      </c>
      <c r="AF22" s="20">
        <v>4.84</v>
      </c>
      <c r="AG22" s="21">
        <f t="shared" si="0"/>
        <v>-1.6308490248338621</v>
      </c>
      <c r="AH22" s="21">
        <f t="shared" si="1"/>
        <v>-1.7159391692017967</v>
      </c>
      <c r="AI22" s="21">
        <f t="shared" si="2"/>
        <v>-2.6966608985046734</v>
      </c>
      <c r="AJ22" s="21">
        <f t="shared" si="3"/>
        <v>-2.6930597600756969</v>
      </c>
      <c r="AK22" s="23">
        <v>-1.845</v>
      </c>
      <c r="AL22" s="23">
        <v>-3.0619999999999998</v>
      </c>
      <c r="AM22" s="19">
        <f t="shared" si="4"/>
        <v>0.2141509751661379</v>
      </c>
      <c r="AN22" s="19">
        <f t="shared" si="5"/>
        <v>0.1290608307982033</v>
      </c>
      <c r="AO22" s="19">
        <f t="shared" si="6"/>
        <v>0.36533910149532645</v>
      </c>
      <c r="AP22" s="19">
        <f t="shared" si="7"/>
        <v>0.36894023992430292</v>
      </c>
    </row>
    <row r="23" spans="1:42" x14ac:dyDescent="0.2">
      <c r="A23" s="19" t="s">
        <v>35</v>
      </c>
      <c r="B23" s="19" t="s">
        <v>30</v>
      </c>
      <c r="C23" s="20">
        <v>-738.46123999999998</v>
      </c>
      <c r="D23" s="20">
        <v>-738.49932999999999</v>
      </c>
      <c r="E23" s="20">
        <v>-738.35207000000003</v>
      </c>
      <c r="F23" s="20">
        <v>-738.52287123170004</v>
      </c>
      <c r="G23" s="20">
        <v>-738.55723360950003</v>
      </c>
      <c r="H23" s="20">
        <v>-738.4064174202</v>
      </c>
      <c r="I23" s="20">
        <v>-738.5341234709</v>
      </c>
      <c r="J23" s="20">
        <v>-738.54183904189995</v>
      </c>
      <c r="K23" s="20">
        <v>-738.55306876040004</v>
      </c>
      <c r="L23" s="20">
        <v>-738.63876523379997</v>
      </c>
      <c r="M23" s="20">
        <v>-738.37187278880003</v>
      </c>
      <c r="N23" s="20">
        <v>-738.6859938302</v>
      </c>
      <c r="O23" s="20">
        <v>-739.02758459990002</v>
      </c>
      <c r="P23" s="20">
        <v>-739.05835217629999</v>
      </c>
      <c r="Q23" s="20">
        <v>-738.90794029419999</v>
      </c>
      <c r="R23" s="20">
        <f>(P23-O23)*27.211324570273</f>
        <v>-0.83722650766016982</v>
      </c>
      <c r="S23" s="20">
        <f>(Q23-P23)*27.211324570273</f>
        <v>4.0929065430487901</v>
      </c>
      <c r="T23" s="20">
        <f>(D23-G23-C23+F23)*27.211324570273</f>
        <v>-0.10143353756002645</v>
      </c>
      <c r="U23" s="20">
        <f>(E23-H23-D23+G23)*27.211324570273</f>
        <v>-9.6768621277547623E-2</v>
      </c>
      <c r="V23" s="20">
        <f>(L23-K23-J23+I23)*27.211324570273</f>
        <v>-2.1219636454887998</v>
      </c>
      <c r="W23" s="20">
        <f>(N23-M23-L23+K23)*27.211324570273</f>
        <v>-6.2157350596733956</v>
      </c>
      <c r="X23" s="21">
        <f>(D23+L23-K23-C23-J23+I23)*27.211324570273</f>
        <v>-3.1584429983707993</v>
      </c>
      <c r="Y23" s="21">
        <f>(P23+D23-G23+L23-K23-O23-C23+F23-J23+I23)*27.211324570273</f>
        <v>-3.0606236907089963</v>
      </c>
      <c r="Z23" s="21">
        <f>(E23+N23-M23-D23-L23+K23)*27.211324570273</f>
        <v>-2.2085954034529829</v>
      </c>
      <c r="AA23" s="21">
        <f>(Q23+E23-H23+N23-M23-P23-D23+G23-L23+K23)*27.211324570273</f>
        <v>-2.2195971379083401</v>
      </c>
      <c r="AB23" s="21">
        <f>(G23-F23)*27.211324570273</f>
        <v>-0.93504581532197306</v>
      </c>
      <c r="AC23" s="21">
        <f>(P23-O23)*27.211324570273</f>
        <v>-0.83722650766016982</v>
      </c>
      <c r="AD23" s="21">
        <f>(H23-G23)*27.211324570273</f>
        <v>4.1039082774948668</v>
      </c>
      <c r="AE23" s="21">
        <f>(Q23-P23)*27.211324570273</f>
        <v>4.0929065430487901</v>
      </c>
      <c r="AF23" s="20">
        <v>4.84</v>
      </c>
      <c r="AG23" s="21">
        <f t="shared" si="0"/>
        <v>-1.6815570016292005</v>
      </c>
      <c r="AH23" s="21">
        <f t="shared" si="1"/>
        <v>-1.7793763092910035</v>
      </c>
      <c r="AI23" s="21">
        <f t="shared" si="2"/>
        <v>-2.631404596547017</v>
      </c>
      <c r="AJ23" s="21">
        <f t="shared" si="3"/>
        <v>-2.6204028620916597</v>
      </c>
      <c r="AK23" s="23">
        <v>-1.845</v>
      </c>
      <c r="AL23" s="23">
        <v>-3.0619999999999998</v>
      </c>
      <c r="AM23" s="19">
        <f t="shared" si="4"/>
        <v>0.16344299837079945</v>
      </c>
      <c r="AN23" s="19">
        <f t="shared" si="5"/>
        <v>6.5623690708996429E-2</v>
      </c>
      <c r="AO23" s="19">
        <f t="shared" si="6"/>
        <v>0.43059540345298286</v>
      </c>
      <c r="AP23" s="19">
        <f t="shared" si="7"/>
        <v>0.4415971379083401</v>
      </c>
    </row>
    <row r="24" spans="1:42" x14ac:dyDescent="0.2">
      <c r="A24" s="19" t="s">
        <v>35</v>
      </c>
      <c r="B24" s="19" t="s">
        <v>31</v>
      </c>
      <c r="C24" s="20">
        <v>-738.44824000000006</v>
      </c>
      <c r="D24" s="20">
        <v>-738.48819000000003</v>
      </c>
      <c r="E24" s="20">
        <v>-738.33861999999999</v>
      </c>
      <c r="F24" s="20">
        <v>-738.51034694889995</v>
      </c>
      <c r="G24" s="20">
        <v>-738.54666483309995</v>
      </c>
      <c r="H24" s="20">
        <v>-738.39380709889997</v>
      </c>
      <c r="I24" s="20">
        <v>-738.53396048299999</v>
      </c>
      <c r="J24" s="20">
        <v>-738.54170168430005</v>
      </c>
      <c r="K24" s="20">
        <v>-738.5529031909</v>
      </c>
      <c r="L24" s="20">
        <v>-738.63862878259999</v>
      </c>
      <c r="M24" s="20">
        <v>-738.371711484</v>
      </c>
      <c r="N24" s="20">
        <v>-738.68577351340002</v>
      </c>
      <c r="O24" s="20">
        <v>-738.70414283629998</v>
      </c>
      <c r="P24" s="20">
        <v>-738.73524893499996</v>
      </c>
      <c r="Q24" s="20">
        <v>-738.58064174510002</v>
      </c>
      <c r="R24" s="20">
        <f>(P24-O24)*27.211324570273</f>
        <v>-0.84643814784007987</v>
      </c>
      <c r="S24" s="20">
        <f>(Q24-P24)*27.211324570273</f>
        <v>4.2070664252649479</v>
      </c>
      <c r="T24" s="20">
        <f>(D24-G24-C24+F24)*27.211324570273</f>
        <v>-9.8834681909900829E-2</v>
      </c>
      <c r="U24" s="20">
        <f>(E24-H24-D24+G24)*27.211324570273</f>
        <v>-8.9463602415456756E-2</v>
      </c>
      <c r="V24" s="20">
        <f>(L24-K24-J24+I24)*27.211324570273</f>
        <v>-2.1220585585874736</v>
      </c>
      <c r="W24" s="20">
        <f>(N24-M24-L24+K24)*27.211324570273</f>
        <v>-6.2133369174752335</v>
      </c>
      <c r="X24" s="21">
        <f>(D24+L24-K24-C24-J24+I24)*27.211324570273</f>
        <v>-3.2091509751661378</v>
      </c>
      <c r="Y24" s="21">
        <f>(P24+D24-G24+L24-K24-O24-C24+F24-J24+I24)*27.211324570273</f>
        <v>-3.067331388340548</v>
      </c>
      <c r="Z24" s="21">
        <f>(E24+N24-M24-D24-L24+K24)*27.211324570273</f>
        <v>-2.1433391014953265</v>
      </c>
      <c r="AA24" s="21">
        <f>(Q24+E24-H24+N24-M24-P24-D24+G24-L24+K24)*27.211324570273</f>
        <v>-2.0957340946257421</v>
      </c>
      <c r="AB24" s="21">
        <f>(G24-F24)*27.211324570273</f>
        <v>-0.98825773467185707</v>
      </c>
      <c r="AC24" s="21">
        <f>(P24-O24)*27.211324570273</f>
        <v>-0.84643814784007987</v>
      </c>
      <c r="AD24" s="21">
        <f>(H24-G24)*27.211324570273</f>
        <v>4.1594614183922705</v>
      </c>
      <c r="AE24" s="21">
        <f>(Q24-P24)*27.211324570273</f>
        <v>4.2070664252649479</v>
      </c>
      <c r="AF24" s="20">
        <v>4.84</v>
      </c>
      <c r="AG24" s="21">
        <f t="shared" si="0"/>
        <v>-1.6308490248338621</v>
      </c>
      <c r="AH24" s="21">
        <f t="shared" si="1"/>
        <v>-1.7726686116594519</v>
      </c>
      <c r="AI24" s="21">
        <f t="shared" si="2"/>
        <v>-2.6966608985046734</v>
      </c>
      <c r="AJ24" s="21">
        <f t="shared" si="3"/>
        <v>-2.7442659053742577</v>
      </c>
      <c r="AK24" s="23">
        <v>-1.845</v>
      </c>
      <c r="AL24" s="23">
        <v>-3.0619999999999998</v>
      </c>
      <c r="AM24" s="19">
        <f t="shared" si="4"/>
        <v>0.2141509751661379</v>
      </c>
      <c r="AN24" s="19">
        <f t="shared" si="5"/>
        <v>7.2331388340548086E-2</v>
      </c>
      <c r="AO24" s="19">
        <f t="shared" si="6"/>
        <v>0.36533910149532645</v>
      </c>
      <c r="AP24" s="19">
        <f t="shared" si="7"/>
        <v>0.31773409462574209</v>
      </c>
    </row>
    <row r="25" spans="1:42" x14ac:dyDescent="0.2">
      <c r="A25" s="19" t="s">
        <v>35</v>
      </c>
      <c r="B25" s="19" t="s">
        <v>32</v>
      </c>
      <c r="C25" s="20">
        <v>-738.46123999999998</v>
      </c>
      <c r="D25" s="20">
        <v>-738.49932999999999</v>
      </c>
      <c r="E25" s="20">
        <v>-738.35207000000003</v>
      </c>
      <c r="F25" s="20">
        <v>-738.52287123170004</v>
      </c>
      <c r="G25" s="20">
        <v>-738.55723360950003</v>
      </c>
      <c r="H25" s="20">
        <v>-738.4064174202</v>
      </c>
      <c r="I25" s="20">
        <v>-738.5341234709</v>
      </c>
      <c r="J25" s="20">
        <v>-738.54183904189995</v>
      </c>
      <c r="K25" s="20">
        <v>-738.55306876040004</v>
      </c>
      <c r="L25" s="20">
        <v>-738.63876523379997</v>
      </c>
      <c r="M25" s="20">
        <v>-738.37187278880003</v>
      </c>
      <c r="N25" s="20">
        <v>-738.6859938302</v>
      </c>
      <c r="O25" s="20">
        <v>-738.73700670560004</v>
      </c>
      <c r="P25" s="20">
        <v>-738.76577028849999</v>
      </c>
      <c r="Q25" s="20">
        <v>-738.61354292529995</v>
      </c>
      <c r="R25" s="20">
        <f>(P25-O25)*27.211324570273</f>
        <v>-0.78269519009464361</v>
      </c>
      <c r="S25" s="20">
        <f>(Q25-P25)*27.211324570273</f>
        <v>4.1423081885131365</v>
      </c>
      <c r="T25" s="20">
        <f>(D25-G25-C25+F25)*27.211324570273</f>
        <v>-0.10143353756002645</v>
      </c>
      <c r="U25" s="20">
        <f>(E25-H25-D25+G25)*27.211324570273</f>
        <v>-9.6768621277547623E-2</v>
      </c>
      <c r="V25" s="20">
        <f>(L25-K25-J25+I25)*27.211324570273</f>
        <v>-2.1219636454887998</v>
      </c>
      <c r="W25" s="20">
        <f>(N25-M25-L25+K25)*27.211324570273</f>
        <v>-6.2157350596733956</v>
      </c>
      <c r="X25" s="21">
        <f>(D25+L25-K25-C25-J25+I25)*27.211324570273</f>
        <v>-3.1584429983707993</v>
      </c>
      <c r="Y25" s="21">
        <f>(P25+D25-G25+L25-K25-O25-C25+F25-J25+I25)*27.211324570273</f>
        <v>-3.0060923731434701</v>
      </c>
      <c r="Z25" s="21">
        <f>(E25+N25-M25-D25-L25+K25)*27.211324570273</f>
        <v>-2.2085954034529829</v>
      </c>
      <c r="AA25" s="21">
        <f>(Q25+E25-H25+N25-M25-P25-D25+G25-L25+K25)*27.211324570273</f>
        <v>-2.1701954924378066</v>
      </c>
      <c r="AB25" s="21">
        <f>(G25-F25)*27.211324570273</f>
        <v>-0.93504581532197306</v>
      </c>
      <c r="AC25" s="21">
        <f>(P25-O25)*27.211324570273</f>
        <v>-0.78269519009464361</v>
      </c>
      <c r="AD25" s="21">
        <f>(H25-G25)*27.211324570273</f>
        <v>4.1039082774948668</v>
      </c>
      <c r="AE25" s="21">
        <f>(Q25-P25)*27.211324570273</f>
        <v>4.1423081885131365</v>
      </c>
      <c r="AF25" s="20">
        <v>4.84</v>
      </c>
      <c r="AG25" s="21">
        <f t="shared" si="0"/>
        <v>-1.6815570016292005</v>
      </c>
      <c r="AH25" s="21">
        <f t="shared" si="1"/>
        <v>-1.8339076268565297</v>
      </c>
      <c r="AI25" s="21">
        <f t="shared" si="2"/>
        <v>-2.631404596547017</v>
      </c>
      <c r="AJ25" s="21">
        <f t="shared" si="3"/>
        <v>-2.6698045075621932</v>
      </c>
      <c r="AK25" s="23">
        <v>-1.845</v>
      </c>
      <c r="AL25" s="23">
        <v>-3.0619999999999998</v>
      </c>
      <c r="AM25" s="19">
        <f t="shared" si="4"/>
        <v>0.16344299837079945</v>
      </c>
      <c r="AN25" s="19">
        <f t="shared" si="5"/>
        <v>1.1092373143470224E-2</v>
      </c>
      <c r="AO25" s="19">
        <f t="shared" si="6"/>
        <v>0.43059540345298286</v>
      </c>
      <c r="AP25" s="19">
        <f t="shared" si="7"/>
        <v>0.3921954924378066</v>
      </c>
    </row>
    <row r="26" spans="1:42" x14ac:dyDescent="0.2">
      <c r="A26" s="19" t="s">
        <v>35</v>
      </c>
      <c r="B26" s="19" t="s">
        <v>33</v>
      </c>
      <c r="C26" s="20">
        <f>-738.67719</f>
        <v>-738.67719</v>
      </c>
      <c r="D26" s="20">
        <v>-738.70214999999996</v>
      </c>
      <c r="E26" s="20">
        <v>-738.68625999999995</v>
      </c>
      <c r="F26" s="20">
        <v>-738.73851294489998</v>
      </c>
      <c r="G26" s="20">
        <v>-738.76013001080003</v>
      </c>
      <c r="H26" s="20">
        <v>-738.74678021140005</v>
      </c>
      <c r="I26" s="20">
        <v>-738.53336620439995</v>
      </c>
      <c r="J26" s="20">
        <v>-738.5408414712</v>
      </c>
      <c r="K26" s="20">
        <v>-738.55247658200005</v>
      </c>
      <c r="L26" s="20">
        <v>-738.6380617996</v>
      </c>
      <c r="M26" s="20">
        <v>-738.34135651190002</v>
      </c>
      <c r="N26" s="20">
        <v>-738.65572483749997</v>
      </c>
      <c r="O26" s="20">
        <v>-738.73829718030004</v>
      </c>
      <c r="P26" s="20">
        <v>-738.76683107240001</v>
      </c>
      <c r="Q26" s="20">
        <v>-738.59720326169997</v>
      </c>
      <c r="R26" s="20">
        <f>(P26-O26)*27.211324570273</f>
        <v>-0.77644499918548771</v>
      </c>
      <c r="S26" s="20">
        <f>(Q26-P26)*27.211324570273</f>
        <v>4.615797413103488</v>
      </c>
      <c r="T26" s="20">
        <f>(D26-G26-C26+F26)*27.211324570273</f>
        <v>-9.0965664809933372E-2</v>
      </c>
      <c r="U26" s="20">
        <f>(E26-H26-D26+G26)*27.211324570273</f>
        <v>6.9122223001227501E-2</v>
      </c>
      <c r="V26" s="20">
        <f>(L26-K26-J26+I26)*27.211324570273</f>
        <v>-2.1254752233841012</v>
      </c>
      <c r="W26" s="20">
        <f>(N26-M26-L26+K26)*27.211324570273</f>
        <v>-6.2254914079842569</v>
      </c>
      <c r="X26" s="21">
        <f>(D26+L26-K26-C26-J26+I26)*27.211324570273</f>
        <v>-2.8046698846571512</v>
      </c>
      <c r="Y26" s="21">
        <f>(P26+D26-G26+L26-K26-O26-C26+F26-J26+I26)*27.211324570273</f>
        <v>-2.992885887376429</v>
      </c>
      <c r="Z26" s="21">
        <f>(E26+N26-M26-D26-L26+K26)*27.211324570273</f>
        <v>-5.7931034605622633</v>
      </c>
      <c r="AA26" s="21">
        <f>(Q26+E26-H26+N26-M26-P26-D26+G26-L26+K26)*27.211324570273</f>
        <v>-1.5405717718857286</v>
      </c>
      <c r="AB26" s="21">
        <f>(G26-F26)*27.211324570273</f>
        <v>-0.58822899646311655</v>
      </c>
      <c r="AC26" s="21">
        <f>(P26-O26)*27.211324570273</f>
        <v>-0.77644499918548771</v>
      </c>
      <c r="AD26" s="21">
        <f>(H26-G26)*27.211324570273</f>
        <v>0.36326572442076588</v>
      </c>
      <c r="AE26" s="21">
        <f>(Q26-P26)*27.211324570273</f>
        <v>4.615797413103488</v>
      </c>
      <c r="AF26" s="20">
        <v>4.84</v>
      </c>
      <c r="AG26" s="21">
        <f t="shared" si="0"/>
        <v>-2.0353301153428487</v>
      </c>
      <c r="AH26" s="21">
        <f t="shared" si="1"/>
        <v>-1.8471141126235708</v>
      </c>
      <c r="AI26" s="21">
        <f t="shared" si="2"/>
        <v>0.95310346056226347</v>
      </c>
      <c r="AJ26" s="21">
        <f t="shared" si="3"/>
        <v>-3.2994282281142713</v>
      </c>
      <c r="AK26" s="23">
        <v>-1.845</v>
      </c>
      <c r="AL26" s="23">
        <v>-3.0619999999999998</v>
      </c>
      <c r="AM26" s="19">
        <f t="shared" si="4"/>
        <v>0.19033011534284872</v>
      </c>
      <c r="AN26" s="19">
        <f t="shared" si="5"/>
        <v>2.1141126235708629E-3</v>
      </c>
      <c r="AO26" s="19">
        <f t="shared" si="6"/>
        <v>4.0151034605622637</v>
      </c>
      <c r="AP26" s="19">
        <f t="shared" si="7"/>
        <v>0.23742822811427144</v>
      </c>
    </row>
    <row r="27" spans="1:42" x14ac:dyDescent="0.2">
      <c r="A27" s="19" t="s">
        <v>35</v>
      </c>
      <c r="B27" s="19" t="s">
        <v>42</v>
      </c>
      <c r="C27" s="20">
        <v>-738.67700000000002</v>
      </c>
      <c r="D27" s="20">
        <v>-738.70623999999998</v>
      </c>
      <c r="E27" s="20">
        <v>-738.67469000000006</v>
      </c>
      <c r="F27" s="20">
        <v>-738.73857820609999</v>
      </c>
      <c r="G27" s="20">
        <v>-738.76372602560002</v>
      </c>
      <c r="H27" s="20">
        <v>-738.73451109840005</v>
      </c>
      <c r="I27" s="20">
        <v>-738.53340049769997</v>
      </c>
      <c r="J27" s="20">
        <v>-738.54088317230003</v>
      </c>
      <c r="K27" s="20">
        <v>-738.55257008789999</v>
      </c>
      <c r="L27" s="20">
        <v>-738.63823327449995</v>
      </c>
      <c r="M27" s="20">
        <v>-738.34340822870001</v>
      </c>
      <c r="N27" s="20">
        <v>-738.65777079730003</v>
      </c>
      <c r="O27" s="20">
        <v>-738.73829622209996</v>
      </c>
      <c r="P27" s="20">
        <v>-738.76684640719998</v>
      </c>
      <c r="Q27" s="20">
        <v>-738.59865788189995</v>
      </c>
      <c r="R27" s="20">
        <f>(P27-O27)*27.211324570273</f>
        <v>-0.77688835329791506</v>
      </c>
      <c r="S27" s="20">
        <f>(Q27-P27)*27.211324570273</f>
        <v>4.5766325509345416</v>
      </c>
      <c r="T27" s="20">
        <f>(D27-G27-C27+F27)*27.211324570273</f>
        <v>-0.11135365178358284</v>
      </c>
      <c r="U27" s="20">
        <f>(E27-H27-D27+G27)*27.211324570273</f>
        <v>6.3540423854693065E-2</v>
      </c>
      <c r="V27" s="20">
        <f>(L27-K27-J27+I27)*27.211324570273</f>
        <v>-2.1273952870994974</v>
      </c>
      <c r="W27" s="20">
        <f>(N27-M27-L27+K27)*27.211324570273</f>
        <v>-6.2232131126244532</v>
      </c>
      <c r="X27" s="21">
        <f>(D27+L27-K27-C27-J27+I27)*27.211324570273</f>
        <v>-2.9230544175331601</v>
      </c>
      <c r="Y27" s="21">
        <f>(P27+D27-G27+L27-K27-O27-C27+F27-J27+I27)*27.211324570273</f>
        <v>-3.0156372921809953</v>
      </c>
      <c r="Z27" s="21">
        <f>(E27+N27-M27-D27-L27+K27)*27.211324570273</f>
        <v>-5.3646958224312957</v>
      </c>
      <c r="AA27" s="21">
        <f>(Q27+E27-H27+N27-M27-P27-D27+G27-L27+K27)*27.211324570273</f>
        <v>-1.5830401378352192</v>
      </c>
      <c r="AB27" s="21">
        <f>(G27-F27)*27.211324570273</f>
        <v>-0.68430547865008007</v>
      </c>
      <c r="AC27" s="21">
        <f>(P27-O27)*27.211324570273</f>
        <v>-0.77688835329791506</v>
      </c>
      <c r="AD27" s="21">
        <f>(H27-G27)*27.211324570273</f>
        <v>0.7949768663353709</v>
      </c>
      <c r="AE27" s="21">
        <f>(Q27-P27)*27.211324570273</f>
        <v>4.5766325509345416</v>
      </c>
      <c r="AF27" s="20">
        <v>4.84</v>
      </c>
      <c r="AG27" s="21">
        <f t="shared" si="0"/>
        <v>-1.9169455824668398</v>
      </c>
      <c r="AH27" s="21">
        <f t="shared" si="1"/>
        <v>-1.8243627078190046</v>
      </c>
      <c r="AI27" s="21">
        <f t="shared" si="2"/>
        <v>0.52469582243129587</v>
      </c>
      <c r="AJ27" s="21">
        <f t="shared" si="3"/>
        <v>-3.2569598621647806</v>
      </c>
      <c r="AK27" s="23">
        <v>-1.845</v>
      </c>
      <c r="AL27" s="23">
        <v>-3.0619999999999998</v>
      </c>
      <c r="AM27" s="19">
        <f t="shared" si="4"/>
        <v>7.1945582466839797E-2</v>
      </c>
      <c r="AN27" s="19">
        <f t="shared" si="5"/>
        <v>2.0637292180995415E-2</v>
      </c>
      <c r="AO27" s="19">
        <f t="shared" si="6"/>
        <v>3.5866958224312957</v>
      </c>
      <c r="AP27" s="19">
        <f t="shared" si="7"/>
        <v>0.19495986216478078</v>
      </c>
    </row>
    <row r="28" spans="1:42" x14ac:dyDescent="0.2">
      <c r="A28" s="19" t="s">
        <v>35</v>
      </c>
      <c r="B28" s="19" t="s">
        <v>43</v>
      </c>
      <c r="C28" s="20">
        <v>-738.46123999999998</v>
      </c>
      <c r="D28" s="20">
        <v>-738.49932999999999</v>
      </c>
      <c r="E28" s="20">
        <v>-738.35207000000003</v>
      </c>
      <c r="F28" s="20">
        <v>-738.52287123170004</v>
      </c>
      <c r="G28" s="20">
        <v>-738.55723360950003</v>
      </c>
      <c r="H28" s="20">
        <v>-738.4064174202</v>
      </c>
      <c r="I28" s="20">
        <v>-738.5341234709</v>
      </c>
      <c r="J28" s="20">
        <v>-738.54183904189995</v>
      </c>
      <c r="K28" s="20">
        <v>-738.55306876040004</v>
      </c>
      <c r="L28" s="20">
        <v>-738.63876523379997</v>
      </c>
      <c r="M28" s="20">
        <v>-738.37187278880003</v>
      </c>
      <c r="N28" s="20">
        <v>-738.6859938302</v>
      </c>
      <c r="O28" s="20">
        <v>-737.81797846318898</v>
      </c>
      <c r="P28" s="20">
        <v>-737.84629816967004</v>
      </c>
      <c r="Q28" s="20">
        <v>-737.69874854253499</v>
      </c>
      <c r="R28" s="20">
        <f>(P28-O28)*27.211324570273</f>
        <v>-0.77061672479089305</v>
      </c>
      <c r="S28" s="20">
        <f>(Q28-P28)*27.211324570273</f>
        <v>4.015020794194589</v>
      </c>
      <c r="T28" s="20">
        <f>(D28-G28-C28+F28)*27.211324570273</f>
        <v>-0.10143353756002645</v>
      </c>
      <c r="U28" s="20">
        <f>(E28-H28-D28+G28)*27.211324570273</f>
        <v>-9.6768621277547623E-2</v>
      </c>
      <c r="V28" s="20">
        <f>(L28-K28-J28+I28)*27.211324570273</f>
        <v>-2.1219636454887998</v>
      </c>
      <c r="W28" s="20">
        <f>(N28-M28-L28+K28)*27.211324570273</f>
        <v>-6.2157350596733956</v>
      </c>
      <c r="X28" s="21">
        <f>(D28+L28-K28-C28-J28+I28)*27.211324570273</f>
        <v>-3.1584429983707993</v>
      </c>
      <c r="Y28" s="21">
        <f>(P28+D28-G28+L28-K28-O28-C28+F28-J28+I28)*27.211324570273</f>
        <v>-2.9940139078366257</v>
      </c>
      <c r="Z28" s="21">
        <f>(E28+N28-M28-D28-L28+K28)*27.211324570273</f>
        <v>-2.2085954034529829</v>
      </c>
      <c r="AA28" s="21">
        <f>(Q28+E28-H28+N28-M28-P28-D28+G28-L28+K28)*27.211324570273</f>
        <v>-2.2974828867625412</v>
      </c>
      <c r="AB28" s="21">
        <f>(G28-F28)*27.211324570273</f>
        <v>-0.93504581532197306</v>
      </c>
      <c r="AC28" s="21">
        <f>(P28-O28)*27.211324570273</f>
        <v>-0.77061672479089305</v>
      </c>
      <c r="AD28" s="21">
        <f>(H28-G28)*27.211324570273</f>
        <v>4.1039082774948668</v>
      </c>
      <c r="AE28" s="21">
        <f>(Q28-P28)*27.211324570273</f>
        <v>4.015020794194589</v>
      </c>
      <c r="AF28" s="20">
        <v>4.84</v>
      </c>
      <c r="AG28" s="21">
        <f t="shared" si="0"/>
        <v>-1.6815570016292005</v>
      </c>
      <c r="AH28" s="21">
        <f t="shared" si="1"/>
        <v>-1.8459860921633742</v>
      </c>
      <c r="AI28" s="21">
        <f t="shared" si="2"/>
        <v>-2.631404596547017</v>
      </c>
      <c r="AJ28" s="21">
        <f t="shared" si="3"/>
        <v>-2.5425171132374587</v>
      </c>
      <c r="AK28" s="23">
        <v>-1.845</v>
      </c>
      <c r="AL28" s="23">
        <v>-3.0619999999999998</v>
      </c>
      <c r="AM28" s="19">
        <f t="shared" si="4"/>
        <v>0.16344299837079945</v>
      </c>
      <c r="AN28" s="19">
        <f t="shared" si="5"/>
        <v>9.8609216337419703E-4</v>
      </c>
      <c r="AO28" s="19">
        <f t="shared" si="6"/>
        <v>0.43059540345298286</v>
      </c>
      <c r="AP28" s="19">
        <f t="shared" si="7"/>
        <v>0.51948288676254117</v>
      </c>
    </row>
    <row r="29" spans="1:42" x14ac:dyDescent="0.2">
      <c r="A29" s="19" t="s">
        <v>36</v>
      </c>
      <c r="B29" s="19" t="s">
        <v>27</v>
      </c>
      <c r="C29" s="20">
        <v>-572.27023999999994</v>
      </c>
      <c r="D29" s="20">
        <v>-572.31939</v>
      </c>
      <c r="E29" s="20">
        <v>-572.21162000000004</v>
      </c>
      <c r="F29" s="20">
        <v>-572.42479034960002</v>
      </c>
      <c r="G29" s="20">
        <v>-572.47048657949995</v>
      </c>
      <c r="H29" s="20">
        <v>-572.35844811389995</v>
      </c>
      <c r="I29" s="20">
        <v>-572.50417447940004</v>
      </c>
      <c r="J29" s="20">
        <v>-572.5150920753</v>
      </c>
      <c r="K29" s="20">
        <v>-572.53128223049998</v>
      </c>
      <c r="L29" s="20">
        <v>-572.61588779609997</v>
      </c>
      <c r="M29" s="20">
        <v>-572.39594500869998</v>
      </c>
      <c r="N29" s="20">
        <v>-572.68215087249996</v>
      </c>
      <c r="O29" s="20">
        <v>-573.02099653849996</v>
      </c>
      <c r="P29" s="20">
        <v>-573.06540501760003</v>
      </c>
      <c r="Q29" s="20">
        <v>-572.95409719680003</v>
      </c>
      <c r="R29" s="20">
        <f>(P29-O29)*27.211324570273</f>
        <v>-1.2084135384642036</v>
      </c>
      <c r="S29" s="20">
        <f>(Q29-P29)*27.211324570273</f>
        <v>3.028833238998403</v>
      </c>
      <c r="T29" s="20">
        <f>(D29-G29-C29+F29)*27.211324570273</f>
        <v>-9.3981659185543354E-2</v>
      </c>
      <c r="U29" s="20">
        <f>(E29-H29-D29+G29)*27.211324570273</f>
        <v>-0.11615060285958898</v>
      </c>
      <c r="V29" s="20">
        <f>(L29-K29-J29+I29)*27.211324570273</f>
        <v>-2.0051472604316234</v>
      </c>
      <c r="W29" s="20">
        <f>(N29-M29-L29+K29)*27.211324570273</f>
        <v>-5.4858111477838012</v>
      </c>
      <c r="X29" s="21">
        <f>(D29+L29-K29-C29-J29+I29)*27.211324570273</f>
        <v>-3.3425838630589229</v>
      </c>
      <c r="Y29" s="21">
        <f>(P29+D29-G29+L29-K29-O29-C29+F29-J29+I29)*27.211324570273</f>
        <v>-3.3075424580813704</v>
      </c>
      <c r="Z29" s="21">
        <f>(E29+N29-M29-D29-L29+K29)*27.211324570273</f>
        <v>-2.5532466988465816</v>
      </c>
      <c r="AA29" s="21">
        <f>(Q29+E29-H29+N29-M29-P29-D29+G29-L29+K29)*27.211324570273</f>
        <v>-2.5731285116449865</v>
      </c>
      <c r="AB29" s="21">
        <f>(G29-F29)*27.211324570273</f>
        <v>-1.2434549434448496</v>
      </c>
      <c r="AC29" s="21">
        <f>(P29-O29)*27.211324570273</f>
        <v>-1.2084135384642036</v>
      </c>
      <c r="AD29" s="21">
        <f>(H29-G29)*27.211324570273</f>
        <v>3.0487150517968082</v>
      </c>
      <c r="AE29" s="21">
        <f>(Q29-P29)*27.211324570273</f>
        <v>3.028833238998403</v>
      </c>
      <c r="AF29" s="20">
        <v>4.84</v>
      </c>
      <c r="AG29" s="21">
        <f t="shared" si="0"/>
        <v>-1.497416136941077</v>
      </c>
      <c r="AH29" s="21">
        <f t="shared" si="1"/>
        <v>-1.5324575419186295</v>
      </c>
      <c r="AI29" s="21">
        <f t="shared" si="2"/>
        <v>-2.2867533011534182</v>
      </c>
      <c r="AJ29" s="21">
        <f t="shared" si="3"/>
        <v>-2.2668714883550134</v>
      </c>
      <c r="AK29" s="23">
        <v>-1.73</v>
      </c>
      <c r="AL29" s="23">
        <v>-2.35</v>
      </c>
      <c r="AM29" s="19">
        <f t="shared" si="4"/>
        <v>0.23258386305892298</v>
      </c>
      <c r="AN29" s="19">
        <f t="shared" si="5"/>
        <v>0.1975424580813705</v>
      </c>
      <c r="AO29" s="19">
        <f t="shared" si="6"/>
        <v>6.324669884658185E-2</v>
      </c>
      <c r="AP29" s="19">
        <f t="shared" si="7"/>
        <v>8.3128511644986691E-2</v>
      </c>
    </row>
    <row r="30" spans="1:42" x14ac:dyDescent="0.2">
      <c r="A30" s="19" t="s">
        <v>36</v>
      </c>
      <c r="B30" s="19" t="s">
        <v>145</v>
      </c>
      <c r="C30" s="20">
        <v>-571.96033</v>
      </c>
      <c r="D30" s="20">
        <v>-572.00559999999996</v>
      </c>
      <c r="E30" s="20">
        <v>-571.89790000000005</v>
      </c>
      <c r="F30" s="20">
        <v>-572.1160095404</v>
      </c>
      <c r="G30" s="20">
        <v>-572.15869710640004</v>
      </c>
      <c r="H30" s="20">
        <v>-572.0475900916</v>
      </c>
      <c r="I30" s="20">
        <v>-572.50474501739996</v>
      </c>
      <c r="J30" s="20">
        <v>-572.51549662069999</v>
      </c>
      <c r="K30" s="20">
        <v>-572.53169761590004</v>
      </c>
      <c r="L30" s="20">
        <v>-572.61612214570005</v>
      </c>
      <c r="M30" s="20">
        <v>-572.3965677617</v>
      </c>
      <c r="N30" s="20">
        <v>-572.68251942159998</v>
      </c>
      <c r="O30" s="20">
        <v>-572.72502156439998</v>
      </c>
      <c r="P30" s="20">
        <v>-572.7666952564</v>
      </c>
      <c r="Q30" s="20">
        <v>-572.65675296740005</v>
      </c>
      <c r="R30" s="20">
        <f>(P30-O30)*27.211324570273</f>
        <v>-1.1339963590540678</v>
      </c>
      <c r="S30" s="20">
        <f>(Q30-P30)*27.211324570273</f>
        <v>2.9916753099762845</v>
      </c>
      <c r="T30" s="20">
        <f>(D30-G30-C30+F30)*27.211324570273</f>
        <v>-7.0271449753103621E-2</v>
      </c>
      <c r="U30" s="20">
        <f>(E30-H30-D30+G30)*27.211324570273</f>
        <v>-9.2709385542114192E-2</v>
      </c>
      <c r="V30" s="20">
        <f>(L30-K30-J30+I30)*27.211324570273</f>
        <v>-2.0047379150324609</v>
      </c>
      <c r="W30" s="20">
        <f>(N30-M30-L30+K30)*27.211324570273</f>
        <v>-5.4838201468660719</v>
      </c>
      <c r="X30" s="21">
        <f>(D30+L30-K30-C30-J30+I30)*27.211324570273</f>
        <v>-3.2365945783276175</v>
      </c>
      <c r="Y30" s="21">
        <f>(P30+D30-G30+L30-K30-O30-C30+F30-J30+I30)*27.211324570273</f>
        <v>-3.2090057238396321</v>
      </c>
      <c r="Z30" s="21">
        <f>(E30+N30-M30-D30-L30+K30)*27.211324570273</f>
        <v>-2.5531604906501499</v>
      </c>
      <c r="AA30" s="21">
        <f>(Q30+E30-H30+N30-M30-P30-D30+G30-L30+K30)*27.211324570273</f>
        <v>-2.5848542224349953</v>
      </c>
      <c r="AB30" s="21">
        <f>(G30-F30)*27.211324570273</f>
        <v>-1.1615852135420532</v>
      </c>
      <c r="AC30" s="21">
        <f>(P30-O30)*27.211324570273</f>
        <v>-1.1339963590540678</v>
      </c>
      <c r="AD30" s="21">
        <f>(H30-G30)*27.211324570273</f>
        <v>3.0233690417580363</v>
      </c>
      <c r="AE30" s="21">
        <f>(Q30-P30)*27.211324570273</f>
        <v>2.9916753099762845</v>
      </c>
      <c r="AF30" s="20">
        <v>4.84</v>
      </c>
      <c r="AG30" s="21">
        <f t="shared" si="0"/>
        <v>-1.6034054216723823</v>
      </c>
      <c r="AH30" s="21">
        <f t="shared" si="1"/>
        <v>-1.6309942761603677</v>
      </c>
      <c r="AI30" s="21">
        <f t="shared" si="2"/>
        <v>-2.2868395093498499</v>
      </c>
      <c r="AJ30" s="21">
        <f t="shared" si="3"/>
        <v>-2.2551457775650046</v>
      </c>
      <c r="AK30" s="23">
        <v>-1.73</v>
      </c>
      <c r="AL30" s="23">
        <v>-2.35</v>
      </c>
      <c r="AM30" s="19">
        <f t="shared" si="4"/>
        <v>0.12659457832761767</v>
      </c>
      <c r="AN30" s="19">
        <f t="shared" si="5"/>
        <v>9.9005723839632243E-2</v>
      </c>
      <c r="AO30" s="19">
        <f t="shared" si="6"/>
        <v>6.316049065015017E-2</v>
      </c>
      <c r="AP30" s="19">
        <f t="shared" si="7"/>
        <v>9.4854222434995528E-2</v>
      </c>
    </row>
    <row r="31" spans="1:42" x14ac:dyDescent="0.2">
      <c r="A31" s="19" t="s">
        <v>36</v>
      </c>
      <c r="B31" s="19" t="s">
        <v>29</v>
      </c>
      <c r="C31" s="20">
        <v>-572.46912999999995</v>
      </c>
      <c r="D31" s="20">
        <v>-572.51404000000002</v>
      </c>
      <c r="E31" s="20">
        <v>-572.40248999999994</v>
      </c>
      <c r="F31" s="20">
        <v>-572.62480429649997</v>
      </c>
      <c r="G31" s="20">
        <v>-572.66709869329998</v>
      </c>
      <c r="H31" s="20">
        <v>-572.55158187129996</v>
      </c>
      <c r="I31" s="20">
        <v>-572.50450828279997</v>
      </c>
      <c r="J31" s="20">
        <v>-572.51531577050002</v>
      </c>
      <c r="K31" s="20">
        <v>-572.53151189280004</v>
      </c>
      <c r="L31" s="20">
        <v>-572.61610560639997</v>
      </c>
      <c r="M31" s="20">
        <v>-572.39644750939999</v>
      </c>
      <c r="N31" s="20">
        <v>-572.68229825790002</v>
      </c>
      <c r="O31" s="20">
        <v>-573.21170016769997</v>
      </c>
      <c r="P31" s="20">
        <v>-573.25233868387897</v>
      </c>
      <c r="Q31" s="20">
        <v>-573.13726439507298</v>
      </c>
      <c r="R31" s="20">
        <f>(P31-O31)*27.211324570273</f>
        <v>-1.1058278538010942</v>
      </c>
      <c r="S31" s="20">
        <f>(Q31-P31)*27.211324570273</f>
        <v>3.1313238223933841</v>
      </c>
      <c r="T31" s="20">
        <f>(D31-G31-C31+F31)*27.211324570273</f>
        <v>-7.1174027624147485E-2</v>
      </c>
      <c r="U31" s="20">
        <f>(E31-H31-D31+G31)*27.211324570273</f>
        <v>-0.1079424809528253</v>
      </c>
      <c r="V31" s="20">
        <f>(L31-K31-J31+I31)*27.211324570273</f>
        <v>-2.0078209417771258</v>
      </c>
      <c r="W31" s="20">
        <f>(N31-M31-L31+K31)*27.211324570273</f>
        <v>-5.4764704987172532</v>
      </c>
      <c r="X31" s="21">
        <f>(D31+L31-K31-C31-J31+I31)*27.211324570273</f>
        <v>-3.2298815282300621</v>
      </c>
      <c r="Y31" s="21">
        <f>(P31+D31-G31+L31-K31-O31-C31+F31-J31+I31)*27.211324570273</f>
        <v>-3.1848228231992737</v>
      </c>
      <c r="Z31" s="21">
        <f>(E31+N31-M31-D31-L31+K31)*27.211324570273</f>
        <v>-2.4410472429042356</v>
      </c>
      <c r="AA31" s="21">
        <f>(Q31+E31-H31+N31-M31-P31-D31+G31-L31+K31)*27.211324570273</f>
        <v>-2.4530891572766942</v>
      </c>
      <c r="AB31" s="21">
        <f>(G31-F31)*27.211324570273</f>
        <v>-1.1508865588287889</v>
      </c>
      <c r="AC31" s="21">
        <f>(P31-O31)*27.211324570273</f>
        <v>-1.1058278538010942</v>
      </c>
      <c r="AD31" s="21">
        <f>(H31-G31)*27.211324570273</f>
        <v>3.1433657367689367</v>
      </c>
      <c r="AE31" s="21">
        <f>(Q31-P31)*27.211324570273</f>
        <v>3.1313238223933841</v>
      </c>
      <c r="AF31" s="20">
        <v>4.84</v>
      </c>
      <c r="AG31" s="21">
        <f t="shared" si="0"/>
        <v>-1.6101184717699377</v>
      </c>
      <c r="AH31" s="21">
        <f t="shared" si="1"/>
        <v>-1.6551771768007262</v>
      </c>
      <c r="AI31" s="21">
        <f t="shared" si="2"/>
        <v>-2.3989527570957643</v>
      </c>
      <c r="AJ31" s="21">
        <f t="shared" si="3"/>
        <v>-2.3869108427233057</v>
      </c>
      <c r="AK31" s="23">
        <v>-1.73</v>
      </c>
      <c r="AL31" s="23">
        <v>-2.35</v>
      </c>
      <c r="AM31" s="19">
        <f t="shared" si="4"/>
        <v>0.11988152823006226</v>
      </c>
      <c r="AN31" s="19">
        <f t="shared" si="5"/>
        <v>7.4822823199273802E-2</v>
      </c>
      <c r="AO31" s="19">
        <f t="shared" si="6"/>
        <v>4.8952757095764188E-2</v>
      </c>
      <c r="AP31" s="19">
        <f t="shared" si="7"/>
        <v>3.6910842723305581E-2</v>
      </c>
    </row>
    <row r="32" spans="1:42" x14ac:dyDescent="0.2">
      <c r="A32" s="19" t="s">
        <v>36</v>
      </c>
      <c r="B32" s="19" t="s">
        <v>30</v>
      </c>
      <c r="C32" s="20">
        <v>-572.39277000000004</v>
      </c>
      <c r="D32" s="20">
        <v>-572.43663000000004</v>
      </c>
      <c r="E32" s="20">
        <v>-572.32745</v>
      </c>
      <c r="F32" s="20">
        <v>-572.54790568730004</v>
      </c>
      <c r="G32" s="20">
        <v>-572.58909238429999</v>
      </c>
      <c r="H32" s="20">
        <v>-572.47575144209998</v>
      </c>
      <c r="I32" s="20">
        <v>-572.50483805900001</v>
      </c>
      <c r="J32" s="20">
        <v>-572.51556991300004</v>
      </c>
      <c r="K32" s="20">
        <v>-572.53185174630005</v>
      </c>
      <c r="L32" s="20">
        <v>-572.61638911269995</v>
      </c>
      <c r="M32" s="20">
        <v>-572.39678413180002</v>
      </c>
      <c r="N32" s="20">
        <v>-572.6827494291</v>
      </c>
      <c r="O32" s="20">
        <v>-573.15227497180001</v>
      </c>
      <c r="P32" s="20">
        <v>-573.19158597609999</v>
      </c>
      <c r="Q32" s="20">
        <v>-573.07847254420005</v>
      </c>
      <c r="R32" s="20">
        <f>(P32-O32)*27.211324570273</f>
        <v>-1.0697044971900211</v>
      </c>
      <c r="S32" s="20">
        <f>(Q32-P32)*27.211324570273</f>
        <v>3.077966308686547</v>
      </c>
      <c r="T32" s="20">
        <f>(D32-G32-C32+F32)*27.211324570273</f>
        <v>-7.2744115609083698E-2</v>
      </c>
      <c r="U32" s="20">
        <f>(E32-H32-D32+G32)*27.211324570273</f>
        <v>-0.11322474872163178</v>
      </c>
      <c r="V32" s="20">
        <f>(L32-K32-J32+I32)*27.211324570273</f>
        <v>-2.0083457529882249</v>
      </c>
      <c r="W32" s="20">
        <f>(N32-M32-L32+K32)*27.211324570273</f>
        <v>-5.4811208052406331</v>
      </c>
      <c r="X32" s="21">
        <f>(D32+L32-K32-C32-J32+I32)*27.211324570273</f>
        <v>-3.2018344486402661</v>
      </c>
      <c r="Y32" s="21">
        <f>(P32+D32-G32+L32-K32-O32-C32+F32-J32+I32)*27.211324570273</f>
        <v>-3.1507943657842361</v>
      </c>
      <c r="Z32" s="21">
        <f>(E32+N32-M32-D32-L32+K32)*27.211324570273</f>
        <v>-2.510188388654111</v>
      </c>
      <c r="AA32" s="21">
        <f>(Q32+E32-H32+N32-M32-P32-D32+G32-L32+K32)*27.211324570273</f>
        <v>-2.5163792452788116</v>
      </c>
      <c r="AB32" s="21">
        <f>(G32-F32)*27.211324570273</f>
        <v>-1.1207445800429574</v>
      </c>
      <c r="AC32" s="21">
        <f>(P32-O32)*27.211324570273</f>
        <v>-1.0697044971900211</v>
      </c>
      <c r="AD32" s="21">
        <f>(H32-G32)*27.211324570273</f>
        <v>3.0841571653050606</v>
      </c>
      <c r="AE32" s="21">
        <f>(Q32-P32)*27.211324570273</f>
        <v>3.077966308686547</v>
      </c>
      <c r="AF32" s="20">
        <v>4.84</v>
      </c>
      <c r="AG32" s="21">
        <f t="shared" si="0"/>
        <v>-1.6381655513597337</v>
      </c>
      <c r="AH32" s="21">
        <f t="shared" si="1"/>
        <v>-1.6892056342157638</v>
      </c>
      <c r="AI32" s="21">
        <f t="shared" si="2"/>
        <v>-2.3298116113458889</v>
      </c>
      <c r="AJ32" s="21">
        <f t="shared" si="3"/>
        <v>-2.3236207547211882</v>
      </c>
      <c r="AK32" s="23">
        <v>-1.73</v>
      </c>
      <c r="AL32" s="23">
        <v>-2.35</v>
      </c>
      <c r="AM32" s="19">
        <f t="shared" si="4"/>
        <v>9.1834448640266242E-2</v>
      </c>
      <c r="AN32" s="19">
        <f t="shared" si="5"/>
        <v>4.0794365784236231E-2</v>
      </c>
      <c r="AO32" s="19">
        <f t="shared" si="6"/>
        <v>2.0188388654111211E-2</v>
      </c>
      <c r="AP32" s="19">
        <f t="shared" si="7"/>
        <v>2.6379245278811858E-2</v>
      </c>
    </row>
    <row r="33" spans="1:42" x14ac:dyDescent="0.2">
      <c r="A33" s="19" t="s">
        <v>36</v>
      </c>
      <c r="B33" s="19" t="s">
        <v>31</v>
      </c>
      <c r="C33" s="20">
        <v>-572.46912999999995</v>
      </c>
      <c r="D33" s="20">
        <v>-572.51404000000002</v>
      </c>
      <c r="E33" s="20">
        <v>-572.40248999999994</v>
      </c>
      <c r="F33" s="20">
        <v>-572.62480429649997</v>
      </c>
      <c r="G33" s="20">
        <v>-572.66709869329998</v>
      </c>
      <c r="H33" s="20">
        <v>-572.55158187129996</v>
      </c>
      <c r="I33" s="20">
        <v>-572.50450828279997</v>
      </c>
      <c r="J33" s="20">
        <v>-572.51531577050002</v>
      </c>
      <c r="K33" s="20">
        <v>-572.53151189280004</v>
      </c>
      <c r="L33" s="20">
        <v>-572.61610560639997</v>
      </c>
      <c r="M33" s="20">
        <v>-572.39644750939999</v>
      </c>
      <c r="N33" s="20">
        <v>-572.68229825790002</v>
      </c>
      <c r="O33" s="20">
        <v>-572.7951774229</v>
      </c>
      <c r="P33" s="20">
        <v>-572.83450135429996</v>
      </c>
      <c r="Q33" s="20">
        <v>-572.71818427369999</v>
      </c>
      <c r="R33" s="20">
        <f>(P33-O33)*27.211324570273</f>
        <v>-1.0700562607035413</v>
      </c>
      <c r="S33" s="20">
        <f>(Q33-P33)*27.211324570273</f>
        <v>3.1651418332723833</v>
      </c>
      <c r="T33" s="20">
        <f>(D33-G33-C33+F33)*27.211324570273</f>
        <v>-7.1174027624147485E-2</v>
      </c>
      <c r="U33" s="20">
        <f>(E33-H33-D33+G33)*27.211324570273</f>
        <v>-0.1079424809528253</v>
      </c>
      <c r="V33" s="20">
        <f>(L33-K33-J33+I33)*27.211324570273</f>
        <v>-2.0078209417771258</v>
      </c>
      <c r="W33" s="20">
        <f>(N33-M33-L33+K33)*27.211324570273</f>
        <v>-5.4764704987172532</v>
      </c>
      <c r="X33" s="21">
        <f>(D33+L33-K33-C33-J33+I33)*27.211324570273</f>
        <v>-3.2298815282300621</v>
      </c>
      <c r="Y33" s="21">
        <f>(P33+D33-G33+L33-K33-O33-C33+F33-J33+I33)*27.211324570273</f>
        <v>-3.1490512301017208</v>
      </c>
      <c r="Z33" s="21">
        <f>(E33+N33-M33-D33-L33+K33)*27.211324570273</f>
        <v>-2.4410472429042356</v>
      </c>
      <c r="AA33" s="21">
        <f>(Q33+E33-H33+N33-M33-P33-D33+G33-L33+K33)*27.211324570273</f>
        <v>-2.4192711463946015</v>
      </c>
      <c r="AB33" s="21">
        <f>(G33-F33)*27.211324570273</f>
        <v>-1.1508865588287889</v>
      </c>
      <c r="AC33" s="21">
        <f>(P33-O33)*27.211324570273</f>
        <v>-1.0700562607035413</v>
      </c>
      <c r="AD33" s="21">
        <f>(H33-G33)*27.211324570273</f>
        <v>3.1433657367689367</v>
      </c>
      <c r="AE33" s="21">
        <f>(Q33-P33)*27.211324570273</f>
        <v>3.1651418332723833</v>
      </c>
      <c r="AF33" s="20">
        <v>4.84</v>
      </c>
      <c r="AG33" s="21">
        <f t="shared" si="0"/>
        <v>-1.6101184717699377</v>
      </c>
      <c r="AH33" s="21">
        <f t="shared" si="1"/>
        <v>-1.690948769898279</v>
      </c>
      <c r="AI33" s="21">
        <f t="shared" si="2"/>
        <v>-2.3989527570957643</v>
      </c>
      <c r="AJ33" s="21">
        <f t="shared" si="3"/>
        <v>-2.4207288536053984</v>
      </c>
      <c r="AK33" s="23">
        <v>-1.73</v>
      </c>
      <c r="AL33" s="23">
        <v>-2.35</v>
      </c>
      <c r="AM33" s="19">
        <f t="shared" si="4"/>
        <v>0.11988152823006226</v>
      </c>
      <c r="AN33" s="19">
        <f t="shared" si="5"/>
        <v>3.9051230101720957E-2</v>
      </c>
      <c r="AO33" s="19">
        <f t="shared" si="6"/>
        <v>4.8952757095764188E-2</v>
      </c>
      <c r="AP33" s="19">
        <f t="shared" si="7"/>
        <v>7.0728853605398267E-2</v>
      </c>
    </row>
    <row r="34" spans="1:42" x14ac:dyDescent="0.2">
      <c r="A34" s="19" t="s">
        <v>36</v>
      </c>
      <c r="B34" s="19" t="s">
        <v>32</v>
      </c>
      <c r="C34" s="20">
        <v>-572.39277000000004</v>
      </c>
      <c r="D34" s="20">
        <v>-572.43663000000004</v>
      </c>
      <c r="E34" s="20">
        <v>-572.32745</v>
      </c>
      <c r="F34" s="20">
        <v>-572.54790568730004</v>
      </c>
      <c r="G34" s="20">
        <v>-572.58909238429999</v>
      </c>
      <c r="H34" s="20">
        <v>-572.47575144209998</v>
      </c>
      <c r="I34" s="20">
        <v>-572.50483805900001</v>
      </c>
      <c r="J34" s="20">
        <v>-572.51556991300004</v>
      </c>
      <c r="K34" s="20">
        <v>-572.53185174630005</v>
      </c>
      <c r="L34" s="20">
        <v>-572.61638911269995</v>
      </c>
      <c r="M34" s="20">
        <v>-572.39678413180002</v>
      </c>
      <c r="N34" s="20">
        <v>-572.6827494291</v>
      </c>
      <c r="O34" s="20">
        <v>-572.7503395558</v>
      </c>
      <c r="P34" s="20">
        <v>-572.78831529349998</v>
      </c>
      <c r="Q34" s="20">
        <v>-572.67385902930005</v>
      </c>
      <c r="R34" s="20">
        <f>(P34-O34)*27.211324570273</f>
        <v>-1.0333701243497229</v>
      </c>
      <c r="S34" s="20">
        <f>(Q34-P34)*27.211324570273</f>
        <v>3.1145065542452146</v>
      </c>
      <c r="T34" s="20">
        <f>(D34-G34-C34+F34)*27.211324570273</f>
        <v>-7.2744115609083698E-2</v>
      </c>
      <c r="U34" s="20">
        <f>(E34-H34-D34+G34)*27.211324570273</f>
        <v>-0.11322474872163178</v>
      </c>
      <c r="V34" s="20">
        <f>(L34-K34-J34+I34)*27.211324570273</f>
        <v>-2.0083457529882249</v>
      </c>
      <c r="W34" s="20">
        <f>(N34-M34-L34+K34)*27.211324570273</f>
        <v>-5.4811208052406331</v>
      </c>
      <c r="X34" s="21">
        <f>(D34+L34-K34-C34-J34+I34)*27.211324570273</f>
        <v>-3.2018344486402661</v>
      </c>
      <c r="Y34" s="21">
        <f>(P34+D34-G34+L34-K34-O34-C34+F34-J34+I34)*27.211324570273</f>
        <v>-3.1144599929470318</v>
      </c>
      <c r="Z34" s="21">
        <f>(E34+N34-M34-D34-L34+K34)*27.211324570273</f>
        <v>-2.510188388654111</v>
      </c>
      <c r="AA34" s="21">
        <f>(Q34+E34-H34+N34-M34-P34-D34+G34-L34+K34)*27.211324570273</f>
        <v>-2.4798389997170505</v>
      </c>
      <c r="AB34" s="21">
        <f>(G34-F34)*27.211324570273</f>
        <v>-1.1207445800429574</v>
      </c>
      <c r="AC34" s="21">
        <f>(P34-O34)*27.211324570273</f>
        <v>-1.0333701243497229</v>
      </c>
      <c r="AD34" s="21">
        <f>(H34-G34)*27.211324570273</f>
        <v>3.0841571653050606</v>
      </c>
      <c r="AE34" s="21">
        <f>(Q34-P34)*27.211324570273</f>
        <v>3.1145065542452146</v>
      </c>
      <c r="AF34" s="20">
        <v>4.84</v>
      </c>
      <c r="AG34" s="21">
        <f t="shared" si="0"/>
        <v>-1.6381655513597337</v>
      </c>
      <c r="AH34" s="21">
        <f t="shared" si="1"/>
        <v>-1.7255400070529681</v>
      </c>
      <c r="AI34" s="21">
        <f t="shared" si="2"/>
        <v>-2.3298116113458889</v>
      </c>
      <c r="AJ34" s="21">
        <f t="shared" si="3"/>
        <v>-2.3601610002829494</v>
      </c>
      <c r="AK34" s="23">
        <v>-1.73</v>
      </c>
      <c r="AL34" s="23">
        <v>-2.35</v>
      </c>
      <c r="AM34" s="19">
        <f t="shared" si="4"/>
        <v>9.1834448640266242E-2</v>
      </c>
      <c r="AN34" s="19">
        <f t="shared" si="5"/>
        <v>4.4599929470319211E-3</v>
      </c>
      <c r="AO34" s="19">
        <f t="shared" si="6"/>
        <v>2.0188388654111211E-2</v>
      </c>
      <c r="AP34" s="19">
        <f t="shared" si="7"/>
        <v>1.0161000282949306E-2</v>
      </c>
    </row>
    <row r="35" spans="1:42" x14ac:dyDescent="0.2">
      <c r="A35" s="19" t="s">
        <v>36</v>
      </c>
      <c r="B35" s="19" t="s">
        <v>33</v>
      </c>
      <c r="C35" s="20">
        <f>-572.59856</f>
        <v>-572.59856000000002</v>
      </c>
      <c r="D35" s="20">
        <v>-572.63378</v>
      </c>
      <c r="E35" s="20">
        <v>-572.55571999999995</v>
      </c>
      <c r="F35" s="20">
        <v>-572.75164245530004</v>
      </c>
      <c r="G35" s="20">
        <v>-572.78291711300005</v>
      </c>
      <c r="H35" s="20">
        <v>-572.70630918589995</v>
      </c>
      <c r="I35" s="20">
        <v>-572.50455137799997</v>
      </c>
      <c r="J35" s="20">
        <v>-572.5150725167</v>
      </c>
      <c r="K35" s="20">
        <v>-572.53170518290005</v>
      </c>
      <c r="L35" s="20">
        <v>-572.61624596800004</v>
      </c>
      <c r="M35" s="20">
        <v>-572.39508757930003</v>
      </c>
      <c r="N35" s="20">
        <v>-572.68043705360003</v>
      </c>
      <c r="O35" s="20">
        <v>-572.75124936630004</v>
      </c>
      <c r="P35" s="20">
        <v>-572.78916527130002</v>
      </c>
      <c r="Q35" s="20">
        <v>-572.67333990730003</v>
      </c>
      <c r="R35" s="20">
        <f>(P35-O35)*27.211324570273</f>
        <v>-1.0317419973300137</v>
      </c>
      <c r="S35" s="20">
        <f>(Q35-P35)*27.211324570273</f>
        <v>3.1517615732736992</v>
      </c>
      <c r="T35" s="20">
        <f>(D35-G35-C35+F35)*27.211324570273</f>
        <v>-0.10735798986534761</v>
      </c>
      <c r="U35" s="20">
        <f>(E35-H35-D35+G35)*27.211324570273</f>
        <v>3.9512826980275577E-2</v>
      </c>
      <c r="V35" s="20">
        <f>(L35-K35-J35+I35)*27.211324570273</f>
        <v>-2.0141726227661767</v>
      </c>
      <c r="W35" s="20">
        <f>(N35-M35-L35+K35)*27.211324570273</f>
        <v>-5.4642704183527231</v>
      </c>
      <c r="X35" s="21">
        <f>(D35+L35-K35-C35-J35+I35)*27.211324570273</f>
        <v>-2.972555474130679</v>
      </c>
      <c r="Y35" s="21">
        <f>(P35+D35-G35+L35-K35-O35-C35+F35-J35+I35)*27.211324570273</f>
        <v>-3.153272609961538</v>
      </c>
      <c r="Z35" s="21">
        <f>(E35+N35-M35-D35-L35+K35)*27.211324570273</f>
        <v>-3.3401544223958406</v>
      </c>
      <c r="AA35" s="21">
        <f>(Q35+E35-H35+N35-M35-P35-D35+G35-L35+K35)*27.211324570273</f>
        <v>-2.2729960180987483</v>
      </c>
      <c r="AB35" s="21">
        <f>(G35-F35)*27.211324570273</f>
        <v>-0.85102486149915468</v>
      </c>
      <c r="AC35" s="21">
        <f>(P35-O35)*27.211324570273</f>
        <v>-1.0317419973300137</v>
      </c>
      <c r="AD35" s="21">
        <f>(H35-G35)*27.211324570273</f>
        <v>2.0846031689766069</v>
      </c>
      <c r="AE35" s="21">
        <f>(Q35-P35)*27.211324570273</f>
        <v>3.1517615732736992</v>
      </c>
      <c r="AF35" s="20">
        <v>4.84</v>
      </c>
      <c r="AG35" s="21">
        <f t="shared" si="0"/>
        <v>-1.8674445258693209</v>
      </c>
      <c r="AH35" s="21">
        <f t="shared" si="1"/>
        <v>-1.6867273900384618</v>
      </c>
      <c r="AI35" s="21">
        <f t="shared" si="2"/>
        <v>-1.4998455776041593</v>
      </c>
      <c r="AJ35" s="21">
        <f t="shared" si="3"/>
        <v>-2.5670039819012516</v>
      </c>
      <c r="AK35" s="23">
        <v>-1.73</v>
      </c>
      <c r="AL35" s="23">
        <v>-2.35</v>
      </c>
      <c r="AM35" s="19">
        <f t="shared" si="4"/>
        <v>0.13744452586932088</v>
      </c>
      <c r="AN35" s="19">
        <f t="shared" si="5"/>
        <v>4.3272609961538144E-2</v>
      </c>
      <c r="AO35" s="19">
        <f t="shared" si="6"/>
        <v>0.85015442239584083</v>
      </c>
      <c r="AP35" s="19">
        <f t="shared" si="7"/>
        <v>0.21700398190125147</v>
      </c>
    </row>
    <row r="36" spans="1:42" x14ac:dyDescent="0.2">
      <c r="A36" s="19" t="s">
        <v>36</v>
      </c>
      <c r="B36" s="19" t="s">
        <v>42</v>
      </c>
      <c r="C36" s="20">
        <v>-572.59830999999997</v>
      </c>
      <c r="D36" s="20">
        <v>-572.63820999999996</v>
      </c>
      <c r="E36" s="20">
        <v>-572.52686000000006</v>
      </c>
      <c r="F36" s="20">
        <v>-572.75157462510003</v>
      </c>
      <c r="G36" s="20">
        <v>-572.7883592979</v>
      </c>
      <c r="H36" s="20">
        <v>-572.67457988909996</v>
      </c>
      <c r="I36" s="20">
        <v>-572.5045388451</v>
      </c>
      <c r="J36" s="20">
        <v>-572.51505699630002</v>
      </c>
      <c r="K36" s="20">
        <v>-572.53178667509997</v>
      </c>
      <c r="L36" s="20">
        <v>-572.61626949469996</v>
      </c>
      <c r="M36" s="20">
        <v>-572.39501356539995</v>
      </c>
      <c r="N36" s="20">
        <v>-572.68116674559997</v>
      </c>
      <c r="O36" s="20">
        <v>-572.75124674920005</v>
      </c>
      <c r="P36" s="20">
        <v>-572.78915533780003</v>
      </c>
      <c r="Q36" s="20">
        <v>-572.67349564330004</v>
      </c>
      <c r="R36" s="20">
        <f>(P36-O36)*27.211324570273</f>
        <v>-1.0315429083948897</v>
      </c>
      <c r="S36" s="20">
        <f>(Q36-P36)*27.211324570273</f>
        <v>3.1472534867376272</v>
      </c>
      <c r="T36" s="20">
        <f>(D36-G36-C36+F36)*27.211324570273</f>
        <v>-8.4772179582372764E-2</v>
      </c>
      <c r="U36" s="20">
        <f>(E36-H36-D36+G36)*27.211324570273</f>
        <v>-6.610743137448033E-2</v>
      </c>
      <c r="V36" s="20">
        <f>(L36-K36-J36+I36)*27.211324570273</f>
        <v>-2.0126765985644934</v>
      </c>
      <c r="W36" s="20">
        <f>(N36-M36-L36+K36)*27.211324570273</f>
        <v>-5.4877176384911186</v>
      </c>
      <c r="X36" s="21">
        <f>(D36+L36-K36-C36-J36+I36)*27.211324570273</f>
        <v>-3.0984084489149857</v>
      </c>
      <c r="Y36" s="21">
        <f>(P36+D36-G36+L36-K36-O36-C36+F36-J36+I36)*27.211324570273</f>
        <v>-3.1289916865448495</v>
      </c>
      <c r="Z36" s="21">
        <f>(E36+N36-M36-D36-L36+K36)*27.211324570273</f>
        <v>-2.4577366475907891</v>
      </c>
      <c r="AA36" s="21">
        <f>(Q36+E36-H36+N36-M36-P36-D36+G36-L36+K36)*27.211324570273</f>
        <v>-2.4065715831279713</v>
      </c>
      <c r="AB36" s="21">
        <f>(G36-F36)*27.211324570273</f>
        <v>-1.000959670771213</v>
      </c>
      <c r="AC36" s="21">
        <f>(P36-O36)*27.211324570273</f>
        <v>-1.0315429083948897</v>
      </c>
      <c r="AD36" s="21">
        <f>(H36-G36)*27.211324570273</f>
        <v>3.0960884222717158</v>
      </c>
      <c r="AE36" s="21">
        <f>(Q36-P36)*27.211324570273</f>
        <v>3.1472534867376272</v>
      </c>
      <c r="AF36" s="20">
        <v>4.84</v>
      </c>
      <c r="AG36" s="21">
        <f t="shared" si="0"/>
        <v>-1.7415915510850142</v>
      </c>
      <c r="AH36" s="21">
        <f t="shared" si="1"/>
        <v>-1.7110083134551504</v>
      </c>
      <c r="AI36" s="21">
        <f t="shared" si="2"/>
        <v>-2.3822633524092107</v>
      </c>
      <c r="AJ36" s="21">
        <f t="shared" si="3"/>
        <v>-2.4334284168720286</v>
      </c>
      <c r="AK36" s="23">
        <v>-1.73</v>
      </c>
      <c r="AL36" s="23">
        <v>-2.35</v>
      </c>
      <c r="AM36" s="19">
        <f t="shared" si="4"/>
        <v>1.1591551085014196E-2</v>
      </c>
      <c r="AN36" s="19">
        <f t="shared" si="5"/>
        <v>1.8991686544849617E-2</v>
      </c>
      <c r="AO36" s="19">
        <f t="shared" si="6"/>
        <v>3.2263352409210633E-2</v>
      </c>
      <c r="AP36" s="19">
        <f t="shared" si="7"/>
        <v>8.342841687202851E-2</v>
      </c>
    </row>
    <row r="37" spans="1:42" x14ac:dyDescent="0.2">
      <c r="A37" s="19" t="s">
        <v>36</v>
      </c>
      <c r="B37" s="19" t="s">
        <v>43</v>
      </c>
      <c r="C37" s="20">
        <v>-572.39277000000004</v>
      </c>
      <c r="D37" s="20">
        <v>-572.43663000000004</v>
      </c>
      <c r="E37" s="20">
        <v>-572.32745</v>
      </c>
      <c r="F37" s="20">
        <v>-572.54790568730004</v>
      </c>
      <c r="G37" s="20">
        <v>-572.58909238429999</v>
      </c>
      <c r="H37" s="20">
        <v>-572.47575144209998</v>
      </c>
      <c r="I37" s="20">
        <v>-572.50483805900001</v>
      </c>
      <c r="J37" s="20">
        <v>-572.51556991300004</v>
      </c>
      <c r="K37" s="20">
        <v>-572.53185174630005</v>
      </c>
      <c r="L37" s="20">
        <v>-572.61638911269995</v>
      </c>
      <c r="M37" s="20">
        <v>-572.39678413180002</v>
      </c>
      <c r="N37" s="20">
        <v>-572.6827494291</v>
      </c>
      <c r="O37" s="20">
        <v>-571.91319038668803</v>
      </c>
      <c r="P37" s="20">
        <v>-571.95104210928901</v>
      </c>
      <c r="Q37" s="20">
        <v>-571.84374132392395</v>
      </c>
      <c r="R37" s="20">
        <f>(P37-O37)*27.211324570273</f>
        <v>-1.0299955092391027</v>
      </c>
      <c r="S37" s="20">
        <f>(Q37-P37)*27.211324570273</f>
        <v>2.9197964972137149</v>
      </c>
      <c r="T37" s="20">
        <f>(D37-G37-C37+F37)*27.211324570273</f>
        <v>-7.2744115609083698E-2</v>
      </c>
      <c r="U37" s="20">
        <f>(E37-H37-D37+G37)*27.211324570273</f>
        <v>-0.11322474872163178</v>
      </c>
      <c r="V37" s="20">
        <f>(L37-K37-J37+I37)*27.211324570273</f>
        <v>-2.0083457529882249</v>
      </c>
      <c r="W37" s="20">
        <f>(N37-M37-L37+K37)*27.211324570273</f>
        <v>-5.4811208052406331</v>
      </c>
      <c r="X37" s="21">
        <f>(D37+L37-K37-C37-J37+I37)*27.211324570273</f>
        <v>-3.2018344486402661</v>
      </c>
      <c r="Y37" s="21">
        <f>(P37+D37-G37+L37-K37-O37-C37+F37-J37+I37)*27.211324570273</f>
        <v>-3.1110853778364116</v>
      </c>
      <c r="Z37" s="21">
        <f>(E37+N37-M37-D37-L37+K37)*27.211324570273</f>
        <v>-2.510188388654111</v>
      </c>
      <c r="AA37" s="21">
        <f>(Q37+E37-H37+N37-M37-P37-D37+G37-L37+K37)*27.211324570273</f>
        <v>-2.6745490567485501</v>
      </c>
      <c r="AB37" s="21">
        <f>(G37-F37)*27.211324570273</f>
        <v>-1.1207445800429574</v>
      </c>
      <c r="AC37" s="21">
        <f>(P37-O37)*27.211324570273</f>
        <v>-1.0299955092391027</v>
      </c>
      <c r="AD37" s="21">
        <f>(H37-G37)*27.211324570273</f>
        <v>3.0841571653050606</v>
      </c>
      <c r="AE37" s="21">
        <f>(Q37-P37)*27.211324570273</f>
        <v>2.9197964972137149</v>
      </c>
      <c r="AF37" s="20">
        <v>4.84</v>
      </c>
      <c r="AG37" s="21">
        <f t="shared" si="0"/>
        <v>-1.6381655513597337</v>
      </c>
      <c r="AH37" s="21">
        <f t="shared" si="1"/>
        <v>-1.7289146221635883</v>
      </c>
      <c r="AI37" s="21">
        <f t="shared" si="2"/>
        <v>-2.3298116113458889</v>
      </c>
      <c r="AJ37" s="21">
        <f t="shared" si="3"/>
        <v>-2.1654509432514497</v>
      </c>
      <c r="AK37" s="23">
        <v>-1.73</v>
      </c>
      <c r="AL37" s="23">
        <v>-2.35</v>
      </c>
      <c r="AM37" s="19">
        <f t="shared" si="4"/>
        <v>9.1834448640266242E-2</v>
      </c>
      <c r="AN37" s="19">
        <f t="shared" si="5"/>
        <v>1.0853778364117161E-3</v>
      </c>
      <c r="AO37" s="19">
        <f t="shared" si="6"/>
        <v>2.0188388654111211E-2</v>
      </c>
      <c r="AP37" s="19">
        <f t="shared" si="7"/>
        <v>0.18454905674855038</v>
      </c>
    </row>
    <row r="38" spans="1:42" x14ac:dyDescent="0.2">
      <c r="A38" s="19" t="s">
        <v>37</v>
      </c>
      <c r="B38" s="19" t="s">
        <v>27</v>
      </c>
      <c r="C38" s="20">
        <v>-571.13166999999999</v>
      </c>
      <c r="D38" s="20">
        <v>-571.18497000000002</v>
      </c>
      <c r="E38" s="20">
        <v>-571.07403999999997</v>
      </c>
      <c r="F38" s="20">
        <v>-571.27078449299995</v>
      </c>
      <c r="G38" s="20">
        <v>-571.31987277780001</v>
      </c>
      <c r="H38" s="20">
        <v>-571.20433411559998</v>
      </c>
      <c r="I38" s="20">
        <v>-571.35890650859994</v>
      </c>
      <c r="J38" s="20">
        <v>-571.37122166619997</v>
      </c>
      <c r="K38" s="20">
        <v>-571.3919001319</v>
      </c>
      <c r="L38" s="20">
        <v>-571.47655684300003</v>
      </c>
      <c r="M38" s="20">
        <v>-571.25227657719995</v>
      </c>
      <c r="N38" s="20">
        <v>-571.54498754660005</v>
      </c>
      <c r="O38" s="20">
        <v>-571.86124976760004</v>
      </c>
      <c r="P38" s="20">
        <v>-571.90940475310003</v>
      </c>
      <c r="Q38" s="20">
        <v>-571.79444400399996</v>
      </c>
      <c r="R38" s="20">
        <f>(P38-O38)*27.211324570273</f>
        <v>-1.3103609401170506</v>
      </c>
      <c r="S38" s="20">
        <f>(Q38-P38)*27.211324570273</f>
        <v>3.1282342566039398</v>
      </c>
      <c r="T38" s="20">
        <f>(D38-G38-C38+F38)*27.211324570273</f>
        <v>-0.114606349303987</v>
      </c>
      <c r="U38" s="20">
        <f>(E38-H38-D38+G38)*27.211324570273</f>
        <v>-0.1254078029585346</v>
      </c>
      <c r="V38" s="20">
        <f>(L38-K38-J38+I38)*27.211324570273</f>
        <v>-1.9685094922061552</v>
      </c>
      <c r="W38" s="20">
        <f>(N38-M38-L38+K38)*27.211324570273</f>
        <v>-5.6614319508309086</v>
      </c>
      <c r="X38" s="21">
        <f>(D38+L38-K38-C38-J38+I38)*27.211324570273</f>
        <v>-3.4188730918026762</v>
      </c>
      <c r="Y38" s="21">
        <f>(P38+D38-G38+L38-K38-O38-C38+F38-J38+I38)*27.211324570273</f>
        <v>-3.3934767816240989</v>
      </c>
      <c r="Z38" s="21">
        <f>(E38+N38-M38-D38-L38+K38)*27.211324570273</f>
        <v>-2.6428797162521751</v>
      </c>
      <c r="AA38" s="21">
        <f>(Q38+E38-H38+N38-M38-P38-D38+G38-L38+K38)*27.211324570273</f>
        <v>-2.6586054971916906</v>
      </c>
      <c r="AB38" s="21">
        <f>(G38-F38)*27.211324570273</f>
        <v>-1.3357572502925341</v>
      </c>
      <c r="AC38" s="21">
        <f>(P38-O38)*27.211324570273</f>
        <v>-1.3103609401170506</v>
      </c>
      <c r="AD38" s="21">
        <f>(H38-G38)*27.211324570273</f>
        <v>3.1439600375403618</v>
      </c>
      <c r="AE38" s="21">
        <f>(Q38-P38)*27.211324570273</f>
        <v>3.1282342566039398</v>
      </c>
      <c r="AF38" s="20">
        <v>4.84</v>
      </c>
      <c r="AG38" s="21">
        <f t="shared" si="0"/>
        <v>-1.4211269081973237</v>
      </c>
      <c r="AH38" s="21">
        <f t="shared" si="1"/>
        <v>-1.4465232183759009</v>
      </c>
      <c r="AI38" s="21">
        <f t="shared" si="2"/>
        <v>-2.1971202837478248</v>
      </c>
      <c r="AJ38" s="21">
        <f t="shared" si="3"/>
        <v>-2.1813945028083093</v>
      </c>
      <c r="AK38" s="23">
        <v>-1.5589999999999999</v>
      </c>
      <c r="AL38" s="23">
        <v>-2.3450000000000002</v>
      </c>
      <c r="AM38" s="19">
        <f t="shared" si="4"/>
        <v>0.13787309180267626</v>
      </c>
      <c r="AN38" s="19">
        <f t="shared" si="5"/>
        <v>0.11247678162409902</v>
      </c>
      <c r="AO38" s="19">
        <f t="shared" si="6"/>
        <v>0.14787971625217544</v>
      </c>
      <c r="AP38" s="19">
        <f t="shared" si="7"/>
        <v>0.16360549719169093</v>
      </c>
    </row>
    <row r="39" spans="1:42" x14ac:dyDescent="0.2">
      <c r="A39" s="19" t="s">
        <v>37</v>
      </c>
      <c r="B39" s="19" t="s">
        <v>145</v>
      </c>
      <c r="C39" s="20">
        <v>-570.83115999999995</v>
      </c>
      <c r="D39" s="20">
        <v>-570.88333</v>
      </c>
      <c r="E39" s="20">
        <v>-570.77224000000001</v>
      </c>
      <c r="F39" s="20">
        <v>-570.97089857399999</v>
      </c>
      <c r="G39" s="20">
        <v>-571.01964713710004</v>
      </c>
      <c r="H39" s="20">
        <v>-570.90492933309997</v>
      </c>
      <c r="I39" s="20">
        <v>-571.35940210410001</v>
      </c>
      <c r="J39" s="20">
        <v>-571.37157575020001</v>
      </c>
      <c r="K39" s="20">
        <v>-571.39235907</v>
      </c>
      <c r="L39" s="20">
        <v>-571.47686794449999</v>
      </c>
      <c r="M39" s="20">
        <v>-571.25283473169998</v>
      </c>
      <c r="N39" s="20">
        <v>-571.5455433047</v>
      </c>
      <c r="O39" s="20">
        <v>-571.57414453980005</v>
      </c>
      <c r="P39" s="20">
        <v>-571.62219421309999</v>
      </c>
      <c r="Q39" s="20">
        <v>-571.50842595690006</v>
      </c>
      <c r="R39" s="20">
        <f>(P39-O39)*27.211324570273</f>
        <v>-1.3074952556603212</v>
      </c>
      <c r="S39" s="20">
        <f>(Q39-P39)*27.211324570273</f>
        <v>3.0957849452503421</v>
      </c>
      <c r="T39" s="20">
        <f>(D39-G39-C39+F39)*27.211324570273</f>
        <v>-9.3101829982562376E-2</v>
      </c>
      <c r="U39" s="20">
        <f>(E39-H39-D39+G39)*27.211324570273</f>
        <v>-9.8717352123381771E-2</v>
      </c>
      <c r="V39" s="20">
        <f>(L39-K39-J39+I39)*27.211324570273</f>
        <v>-1.9683373778570377</v>
      </c>
      <c r="W39" s="20">
        <f>(N39-M39-L39+K39)*27.211324570273</f>
        <v>-5.665389571317534</v>
      </c>
      <c r="X39" s="21">
        <f>(D39+L39-K39-C39-J39+I39)*27.211324570273</f>
        <v>-3.3879521806894441</v>
      </c>
      <c r="Y39" s="21">
        <f>(P39+D39-G39+L39-K39-O39-C39+F39-J39+I39)*27.211324570273</f>
        <v>-3.3689344634968275</v>
      </c>
      <c r="Z39" s="21">
        <f>(E39+N39-M39-D39-L39+K39)*27.211324570273</f>
        <v>-2.6424835248061749</v>
      </c>
      <c r="AA39" s="21">
        <f>(Q39+E39-H39+N39-M39-P39-D39+G39-L39+K39)*27.211324570273</f>
        <v>-2.668321978190574</v>
      </c>
      <c r="AB39" s="21">
        <f>(G39-F39)*27.211324570273</f>
        <v>-1.3265129728498442</v>
      </c>
      <c r="AC39" s="21">
        <f>(P39-O39)*27.211324570273</f>
        <v>-1.3074952556603212</v>
      </c>
      <c r="AD39" s="21">
        <f>(H39-G39)*27.211324570273</f>
        <v>3.1216233986347413</v>
      </c>
      <c r="AE39" s="21">
        <f>(Q39-P39)*27.211324570273</f>
        <v>3.0957849452503421</v>
      </c>
      <c r="AF39" s="20">
        <v>4.84</v>
      </c>
      <c r="AG39" s="21">
        <f t="shared" si="0"/>
        <v>-1.4520478193105557</v>
      </c>
      <c r="AH39" s="21">
        <f t="shared" si="1"/>
        <v>-1.4710655365031724</v>
      </c>
      <c r="AI39" s="21">
        <f t="shared" si="2"/>
        <v>-2.197516475193825</v>
      </c>
      <c r="AJ39" s="21">
        <f t="shared" si="3"/>
        <v>-2.1716780218094258</v>
      </c>
      <c r="AK39" s="23">
        <v>-1.5589999999999999</v>
      </c>
      <c r="AL39" s="23">
        <v>-2.3450000000000002</v>
      </c>
      <c r="AM39" s="19">
        <f t="shared" si="4"/>
        <v>0.10695218068944423</v>
      </c>
      <c r="AN39" s="19">
        <f t="shared" si="5"/>
        <v>8.7934463496827542E-2</v>
      </c>
      <c r="AO39" s="19">
        <f t="shared" si="6"/>
        <v>0.14748352480617521</v>
      </c>
      <c r="AP39" s="19">
        <f t="shared" si="7"/>
        <v>0.17332197819057438</v>
      </c>
    </row>
    <row r="40" spans="1:42" x14ac:dyDescent="0.2">
      <c r="A40" s="19" t="s">
        <v>37</v>
      </c>
      <c r="B40" s="19" t="s">
        <v>29</v>
      </c>
      <c r="C40" s="20">
        <v>-571.32458999999994</v>
      </c>
      <c r="D40" s="20">
        <v>-571.37653999999998</v>
      </c>
      <c r="E40" s="20">
        <v>-571.26197000000002</v>
      </c>
      <c r="F40" s="20">
        <v>-571.4646963573</v>
      </c>
      <c r="G40" s="20">
        <v>-571.51286859870004</v>
      </c>
      <c r="H40" s="20">
        <v>-571.39452942269997</v>
      </c>
      <c r="I40" s="20">
        <v>-571.3591301573</v>
      </c>
      <c r="J40" s="20">
        <v>-571.37137409850004</v>
      </c>
      <c r="K40" s="20">
        <v>-571.39220292979996</v>
      </c>
      <c r="L40" s="20">
        <v>-571.4768583819</v>
      </c>
      <c r="M40" s="20">
        <v>-571.25272585740004</v>
      </c>
      <c r="N40" s="20">
        <v>-571.54552255930003</v>
      </c>
      <c r="O40" s="20">
        <v>-572.046788533773</v>
      </c>
      <c r="P40" s="20">
        <v>-572.09386141944401</v>
      </c>
      <c r="Q40" s="20">
        <v>-571.97574205252602</v>
      </c>
      <c r="R40" s="20">
        <f>(P40-O40)*27.211324570273</f>
        <v>-1.2809155704533113</v>
      </c>
      <c r="S40" s="20">
        <f>(Q40-P40)*27.211324570273</f>
        <v>3.2141844312407222</v>
      </c>
      <c r="T40" s="20">
        <f>(D40-G40-C40+F40)*27.211324570273</f>
        <v>-0.10279781541259701</v>
      </c>
      <c r="U40" s="20">
        <f>(E40-H40-D40+G40)*27.211324570273</f>
        <v>-0.10256427150134838</v>
      </c>
      <c r="V40" s="20">
        <f>(L40-K40-J40+I40)*27.211324570273</f>
        <v>-1.9704131257236728</v>
      </c>
      <c r="W40" s="20">
        <f>(N40-M40-L40+K40)*27.211324570273</f>
        <v>-5.6637991047687324</v>
      </c>
      <c r="X40" s="21">
        <f>(D40+L40-K40-C40-J40+I40)*27.211324570273</f>
        <v>-3.3840414371502661</v>
      </c>
      <c r="Y40" s="21">
        <f>(P40+D40-G40+L40-K40-O40-C40+F40-J40+I40)*27.211324570273</f>
        <v>-3.3541265115864878</v>
      </c>
      <c r="Z40" s="21">
        <f>(E40+N40-M40-D40-L40+K40)*27.211324570273</f>
        <v>-2.5461976487537017</v>
      </c>
      <c r="AA40" s="21">
        <f>(Q40+E40-H40+N40-M40-P40-D40+G40-L40+K40)*27.211324570273</f>
        <v>-2.5521789450293593</v>
      </c>
      <c r="AB40" s="21">
        <f>(G40-F40)*27.211324570273</f>
        <v>-1.310830496013996</v>
      </c>
      <c r="AC40" s="21">
        <f>(P40-O40)*27.211324570273</f>
        <v>-1.2809155704533113</v>
      </c>
      <c r="AD40" s="21">
        <f>(H40-G40)*27.211324570273</f>
        <v>3.2201657275163798</v>
      </c>
      <c r="AE40" s="21">
        <f>(Q40-P40)*27.211324570273</f>
        <v>3.2141844312407222</v>
      </c>
      <c r="AF40" s="20">
        <v>4.84</v>
      </c>
      <c r="AG40" s="21">
        <f t="shared" si="0"/>
        <v>-1.4559585628497338</v>
      </c>
      <c r="AH40" s="21">
        <f t="shared" si="1"/>
        <v>-1.4858734884135121</v>
      </c>
      <c r="AI40" s="21">
        <f t="shared" si="2"/>
        <v>-2.2938023512462982</v>
      </c>
      <c r="AJ40" s="21">
        <f t="shared" si="3"/>
        <v>-2.2878210549706406</v>
      </c>
      <c r="AK40" s="23">
        <v>-1.5589999999999999</v>
      </c>
      <c r="AL40" s="23">
        <v>-2.3450000000000002</v>
      </c>
      <c r="AM40" s="19">
        <f t="shared" si="4"/>
        <v>0.10304143715026615</v>
      </c>
      <c r="AN40" s="19">
        <f t="shared" si="5"/>
        <v>7.3126511586487863E-2</v>
      </c>
      <c r="AO40" s="19">
        <f t="shared" si="6"/>
        <v>5.119764875370203E-2</v>
      </c>
      <c r="AP40" s="19">
        <f t="shared" si="7"/>
        <v>5.7178945029359607E-2</v>
      </c>
    </row>
    <row r="41" spans="1:42" x14ac:dyDescent="0.2">
      <c r="A41" s="19" t="s">
        <v>37</v>
      </c>
      <c r="B41" s="19" t="s">
        <v>30</v>
      </c>
      <c r="C41" s="20">
        <v>-571.25940000000003</v>
      </c>
      <c r="D41" s="20">
        <v>-571.31051000000002</v>
      </c>
      <c r="E41" s="20">
        <v>-571.1979</v>
      </c>
      <c r="F41" s="20">
        <v>-571.39920692240003</v>
      </c>
      <c r="G41" s="20">
        <v>-571.44642779380001</v>
      </c>
      <c r="H41" s="20">
        <v>-571.32972286489996</v>
      </c>
      <c r="I41" s="20">
        <v>-571.35941957379998</v>
      </c>
      <c r="J41" s="20">
        <v>-571.37160923370004</v>
      </c>
      <c r="K41" s="20">
        <v>-571.39246088849995</v>
      </c>
      <c r="L41" s="20">
        <v>-571.47705673799999</v>
      </c>
      <c r="M41" s="20">
        <v>-571.25297392920004</v>
      </c>
      <c r="N41" s="20">
        <v>-571.54583253620001</v>
      </c>
      <c r="O41" s="20">
        <v>-571.99731303119995</v>
      </c>
      <c r="P41" s="20">
        <v>-572.04322977289996</v>
      </c>
      <c r="Q41" s="20">
        <v>-571.92651591100002</v>
      </c>
      <c r="R41" s="20">
        <f>(P41-O41)*27.211324570273</f>
        <v>-1.2494553616084072</v>
      </c>
      <c r="S41" s="20">
        <f>(Q41-P41)*27.211324570273</f>
        <v>3.1759387780092552</v>
      </c>
      <c r="T41" s="20">
        <f>(D41-G41-C41+F41)*27.211324570273</f>
        <v>-0.10582834063034932</v>
      </c>
      <c r="U41" s="20">
        <f>(E41-H41-D41+G41)*27.211324570273</f>
        <v>-0.1114284393909328</v>
      </c>
      <c r="V41" s="20">
        <f>(L41-K41-J41+I41)*27.211324570273</f>
        <v>-1.9702683261016154</v>
      </c>
      <c r="W41" s="20">
        <f>(N41-M41-L41+K41)*27.211324570273</f>
        <v>-5.667105490230866</v>
      </c>
      <c r="X41" s="21">
        <f>(D41+L41-K41-C41-J41+I41)*27.211324570273</f>
        <v>-3.3610391248850173</v>
      </c>
      <c r="Y41" s="21">
        <f>(P41+D41-G41+L41-K41-O41-C41+F41-J41+I41)*27.211324570273</f>
        <v>-3.3255520283465589</v>
      </c>
      <c r="Z41" s="21">
        <f>(E41+N41-M41-D41-L41+K41)*27.211324570273</f>
        <v>-2.6028382303719373</v>
      </c>
      <c r="AA41" s="21">
        <f>(Q41+E41-H41+N41-M41-P41-D41+G41-L41+K41)*27.211324570273</f>
        <v>-2.6025951516156374</v>
      </c>
      <c r="AB41" s="21">
        <f>(G41-F41)*27.211324570273</f>
        <v>-1.2849424581561464</v>
      </c>
      <c r="AC41" s="21">
        <f>(P41-O41)*27.211324570273</f>
        <v>-1.2494553616084072</v>
      </c>
      <c r="AD41" s="21">
        <f>(H41-G41)*27.211324570273</f>
        <v>3.1756956992498613</v>
      </c>
      <c r="AE41" s="21">
        <f>(Q41-P41)*27.211324570273</f>
        <v>3.1759387780092552</v>
      </c>
      <c r="AF41" s="20">
        <v>4.84</v>
      </c>
      <c r="AG41" s="21">
        <f t="shared" si="0"/>
        <v>-1.4789608751149825</v>
      </c>
      <c r="AH41" s="21">
        <f t="shared" si="1"/>
        <v>-1.5144479716534409</v>
      </c>
      <c r="AI41" s="21">
        <f t="shared" si="2"/>
        <v>-2.2371617696280626</v>
      </c>
      <c r="AJ41" s="21">
        <f t="shared" si="3"/>
        <v>-2.2374048483843625</v>
      </c>
      <c r="AK41" s="23">
        <v>-1.5589999999999999</v>
      </c>
      <c r="AL41" s="23">
        <v>-2.3450000000000002</v>
      </c>
      <c r="AM41" s="19">
        <f t="shared" si="4"/>
        <v>8.003912488501741E-2</v>
      </c>
      <c r="AN41" s="19">
        <f t="shared" si="5"/>
        <v>4.4552028346559025E-2</v>
      </c>
      <c r="AO41" s="19">
        <f t="shared" si="6"/>
        <v>0.10783823037193763</v>
      </c>
      <c r="AP41" s="19">
        <f t="shared" si="7"/>
        <v>0.10759515161563771</v>
      </c>
    </row>
    <row r="42" spans="1:42" x14ac:dyDescent="0.2">
      <c r="A42" s="19" t="s">
        <v>37</v>
      </c>
      <c r="B42" s="19" t="s">
        <v>31</v>
      </c>
      <c r="C42" s="20">
        <v>-571.32458999999994</v>
      </c>
      <c r="D42" s="20">
        <v>-571.37653999999998</v>
      </c>
      <c r="E42" s="20">
        <v>-571.26197000000002</v>
      </c>
      <c r="F42" s="20">
        <v>-571.4646963573</v>
      </c>
      <c r="G42" s="20">
        <v>-571.51286859870004</v>
      </c>
      <c r="H42" s="20">
        <v>-571.39452942269997</v>
      </c>
      <c r="I42" s="20">
        <v>-571.3591301573</v>
      </c>
      <c r="J42" s="20">
        <v>-571.37137409850004</v>
      </c>
      <c r="K42" s="20">
        <v>-571.39220292979996</v>
      </c>
      <c r="L42" s="20">
        <v>-571.4768583819</v>
      </c>
      <c r="M42" s="20">
        <v>-571.25272585740004</v>
      </c>
      <c r="N42" s="20">
        <v>-571.54552255930003</v>
      </c>
      <c r="O42" s="20">
        <v>-571.63859334450001</v>
      </c>
      <c r="P42" s="20">
        <v>-571.68430832709998</v>
      </c>
      <c r="Q42" s="20">
        <v>-571.56503916270003</v>
      </c>
      <c r="R42" s="20">
        <f>(P42-O42)*27.211324570273</f>
        <v>-1.2439652292523016</v>
      </c>
      <c r="S42" s="20">
        <f>(Q42-P42)*27.211324570273</f>
        <v>3.2454719437123543</v>
      </c>
      <c r="T42" s="20">
        <f>(D42-G42-C42+F42)*27.211324570273</f>
        <v>-0.10279781541259701</v>
      </c>
      <c r="U42" s="20">
        <f>(E42-H42-D42+G42)*27.211324570273</f>
        <v>-0.10256427150134838</v>
      </c>
      <c r="V42" s="20">
        <f>(L42-K42-J42+I42)*27.211324570273</f>
        <v>-1.9704131257236728</v>
      </c>
      <c r="W42" s="20">
        <f>(N42-M42-L42+K42)*27.211324570273</f>
        <v>-5.6637991047687324</v>
      </c>
      <c r="X42" s="21">
        <f>(D42+L42-K42-C42-J42+I42)*27.211324570273</f>
        <v>-3.3840414371502661</v>
      </c>
      <c r="Y42" s="21">
        <f>(P42+D42-G42+L42-K42-O42-C42+F42-J42+I42)*27.211324570273</f>
        <v>-3.3171761703823845</v>
      </c>
      <c r="Z42" s="21">
        <f>(E42+N42-M42-D42-L42+K42)*27.211324570273</f>
        <v>-2.5461976487537017</v>
      </c>
      <c r="AA42" s="21">
        <f>(Q42+E42-H42+N42-M42-P42-D42+G42-L42+K42)*27.211324570273</f>
        <v>-2.5208914325546337</v>
      </c>
      <c r="AB42" s="21">
        <f>(G42-F42)*27.211324570273</f>
        <v>-1.310830496013996</v>
      </c>
      <c r="AC42" s="21">
        <f>(P42-O42)*27.211324570273</f>
        <v>-1.2439652292523016</v>
      </c>
      <c r="AD42" s="21">
        <f>(H42-G42)*27.211324570273</f>
        <v>3.2201657275163798</v>
      </c>
      <c r="AE42" s="21">
        <f>(Q42-P42)*27.211324570273</f>
        <v>3.2454719437123543</v>
      </c>
      <c r="AF42" s="20">
        <v>4.84</v>
      </c>
      <c r="AG42" s="21">
        <f t="shared" si="0"/>
        <v>-1.4559585628497338</v>
      </c>
      <c r="AH42" s="21">
        <f t="shared" si="1"/>
        <v>-1.5228238296176153</v>
      </c>
      <c r="AI42" s="21">
        <f t="shared" si="2"/>
        <v>-2.2938023512462982</v>
      </c>
      <c r="AJ42" s="21">
        <f t="shared" si="3"/>
        <v>-2.3191085674453662</v>
      </c>
      <c r="AK42" s="23">
        <v>-1.5589999999999999</v>
      </c>
      <c r="AL42" s="23">
        <v>-2.3450000000000002</v>
      </c>
      <c r="AM42" s="19">
        <f t="shared" si="4"/>
        <v>0.10304143715026615</v>
      </c>
      <c r="AN42" s="19">
        <f t="shared" si="5"/>
        <v>3.6176170382384631E-2</v>
      </c>
      <c r="AO42" s="19">
        <f t="shared" si="6"/>
        <v>5.119764875370203E-2</v>
      </c>
      <c r="AP42" s="19">
        <f t="shared" si="7"/>
        <v>2.5891432554633997E-2</v>
      </c>
    </row>
    <row r="43" spans="1:42" x14ac:dyDescent="0.2">
      <c r="A43" s="19" t="s">
        <v>37</v>
      </c>
      <c r="B43" s="19" t="s">
        <v>32</v>
      </c>
      <c r="C43" s="20">
        <v>-571.25940000000003</v>
      </c>
      <c r="D43" s="20">
        <v>-571.31051000000002</v>
      </c>
      <c r="E43" s="20">
        <v>-571.1979</v>
      </c>
      <c r="F43" s="20">
        <v>-571.39920692240003</v>
      </c>
      <c r="G43" s="20">
        <v>-571.44642779380001</v>
      </c>
      <c r="H43" s="20">
        <v>-571.32972286489996</v>
      </c>
      <c r="I43" s="20">
        <v>-571.35941957379998</v>
      </c>
      <c r="J43" s="20">
        <v>-571.37160923370004</v>
      </c>
      <c r="K43" s="20">
        <v>-571.39246088849995</v>
      </c>
      <c r="L43" s="20">
        <v>-571.47705673799999</v>
      </c>
      <c r="M43" s="20">
        <v>-571.25297392920004</v>
      </c>
      <c r="N43" s="20">
        <v>-571.54583253620001</v>
      </c>
      <c r="O43" s="20">
        <v>-571.60560542350004</v>
      </c>
      <c r="P43" s="20">
        <v>-571.65018696959999</v>
      </c>
      <c r="Q43" s="20">
        <v>-571.532279582</v>
      </c>
      <c r="R43" s="20">
        <f>(P43-O43)*27.211324570273</f>
        <v>-1.2131229207702832</v>
      </c>
      <c r="S43" s="20">
        <f>(Q43-P43)*27.211324570273</f>
        <v>3.2084161932161672</v>
      </c>
      <c r="T43" s="20">
        <f>(D43-G43-C43+F43)*27.211324570273</f>
        <v>-0.10582834063034932</v>
      </c>
      <c r="U43" s="20">
        <f>(E43-H43-D43+G43)*27.211324570273</f>
        <v>-0.1114284393909328</v>
      </c>
      <c r="V43" s="20">
        <f>(L43-K43-J43+I43)*27.211324570273</f>
        <v>-1.9702683261016154</v>
      </c>
      <c r="W43" s="20">
        <f>(N43-M43-L43+K43)*27.211324570273</f>
        <v>-5.667105490230866</v>
      </c>
      <c r="X43" s="21">
        <f>(D43+L43-K43-C43-J43+I43)*27.211324570273</f>
        <v>-3.3610391248850173</v>
      </c>
      <c r="Y43" s="21">
        <f>(P43+D43-G43+L43-K43-O43-C43+F43-J43+I43)*27.211324570273</f>
        <v>-3.2892195875084349</v>
      </c>
      <c r="Z43" s="21">
        <f>(E43+N43-M43-D43-L43+K43)*27.211324570273</f>
        <v>-2.6028382303719373</v>
      </c>
      <c r="AA43" s="21">
        <f>(Q43+E43-H43+N43-M43-P43-D43+G43-L43+K43)*27.211324570273</f>
        <v>-2.5701177364025378</v>
      </c>
      <c r="AB43" s="21">
        <f>(G43-F43)*27.211324570273</f>
        <v>-1.2849424581561464</v>
      </c>
      <c r="AC43" s="21">
        <f>(P43-O43)*27.211324570273</f>
        <v>-1.2131229207702832</v>
      </c>
      <c r="AD43" s="21">
        <f>(H43-G43)*27.211324570273</f>
        <v>3.1756956992498613</v>
      </c>
      <c r="AE43" s="21">
        <f>(Q43-P43)*27.211324570273</f>
        <v>3.2084161932161672</v>
      </c>
      <c r="AF43" s="20">
        <v>4.84</v>
      </c>
      <c r="AG43" s="21">
        <f t="shared" si="0"/>
        <v>-1.4789608751149825</v>
      </c>
      <c r="AH43" s="21">
        <f t="shared" si="1"/>
        <v>-1.550780412491565</v>
      </c>
      <c r="AI43" s="21">
        <f t="shared" si="2"/>
        <v>-2.2371617696280626</v>
      </c>
      <c r="AJ43" s="21">
        <f t="shared" si="3"/>
        <v>-2.269882263597462</v>
      </c>
      <c r="AK43" s="23">
        <v>-1.5589999999999999</v>
      </c>
      <c r="AL43" s="23">
        <v>-2.3450000000000002</v>
      </c>
      <c r="AM43" s="19">
        <f t="shared" si="4"/>
        <v>8.003912488501741E-2</v>
      </c>
      <c r="AN43" s="19">
        <f t="shared" si="5"/>
        <v>8.219587508434989E-3</v>
      </c>
      <c r="AO43" s="19">
        <f t="shared" si="6"/>
        <v>0.10783823037193763</v>
      </c>
      <c r="AP43" s="19">
        <f t="shared" si="7"/>
        <v>7.511773640253816E-2</v>
      </c>
    </row>
    <row r="44" spans="1:42" x14ac:dyDescent="0.2">
      <c r="A44" s="19" t="s">
        <v>37</v>
      </c>
      <c r="B44" s="19" t="s">
        <v>33</v>
      </c>
      <c r="C44" s="20">
        <f>-571.46891</f>
        <v>-571.46891000000005</v>
      </c>
      <c r="D44" s="20">
        <v>-571.51274999999998</v>
      </c>
      <c r="E44" s="20">
        <v>-571.48009000000002</v>
      </c>
      <c r="F44" s="20">
        <v>-571.60663320169999</v>
      </c>
      <c r="G44" s="20">
        <v>-571.64663639150001</v>
      </c>
      <c r="H44" s="20">
        <v>-571.61727914430003</v>
      </c>
      <c r="I44" s="20">
        <v>-571.35915488549995</v>
      </c>
      <c r="J44" s="20">
        <v>-571.3711563462</v>
      </c>
      <c r="K44" s="20">
        <v>-571.39230088260001</v>
      </c>
      <c r="L44" s="20">
        <v>-571.4768711442</v>
      </c>
      <c r="M44" s="20">
        <v>-571.23157791300002</v>
      </c>
      <c r="N44" s="20">
        <v>-571.52425705869996</v>
      </c>
      <c r="O44" s="20">
        <v>-571.60645686010002</v>
      </c>
      <c r="P44" s="20">
        <v>-571.6508827312</v>
      </c>
      <c r="Q44" s="20">
        <v>-571.5139786172</v>
      </c>
      <c r="R44" s="20">
        <f>(P44-O44)*27.211324570273</f>
        <v>-1.2088867978185243</v>
      </c>
      <c r="S44" s="20">
        <f>(Q44-P44)*27.211324570273</f>
        <v>3.7253422810597532</v>
      </c>
      <c r="T44" s="20">
        <f>(D44-G44-C44+F44)*27.211324570273</f>
        <v>-0.10440468766439384</v>
      </c>
      <c r="U44" s="20">
        <f>(E44-H44-D44+G44)*27.211324570273</f>
        <v>8.9872278415689372E-2</v>
      </c>
      <c r="V44" s="20">
        <f>(L44-K44-J44+I44)*27.211324570273</f>
        <v>-1.9746931949638984</v>
      </c>
      <c r="W44" s="20">
        <f>(N44-M44-L44+K44)*27.211324570273</f>
        <v>-5.6629183912008685</v>
      </c>
      <c r="X44" s="21">
        <f>(D44+L44-K44-C44-J44+I44)*27.211324570273</f>
        <v>-3.1676376641259081</v>
      </c>
      <c r="Y44" s="21">
        <f>(P44+D44-G44+L44-K44-O44-C44+F44-J44+I44)*27.211324570273</f>
        <v>-3.2879846804468165</v>
      </c>
      <c r="Z44" s="21">
        <f>(E44+N44-M44-D44-L44+K44)*27.211324570273</f>
        <v>-4.774196530736722</v>
      </c>
      <c r="AA44" s="21">
        <f>(Q44+E44-H44+N44-M44-P44-D44+G44-L44+K44)*27.211324570273</f>
        <v>-1.8477038317223327</v>
      </c>
      <c r="AB44" s="21">
        <f>(G44-F44)*27.211324570273</f>
        <v>-1.0885397814945224</v>
      </c>
      <c r="AC44" s="21">
        <f>(P44-O44)*27.211324570273</f>
        <v>-1.2088867978185243</v>
      </c>
      <c r="AD44" s="21">
        <f>(H44-G44)*27.211324570273</f>
        <v>0.79884958204845768</v>
      </c>
      <c r="AE44" s="21">
        <f>(Q44-P44)*27.211324570273</f>
        <v>3.7253422810597532</v>
      </c>
      <c r="AF44" s="20">
        <v>4.84</v>
      </c>
      <c r="AG44" s="21">
        <f t="shared" si="0"/>
        <v>-1.6723623358740918</v>
      </c>
      <c r="AH44" s="21">
        <f t="shared" si="1"/>
        <v>-1.5520153195531834</v>
      </c>
      <c r="AI44" s="21">
        <f t="shared" si="2"/>
        <v>-6.5803469263277847E-2</v>
      </c>
      <c r="AJ44" s="21">
        <f t="shared" si="3"/>
        <v>-2.992296168277667</v>
      </c>
      <c r="AK44" s="23">
        <v>-1.5589999999999999</v>
      </c>
      <c r="AL44" s="23">
        <v>-2.3450000000000002</v>
      </c>
      <c r="AM44" s="19">
        <f t="shared" si="4"/>
        <v>0.11336233587409184</v>
      </c>
      <c r="AN44" s="19">
        <f t="shared" si="5"/>
        <v>6.9846804468165491E-3</v>
      </c>
      <c r="AO44" s="19">
        <f t="shared" si="6"/>
        <v>2.2791965307367223</v>
      </c>
      <c r="AP44" s="19">
        <f t="shared" si="7"/>
        <v>0.64729616827766678</v>
      </c>
    </row>
    <row r="45" spans="1:42" x14ac:dyDescent="0.2">
      <c r="A45" s="19" t="s">
        <v>37</v>
      </c>
      <c r="B45" s="19" t="s">
        <v>42</v>
      </c>
      <c r="C45" s="20">
        <v>-571.46874000000003</v>
      </c>
      <c r="D45" s="20">
        <v>-571.51563999999996</v>
      </c>
      <c r="E45" s="20">
        <v>-571.47792000000004</v>
      </c>
      <c r="F45" s="20">
        <v>-571.60679040039997</v>
      </c>
      <c r="G45" s="20">
        <v>-571.64854333929998</v>
      </c>
      <c r="H45" s="20">
        <v>-571.61476568600006</v>
      </c>
      <c r="I45" s="20">
        <v>-571.35914742299997</v>
      </c>
      <c r="J45" s="20">
        <v>-571.37114832930001</v>
      </c>
      <c r="K45" s="20">
        <v>-571.39232294579995</v>
      </c>
      <c r="L45" s="20">
        <v>-571.47687234069997</v>
      </c>
      <c r="M45" s="20">
        <v>-571.23475127999995</v>
      </c>
      <c r="N45" s="20">
        <v>-571.52741573050002</v>
      </c>
      <c r="O45" s="20">
        <v>-571.60645655990004</v>
      </c>
      <c r="P45" s="20">
        <v>-571.65097859089997</v>
      </c>
      <c r="Q45" s="20">
        <v>-571.51703999569997</v>
      </c>
      <c r="R45" s="20">
        <f>(P45-O45)*27.211324570273</f>
        <v>-1.2115034360668127</v>
      </c>
      <c r="S45" s="20">
        <f>(Q45-P45)*27.211324570273</f>
        <v>3.6446465864734177</v>
      </c>
      <c r="T45" s="20">
        <f>(D45-G45-C45+F45)*27.211324570273</f>
        <v>-0.14005835017330664</v>
      </c>
      <c r="U45" s="20">
        <f>(E45-H45-D45+G45)*27.211324570273</f>
        <v>0.10727647562226096</v>
      </c>
      <c r="V45" s="20">
        <f>(L45-K45-J45+I45)*27.211324570273</f>
        <v>-1.9741404703767422</v>
      </c>
      <c r="W45" s="20">
        <f>(N45-M45-L45+K45)*27.211324570273</f>
        <v>-5.6630863258932802</v>
      </c>
      <c r="X45" s="21">
        <f>(D45+L45-K45-C45-J45+I45)*27.211324570273</f>
        <v>-3.2503515927208286</v>
      </c>
      <c r="Y45" s="21">
        <f>(P45+D45-G45+L45-K45-O45-C45+F45-J45+I45)*27.211324570273</f>
        <v>-3.3257022566168617</v>
      </c>
      <c r="Z45" s="21">
        <f>(E45+N45-M45-D45-L45+K45)*27.211324570273</f>
        <v>-4.6366751631047043</v>
      </c>
      <c r="AA45" s="21">
        <f>(Q45+E45-H45+N45-M45-P45-D45+G45-L45+K45)*27.211324570273</f>
        <v>-1.9111632637945077</v>
      </c>
      <c r="AB45" s="21">
        <f>(G45-F45)*27.211324570273</f>
        <v>-1.1361527721707796</v>
      </c>
      <c r="AC45" s="21">
        <f>(P45-O45)*27.211324570273</f>
        <v>-1.2115034360668127</v>
      </c>
      <c r="AD45" s="21">
        <f>(H45-G45)*27.211324570273</f>
        <v>0.91913468716631519</v>
      </c>
      <c r="AE45" s="21">
        <f>(Q45-P45)*27.211324570273</f>
        <v>3.6446465864734177</v>
      </c>
      <c r="AF45" s="20">
        <v>4.84</v>
      </c>
      <c r="AG45" s="21">
        <f t="shared" si="0"/>
        <v>-1.5896484072791712</v>
      </c>
      <c r="AH45" s="21">
        <f t="shared" si="1"/>
        <v>-1.5142977433831382</v>
      </c>
      <c r="AI45" s="21">
        <f t="shared" si="2"/>
        <v>-0.20332483689529557</v>
      </c>
      <c r="AJ45" s="21">
        <f t="shared" si="3"/>
        <v>-2.9288367362054921</v>
      </c>
      <c r="AK45" s="23">
        <v>-1.5589999999999999</v>
      </c>
      <c r="AL45" s="23">
        <v>-2.3450000000000002</v>
      </c>
      <c r="AM45" s="19">
        <f t="shared" si="4"/>
        <v>3.0648407279171286E-2</v>
      </c>
      <c r="AN45" s="19">
        <f t="shared" si="5"/>
        <v>4.470225661686178E-2</v>
      </c>
      <c r="AO45" s="19">
        <f t="shared" si="6"/>
        <v>2.1416751631047046</v>
      </c>
      <c r="AP45" s="19">
        <f t="shared" si="7"/>
        <v>0.58383673620549192</v>
      </c>
    </row>
    <row r="46" spans="1:42" x14ac:dyDescent="0.2">
      <c r="A46" s="19" t="s">
        <v>37</v>
      </c>
      <c r="B46" s="19" t="s">
        <v>43</v>
      </c>
      <c r="C46" s="20">
        <v>-571.25940000000003</v>
      </c>
      <c r="D46" s="20">
        <v>-571.31051000000002</v>
      </c>
      <c r="E46" s="20">
        <v>-571.1979</v>
      </c>
      <c r="F46" s="20">
        <v>-571.39920692240003</v>
      </c>
      <c r="G46" s="20">
        <v>-571.44642779380001</v>
      </c>
      <c r="H46" s="20">
        <v>-571.32972286489996</v>
      </c>
      <c r="I46" s="20">
        <v>-571.35941957379998</v>
      </c>
      <c r="J46" s="20">
        <v>-571.37160923370004</v>
      </c>
      <c r="K46" s="20">
        <v>-571.39246088849995</v>
      </c>
      <c r="L46" s="20">
        <v>-571.47705673799999</v>
      </c>
      <c r="M46" s="20">
        <v>-571.25297392920004</v>
      </c>
      <c r="N46" s="20">
        <v>-571.54583253620001</v>
      </c>
      <c r="O46" s="20">
        <v>-570.75834667119102</v>
      </c>
      <c r="P46" s="20">
        <v>-570.80241546326795</v>
      </c>
      <c r="Q46" s="20">
        <v>-570.69004961969495</v>
      </c>
      <c r="R46" s="20">
        <f>(P46-O46)*27.211324570273</f>
        <v>-1.199170204625158</v>
      </c>
      <c r="S46" s="20">
        <f>(Q46-P46)*27.211324570273</f>
        <v>3.0576234400774864</v>
      </c>
      <c r="T46" s="20">
        <f>(D46-G46-C46+F46)*27.211324570273</f>
        <v>-0.10582834063034932</v>
      </c>
      <c r="U46" s="20">
        <f>(E46-H46-D46+G46)*27.211324570273</f>
        <v>-0.1114284393909328</v>
      </c>
      <c r="V46" s="20">
        <f>(L46-K46-J46+I46)*27.211324570273</f>
        <v>-1.9702683261016154</v>
      </c>
      <c r="W46" s="20">
        <f>(N46-M46-L46+K46)*27.211324570273</f>
        <v>-5.667105490230866</v>
      </c>
      <c r="X46" s="21">
        <f>(D46+L46-K46-C46-J46+I46)*27.211324570273</f>
        <v>-3.3610391248850173</v>
      </c>
      <c r="Y46" s="21">
        <f>(P46+D46-G46+L46-K46-O46-C46+F46-J46+I46)*27.211324570273</f>
        <v>-3.2752668713571231</v>
      </c>
      <c r="Z46" s="21">
        <f>(E46+N46-M46-D46-L46+K46)*27.211324570273</f>
        <v>-2.6028382303719373</v>
      </c>
      <c r="AA46" s="21">
        <f>(Q46+E46-H46+N46-M46-P46-D46+G46-L46+K46)*27.211324570273</f>
        <v>-2.7209104895474061</v>
      </c>
      <c r="AB46" s="21">
        <f>(G46-F46)*27.211324570273</f>
        <v>-1.2849424581561464</v>
      </c>
      <c r="AC46" s="21">
        <f>(P46-O46)*27.211324570273</f>
        <v>-1.199170204625158</v>
      </c>
      <c r="AD46" s="21">
        <f>(H46-G46)*27.211324570273</f>
        <v>3.1756956992498613</v>
      </c>
      <c r="AE46" s="21">
        <f>(Q46-P46)*27.211324570273</f>
        <v>3.0576234400774864</v>
      </c>
      <c r="AF46" s="20">
        <v>4.84</v>
      </c>
      <c r="AG46" s="21">
        <f t="shared" si="0"/>
        <v>-1.4789608751149825</v>
      </c>
      <c r="AH46" s="21">
        <f t="shared" si="1"/>
        <v>-1.5647331286428767</v>
      </c>
      <c r="AI46" s="21">
        <f t="shared" si="2"/>
        <v>-2.2371617696280626</v>
      </c>
      <c r="AJ46" s="21">
        <f t="shared" si="3"/>
        <v>-2.1190895104525937</v>
      </c>
      <c r="AK46" s="23">
        <v>-1.5589999999999999</v>
      </c>
      <c r="AL46" s="23">
        <v>-2.3450000000000002</v>
      </c>
      <c r="AM46" s="19">
        <f t="shared" si="4"/>
        <v>8.003912488501741E-2</v>
      </c>
      <c r="AN46" s="19">
        <f t="shared" si="5"/>
        <v>5.7331286428767836E-3</v>
      </c>
      <c r="AO46" s="19">
        <f t="shared" si="6"/>
        <v>0.10783823037193763</v>
      </c>
      <c r="AP46" s="19">
        <f t="shared" si="7"/>
        <v>0.22591048954740645</v>
      </c>
    </row>
    <row r="47" spans="1:42" x14ac:dyDescent="0.2">
      <c r="A47" s="19" t="s">
        <v>38</v>
      </c>
      <c r="B47" s="19" t="s">
        <v>27</v>
      </c>
      <c r="C47" s="20">
        <v>-604.33475999999996</v>
      </c>
      <c r="D47" s="20">
        <v>-604.41040999999996</v>
      </c>
      <c r="E47" s="20">
        <v>-604.32551000000001</v>
      </c>
      <c r="F47" s="20">
        <v>-604.46447311600002</v>
      </c>
      <c r="G47" s="20">
        <v>-604.53830847459994</v>
      </c>
      <c r="H47" s="20">
        <v>-604.45132241939996</v>
      </c>
      <c r="I47" s="20">
        <v>-604.56988504859999</v>
      </c>
      <c r="J47" s="20">
        <v>-604.58125164390003</v>
      </c>
      <c r="K47" s="20">
        <v>-604.62642521240002</v>
      </c>
      <c r="L47" s="20">
        <v>-604.70304097940004</v>
      </c>
      <c r="M47" s="20">
        <v>-604.51919500890006</v>
      </c>
      <c r="N47" s="20">
        <v>-604.79271997210003</v>
      </c>
      <c r="O47" s="20">
        <v>-605.0972364621</v>
      </c>
      <c r="P47" s="20">
        <v>-605.1698664736</v>
      </c>
      <c r="Q47" s="20">
        <v>-605.08375994079995</v>
      </c>
      <c r="R47" s="20">
        <f>(P47-O47)*27.211324570273</f>
        <v>-1.9763588164690467</v>
      </c>
      <c r="S47" s="20">
        <f>(Q47-P47)*27.211324570273</f>
        <v>2.3430728116428821</v>
      </c>
      <c r="T47" s="20">
        <f>(D47-G47-C47+F47)*27.211324570273</f>
        <v>-4.9378796116066166E-2</v>
      </c>
      <c r="U47" s="20">
        <f>(E47-H47-D47+G47)*27.211324570273</f>
        <v>-5.6764325119755363E-2</v>
      </c>
      <c r="V47" s="20">
        <f>(L47-K47-J47+I47)*27.211324570273</f>
        <v>-1.7755163890694858</v>
      </c>
      <c r="W47" s="20">
        <f>(N47-M47-L47+K47)*27.211324570273</f>
        <v>-5.3581600486685108</v>
      </c>
      <c r="X47" s="21">
        <f>(D47+L47-K47-C47-J47+I47)*27.211324570273</f>
        <v>-3.8340530928136229</v>
      </c>
      <c r="Y47" s="21">
        <f>(P47+D47-G47+L47-K47-O47-C47+F47-J47+I47)*27.211324570273</f>
        <v>-3.8012540016576923</v>
      </c>
      <c r="Z47" s="21">
        <f>(E47+N47-M47-D47-L47+K47)*27.211324570273</f>
        <v>-3.0479185926506602</v>
      </c>
      <c r="AA47" s="21">
        <f>(Q47+E47-H47+N47-M47-P47-D47+G47-L47+K47)*27.211324570273</f>
        <v>-3.0718515621453841</v>
      </c>
      <c r="AB47" s="21">
        <f>(G47-F47)*27.211324570273</f>
        <v>-2.0091579076249775</v>
      </c>
      <c r="AC47" s="21">
        <f>(P47-O47)*27.211324570273</f>
        <v>-1.9763588164690467</v>
      </c>
      <c r="AD47" s="21">
        <f>(H47-G47)*27.211324570273</f>
        <v>2.3670057811345124</v>
      </c>
      <c r="AE47" s="21">
        <f>(Q47-P47)*27.211324570273</f>
        <v>2.3430728116428821</v>
      </c>
      <c r="AF47" s="20">
        <v>4.84</v>
      </c>
      <c r="AG47" s="21">
        <f t="shared" si="0"/>
        <v>-1.0059469071863769</v>
      </c>
      <c r="AH47" s="21">
        <f t="shared" si="1"/>
        <v>-1.0387459983423075</v>
      </c>
      <c r="AI47" s="21">
        <f t="shared" si="2"/>
        <v>-1.7920814073493396</v>
      </c>
      <c r="AJ47" s="21">
        <f t="shared" si="3"/>
        <v>-1.7681484378546157</v>
      </c>
      <c r="AK47" s="23">
        <v>-1.1890000000000001</v>
      </c>
      <c r="AL47" s="23">
        <v>-1.895</v>
      </c>
      <c r="AM47" s="19">
        <f t="shared" si="4"/>
        <v>0.18305309281362314</v>
      </c>
      <c r="AN47" s="19">
        <f t="shared" si="5"/>
        <v>0.15025400165769254</v>
      </c>
      <c r="AO47" s="19">
        <f t="shared" si="6"/>
        <v>0.10291859265066039</v>
      </c>
      <c r="AP47" s="19">
        <f t="shared" si="7"/>
        <v>0.12685156214538429</v>
      </c>
    </row>
    <row r="48" spans="1:42" x14ac:dyDescent="0.2">
      <c r="A48" s="19" t="s">
        <v>38</v>
      </c>
      <c r="B48" s="19" t="s">
        <v>145</v>
      </c>
      <c r="C48" s="20">
        <v>-604.02819999999997</v>
      </c>
      <c r="D48" s="20">
        <v>-604.09834999999998</v>
      </c>
      <c r="E48" s="20">
        <v>-604.01400000000001</v>
      </c>
      <c r="F48" s="20">
        <v>-604.15817355800004</v>
      </c>
      <c r="G48" s="20">
        <v>-604.22836416810003</v>
      </c>
      <c r="H48" s="20">
        <v>-604.14231180729996</v>
      </c>
      <c r="I48" s="20">
        <v>-604.57037041750004</v>
      </c>
      <c r="J48" s="20">
        <v>-604.5816297307</v>
      </c>
      <c r="K48" s="20">
        <v>-604.62674927789999</v>
      </c>
      <c r="L48" s="20">
        <v>-604.70319269950005</v>
      </c>
      <c r="M48" s="20">
        <v>-604.51977819570004</v>
      </c>
      <c r="N48" s="20">
       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     <f>(P48-O48)*27.211324570273</f>
        <v>-1.894566927276059</v>
      </c>
      <c r="S48" s="20">
        <f>(Q48-P48)*27.211324570273</f>
        <v>2.2867600421274279</v>
      </c>
      <c r="T48" s="20">
        <f>(D48-G48-C48+F48)*27.211324570273</f>
        <v>1.1050546111851702E-3</v>
      </c>
      <c r="U48" s="20">
        <f>(E48-H48-D48+G48)*27.211324570273</f>
        <v>-4.6323492267106872E-2</v>
      </c>
      <c r="V48" s="20">
        <f>(L48-K48-J48+I48)*27.211324570273</f>
        <v>-1.7737459304990741</v>
      </c>
      <c r="W48" s="20">
        <f>(N48-M48-L48+K48)*27.211324570273</f>
        <v>-5.3565070314480128</v>
      </c>
      <c r="X48" s="21">
        <f>(D48+L48-K48-C48-J48+I48)*27.211324570273</f>
        <v>-3.6826203491040617</v>
      </c>
      <c r="Y48" s="21">
        <f>(P48+D48-G48+L48-K48-O48-C48+F48-J48+I48)*27.211324570273</f>
        <v>-3.6672078031670416</v>
      </c>
      <c r="Z48" s="21">
        <f>(E48+N48-M48-D48-L48+K48)*27.211324570273</f>
        <v>-3.0612318039493362</v>
      </c>
      <c r="AA48" s="21">
        <f>(Q48+E48-H48+N48-M48-P48-D48+G48-L48+K48)*27.211324570273</f>
        <v>-3.1160704815876916</v>
      </c>
      <c r="AB48" s="21">
        <f>(G48-F48)*27.211324570273</f>
        <v>-1.9099794732161728</v>
      </c>
      <c r="AC48" s="21">
        <f>(P48-O48)*27.211324570273</f>
        <v>-1.894566927276059</v>
      </c>
      <c r="AD48" s="21">
        <f>(H48-G48)*27.211324570273</f>
        <v>2.3415987197688772</v>
      </c>
      <c r="AE48" s="21">
        <f>(Q48-P48)*27.211324570273</f>
        <v>2.2867600421274279</v>
      </c>
      <c r="AF48" s="20">
        <v>4.84</v>
      </c>
      <c r="AG48" s="21">
        <f t="shared" si="0"/>
        <v>-1.1573796508959382</v>
      </c>
      <c r="AH48" s="21">
        <f t="shared" si="1"/>
        <v>-1.1727921968329582</v>
      </c>
      <c r="AI48" s="21">
        <f t="shared" si="2"/>
        <v>-1.7787681960506636</v>
      </c>
      <c r="AJ48" s="21">
        <f t="shared" si="3"/>
        <v>-1.7239295184123082</v>
      </c>
      <c r="AK48" s="23">
        <v>-1.1890000000000001</v>
      </c>
      <c r="AL48" s="23">
        <v>-1.895</v>
      </c>
      <c r="AM48" s="19">
        <f t="shared" si="4"/>
        <v>3.1620349104061862E-2</v>
      </c>
      <c r="AN48" s="19">
        <f t="shared" si="5"/>
        <v>1.6207803167041845E-2</v>
      </c>
      <c r="AO48" s="19">
        <f t="shared" si="6"/>
        <v>0.11623180394933641</v>
      </c>
      <c r="AP48" s="19">
        <f t="shared" si="7"/>
        <v>0.17107048158769178</v>
      </c>
    </row>
    <row r="49" spans="1:42" x14ac:dyDescent="0.2">
      <c r="A49" s="19" t="s">
        <v>38</v>
      </c>
      <c r="B49" s="19" t="s">
        <v>29</v>
      </c>
      <c r="C49" s="20">
        <v>-604.52664000000004</v>
      </c>
      <c r="D49" s="20">
        <v>-604.59833000000003</v>
      </c>
      <c r="E49" s="20">
        <v>-604.51211999999998</v>
      </c>
      <c r="F49" s="20">
        <v>-604.6577483172</v>
      </c>
      <c r="G49" s="20">
        <v>-604.72850764899999</v>
      </c>
      <c r="H49" s="20">
        <v>-604.64035983630004</v>
      </c>
      <c r="I49" s="20">
        <v>-604.57027304010001</v>
      </c>
      <c r="J49" s="20">
        <v>-604.58157700859999</v>
      </c>
      <c r="K49" s="20">
        <v>-604.62671246189996</v>
      </c>
      <c r="L49" s="20">
        <v>-604.70321763699997</v>
      </c>
      <c r="M49" s="20">
        <v>-604.5198371916</v>
      </c>
      <c r="N49" s="20">
        <v>-604.79291831709997</v>
      </c>
      <c r="O49" s="20">
        <v>-605.28199398858499</v>
      </c>
      <c r="P49" s="20">
        <v>-605.35129271860899</v>
      </c>
      <c r="Q49" s="20">
        <v>-605.26386111975899</v>
      </c>
      <c r="R49" s="20">
        <f>(P49-O49)*27.211324570273</f>
        <v>-1.8857102349908408</v>
      </c>
      <c r="S49" s="20">
        <f>(Q49-P49)*27.211324570273</f>
        <v>2.379129614005338</v>
      </c>
      <c r="T49" s="20">
        <f>(D49-G49-C49+F49)*27.211324570273</f>
        <v>-2.532471445739809E-2</v>
      </c>
      <c r="U49" s="20">
        <f>(E49-H49-D49+G49)*27.211324570273</f>
        <v>-5.273045033357257E-2</v>
      </c>
      <c r="V49" s="20">
        <f>(L49-K49-J49+I49)*27.211324570273</f>
        <v>-1.7742111951666379</v>
      </c>
      <c r="W49" s="20">
        <f>(N49-M49-L49+K49)*27.211324570273</f>
        <v>-5.3490919890432167</v>
      </c>
      <c r="X49" s="21">
        <f>(D49+L49-K49-C49-J49+I49)*27.211324570273</f>
        <v>-3.7249910536123196</v>
      </c>
      <c r="Y49" s="21">
        <f>(P49+D49-G49+L49-K49-O49-C49+F49-J49+I49)*27.211324570273</f>
        <v>-3.6852461446210638</v>
      </c>
      <c r="Z49" s="21">
        <f>(E49+N49-M49-D49-L49+K49)*27.211324570273</f>
        <v>-3.0032036978355006</v>
      </c>
      <c r="AA49" s="21">
        <f>(Q49+E49-H49+N49-M49-P49-D49+G49-L49+K49)*27.211324570273</f>
        <v>-3.0226928253714509</v>
      </c>
      <c r="AB49" s="21">
        <f>(G49-F49)*27.211324570273</f>
        <v>-1.9254551439851901</v>
      </c>
      <c r="AC49" s="21">
        <f>(P49-O49)*27.211324570273</f>
        <v>-1.8857102349908408</v>
      </c>
      <c r="AD49" s="21">
        <f>(H49-G49)*27.211324570273</f>
        <v>2.3986187415381948</v>
      </c>
      <c r="AE49" s="21">
        <f>(Q49-P49)*27.211324570273</f>
        <v>2.379129614005338</v>
      </c>
      <c r="AF49" s="20">
        <v>4.84</v>
      </c>
      <c r="AG49" s="21">
        <f t="shared" si="0"/>
        <v>-1.1150089463876802</v>
      </c>
      <c r="AH49" s="21">
        <f t="shared" si="1"/>
        <v>-1.154753855378936</v>
      </c>
      <c r="AI49" s="21">
        <f t="shared" si="2"/>
        <v>-1.8367963021644993</v>
      </c>
      <c r="AJ49" s="21">
        <f t="shared" si="3"/>
        <v>-1.817307174628549</v>
      </c>
      <c r="AK49" s="23">
        <v>-1.1890000000000001</v>
      </c>
      <c r="AL49" s="23">
        <v>-1.895</v>
      </c>
      <c r="AM49" s="19">
        <f t="shared" si="4"/>
        <v>7.3991053612319835E-2</v>
      </c>
      <c r="AN49" s="19">
        <f t="shared" si="5"/>
        <v>3.4246144621064012E-2</v>
      </c>
      <c r="AO49" s="19">
        <f t="shared" si="6"/>
        <v>5.8203697835500723E-2</v>
      </c>
      <c r="AP49" s="19">
        <f t="shared" si="7"/>
        <v>7.7692825371451057E-2</v>
      </c>
    </row>
    <row r="50" spans="1:42" x14ac:dyDescent="0.2">
      <c r="A50" s="19" t="s">
        <v>38</v>
      </c>
      <c r="B50" s="19" t="s">
        <v>30</v>
      </c>
      <c r="C50" s="20">
        <v>-604.47362999999996</v>
      </c>
      <c r="D50" s="20">
        <v>-604.54390999999998</v>
      </c>
      <c r="E50" s="20">
        <v>-604.45925</v>
      </c>
      <c r="F50" s="20">
        <v>-604.60408301450002</v>
      </c>
      <c r="G50" s="20">
        <v>-604.67335883780004</v>
      </c>
      <c r="H50" s="20">
        <v>-604.58658947670006</v>
      </c>
      <c r="I50" s="20">
        <v>-604.57052369450003</v>
      </c>
      <c r="J50" s="20">
        <v>-604.58178374889997</v>
      </c>
      <c r="K50" s="20">
        <v>-604.62696166670003</v>
      </c>
      <c r="L50" s="20">
        <v>-604.7034307719</v>
      </c>
      <c r="M50" s="20">
        <v>-604.52006892470001</v>
      </c>
      <c r="N50" s="20">
        <v>-604.79325266119997</v>
      </c>
      <c r="O50" s="20">
        <v>-605.24535271549996</v>
      </c>
      <c r="P50" s="20">
        <v>-605.31279117700001</v>
      </c>
      <c r="Q50" s="20">
        <v>-605.22635091740005</v>
      </c>
      <c r="R50" s="20">
        <f>(P50-O50)*27.211324570273</f>
        <v>-1.8350898643976192</v>
      </c>
      <c r="S50" s="20">
        <f>(Q50-P50)*27.211324570273</f>
        <v>2.3521539599129939</v>
      </c>
      <c r="T50" s="20">
        <f>(D50-G50-C50+F50)*27.211324570273</f>
        <v>-2.7324978109810279E-2</v>
      </c>
      <c r="U50" s="20">
        <f>(E50-H50-D50+G50)*27.211324570273</f>
        <v>-5.7398509527924579E-2</v>
      </c>
      <c r="V50" s="20">
        <f>(L50-K50-J50+I50)*27.211324570273</f>
        <v>-1.7744246462391886</v>
      </c>
      <c r="W50" s="20">
        <f>(N50-M50-L50+K50)*27.211324570273</f>
        <v>-5.3528656800254222</v>
      </c>
      <c r="X50" s="21">
        <f>(D50+L50-K50-C50-J50+I50)*27.211324570273</f>
        <v>-3.6868365370355676</v>
      </c>
      <c r="Y50" s="21">
        <f>(P50+D50-G50+L50-K50-O50-C50+F50-J50+I50)*27.211324570273</f>
        <v>-3.636839488746618</v>
      </c>
      <c r="Z50" s="21">
        <f>(E50+N50-M50-D50-L50+K50)*27.211324570273</f>
        <v>-3.0491549419065094</v>
      </c>
      <c r="AA50" s="21">
        <f>(Q50+E50-H50+N50-M50-P50-D50+G50-L50+K50)*27.211324570273</f>
        <v>-3.0581102296372586</v>
      </c>
      <c r="AB50" s="21">
        <f>(G50-F50)*27.211324570273</f>
        <v>-1.8850869126896621</v>
      </c>
      <c r="AC50" s="21">
        <f>(P50-O50)*27.211324570273</f>
        <v>-1.8350898643976192</v>
      </c>
      <c r="AD50" s="21">
        <f>(H50-G50)*27.211324570273</f>
        <v>2.3611092476468367</v>
      </c>
      <c r="AE50" s="21">
        <f>(Q50-P50)*27.211324570273</f>
        <v>2.3521539599129939</v>
      </c>
      <c r="AF50" s="20">
        <v>4.84</v>
      </c>
      <c r="AG50" s="21">
        <f t="shared" si="0"/>
        <v>-1.1531634629644323</v>
      </c>
      <c r="AH50" s="21">
        <f t="shared" si="1"/>
        <v>-1.2031605112533819</v>
      </c>
      <c r="AI50" s="21">
        <f t="shared" si="2"/>
        <v>-1.7908450580934905</v>
      </c>
      <c r="AJ50" s="21">
        <f t="shared" si="3"/>
        <v>-1.7818897703627412</v>
      </c>
      <c r="AK50" s="23">
        <v>-1.1890000000000001</v>
      </c>
      <c r="AL50" s="23">
        <v>-1.895</v>
      </c>
      <c r="AM50" s="19">
        <f t="shared" si="4"/>
        <v>3.5836537035567773E-2</v>
      </c>
      <c r="AN50" s="19">
        <f t="shared" si="5"/>
        <v>1.4160511253381802E-2</v>
      </c>
      <c r="AO50" s="19">
        <f t="shared" si="6"/>
        <v>0.10415494190650953</v>
      </c>
      <c r="AP50" s="19">
        <f t="shared" si="7"/>
        <v>0.11311022963725881</v>
      </c>
    </row>
    <row r="51" spans="1:42" x14ac:dyDescent="0.2">
      <c r="A51" s="19" t="s">
        <v>38</v>
      </c>
      <c r="B51" s="19" t="s">
        <v>31</v>
      </c>
      <c r="C51" s="20">
        <v>-604.52664000000004</v>
      </c>
      <c r="D51" s="20">
        <v>-604.59833000000003</v>
      </c>
      <c r="E51" s="20">
        <v>-604.51211999999998</v>
      </c>
      <c r="F51" s="20">
        <v>-604.6577483172</v>
      </c>
      <c r="G51" s="20">
        <v>-604.72850764899999</v>
      </c>
      <c r="H51" s="20">
        <v>-604.64035983630004</v>
      </c>
      <c r="I51" s="20">
        <v>-604.57027304010001</v>
      </c>
      <c r="J51" s="20">
        <v>-604.58157700859999</v>
      </c>
      <c r="K51" s="20">
        <v>-604.62671246189996</v>
      </c>
      <c r="L51" s="20">
        <v>-604.70321763699997</v>
      </c>
      <c r="M51" s="20">
        <v>-604.5198371916</v>
      </c>
      <c r="N51" s="20">
        <v>-604.79291831709997</v>
      </c>
      <c r="O51" s="20">
        <v>-604.86788148020003</v>
      </c>
      <c r="P51" s="20">
        <v>-604.93575992540002</v>
      </c>
      <c r="Q51" s="20">
        <v>-604.84693487820005</v>
      </c>
      <c r="R51" s="20">
        <f>(P51-O51)*27.211324570273</f>
        <v>-1.8470624036625405</v>
      </c>
      <c r="S51" s="20">
        <f>(Q51-P51)*27.211324570273</f>
        <v>2.4170471893283501</v>
      </c>
      <c r="T51" s="20">
        <f>(D51-G51-C51+F51)*27.211324570273</f>
        <v>-2.532471445739809E-2</v>
      </c>
      <c r="U51" s="20">
        <f>(E51-H51-D51+G51)*27.211324570273</f>
        <v>-5.273045033357257E-2</v>
      </c>
      <c r="V51" s="20">
        <f>(L51-K51-J51+I51)*27.211324570273</f>
        <v>-1.7742111951666379</v>
      </c>
      <c r="W51" s="20">
        <f>(N51-M51-L51+K51)*27.211324570273</f>
        <v>-5.3490919890432167</v>
      </c>
      <c r="X51" s="21">
        <f>(D51+L51-K51-C51-J51+I51)*27.211324570273</f>
        <v>-3.7249910536123196</v>
      </c>
      <c r="Y51" s="21">
        <f>(P51+D51-G51+L51-K51-O51-C51+F51-J51+I51)*27.211324570273</f>
        <v>-3.6465983132927637</v>
      </c>
      <c r="Z51" s="21">
        <f>(E51+N51-M51-D51-L51+K51)*27.211324570273</f>
        <v>-3.0032036978355006</v>
      </c>
      <c r="AA51" s="21">
        <f>(Q51+E51-H51+N51-M51-P51-D51+G51-L51+K51)*27.211324570273</f>
        <v>-2.9847752500484392</v>
      </c>
      <c r="AB51" s="21">
        <f>(G51-F51)*27.211324570273</f>
        <v>-1.9254551439851901</v>
      </c>
      <c r="AC51" s="21">
        <f>(P51-O51)*27.211324570273</f>
        <v>-1.8470624036625405</v>
      </c>
      <c r="AD51" s="21">
        <f>(H51-G51)*27.211324570273</f>
        <v>2.3986187415381948</v>
      </c>
      <c r="AE51" s="21">
        <f>(Q51-P51)*27.211324570273</f>
        <v>2.4170471893283501</v>
      </c>
      <c r="AF51" s="20">
        <v>4.84</v>
      </c>
      <c r="AG51" s="21">
        <f t="shared" si="0"/>
        <v>-1.1150089463876802</v>
      </c>
      <c r="AH51" s="21">
        <f t="shared" si="1"/>
        <v>-1.1934016867072361</v>
      </c>
      <c r="AI51" s="21">
        <f t="shared" si="2"/>
        <v>-1.8367963021644993</v>
      </c>
      <c r="AJ51" s="21">
        <f t="shared" si="3"/>
        <v>-1.8552247499515606</v>
      </c>
      <c r="AK51" s="23">
        <v>-1.1890000000000001</v>
      </c>
      <c r="AL51" s="23">
        <v>-1.895</v>
      </c>
      <c r="AM51" s="19">
        <f t="shared" si="4"/>
        <v>7.3991053612319835E-2</v>
      </c>
      <c r="AN51" s="19">
        <f t="shared" si="5"/>
        <v>4.4016867072360633E-3</v>
      </c>
      <c r="AO51" s="19">
        <f t="shared" si="6"/>
        <v>5.8203697835500723E-2</v>
      </c>
      <c r="AP51" s="19">
        <f t="shared" si="7"/>
        <v>3.9775250048439403E-2</v>
      </c>
    </row>
    <row r="52" spans="1:42" x14ac:dyDescent="0.2">
      <c r="A52" s="19" t="s">
        <v>38</v>
      </c>
      <c r="B52" s="19" t="s">
        <v>32</v>
      </c>
      <c r="C52" s="20">
        <v>-604.47362999999996</v>
      </c>
      <c r="D52" s="20">
        <v>-604.54390999999998</v>
      </c>
      <c r="E52" s="20">
        <v>-604.45925</v>
      </c>
      <c r="F52" s="20">
        <v>-604.60408301450002</v>
      </c>
      <c r="G52" s="20">
        <v>-604.67335883780004</v>
      </c>
      <c r="H52" s="20">
        <v>-604.58658947670006</v>
      </c>
      <c r="I52" s="20">
        <v>-604.57052369450003</v>
      </c>
      <c r="J52" s="20">
        <v>-604.58178374889997</v>
      </c>
      <c r="K52" s="20">
        <v>-604.62696166670003</v>
      </c>
      <c r="L52" s="20">
        <v>-604.7034307719</v>
      </c>
      <c r="M52" s="20">
        <v>-604.52006892470001</v>
      </c>
      <c r="N52" s="20">
        <v>-604.79325266119997</v>
      </c>
      <c r="O52" s="20">
        <v>-604.84445477450004</v>
      </c>
      <c r="P52" s="20">
        <v>-604.91047209869998</v>
      </c>
      <c r="Q52" s="20">
        <v>-604.82256498269999</v>
      </c>
      <c r="R52" s="20">
        <f>(P52-O52)*27.211324570273</f>
        <v>-1.796418836065705</v>
      </c>
      <c r="S52" s="20">
        <f>(Q52-P52)*27.211324570273</f>
        <v>2.3920690655125485</v>
      </c>
      <c r="T52" s="20">
        <f>(D52-G52-C52+F52)*27.211324570273</f>
        <v>-2.7324978109810279E-2</v>
      </c>
      <c r="U52" s="20">
        <f>(E52-H52-D52+G52)*27.211324570273</f>
        <v>-5.7398509527924579E-2</v>
      </c>
      <c r="V52" s="20">
        <f>(L52-K52-J52+I52)*27.211324570273</f>
        <v>-1.7744246462391886</v>
      </c>
      <c r="W52" s="20">
        <f>(N52-M52-L52+K52)*27.211324570273</f>
        <v>-5.3528656800254222</v>
      </c>
      <c r="X52" s="21">
        <f>(D52+L52-K52-C52-J52+I52)*27.211324570273</f>
        <v>-3.6868365370355676</v>
      </c>
      <c r="Y52" s="21">
        <f>(P52+D52-G52+L52-K52-O52-C52+F52-J52+I52)*27.211324570273</f>
        <v>-3.5981684604147035</v>
      </c>
      <c r="Z52" s="21">
        <f>(E52+N52-M52-D52-L52+K52)*27.211324570273</f>
        <v>-3.0491549419065094</v>
      </c>
      <c r="AA52" s="21">
        <f>(Q52+E52-H52+N52-M52-P52-D52+G52-L52+K52)*27.211324570273</f>
        <v>-3.018195124040798</v>
      </c>
      <c r="AB52" s="21">
        <f>(G52-F52)*27.211324570273</f>
        <v>-1.8850869126896621</v>
      </c>
      <c r="AC52" s="21">
        <f>(P52-O52)*27.211324570273</f>
        <v>-1.796418836065705</v>
      </c>
      <c r="AD52" s="21">
        <f>(H52-G52)*27.211324570273</f>
        <v>2.3611092476468367</v>
      </c>
      <c r="AE52" s="21">
        <f>(Q52-P52)*27.211324570273</f>
        <v>2.3920690655125485</v>
      </c>
      <c r="AF52" s="20">
        <v>4.84</v>
      </c>
      <c r="AG52" s="21">
        <f t="shared" si="0"/>
        <v>-1.1531634629644323</v>
      </c>
      <c r="AH52" s="21">
        <f t="shared" si="1"/>
        <v>-1.2418315395852964</v>
      </c>
      <c r="AI52" s="21">
        <f t="shared" si="2"/>
        <v>-1.7908450580934905</v>
      </c>
      <c r="AJ52" s="21">
        <f t="shared" si="3"/>
        <v>-1.8218048759592018</v>
      </c>
      <c r="AK52" s="23">
        <v>-1.1890000000000001</v>
      </c>
      <c r="AL52" s="23">
        <v>-1.895</v>
      </c>
      <c r="AM52" s="19">
        <f t="shared" ref="AM52:AM55" si="8">ABS(AG52-AK52)</f>
        <v>3.5836537035567773E-2</v>
      </c>
      <c r="AN52" s="19">
        <f t="shared" ref="AN52:AN55" si="9">ABS(AH52-AK52)</f>
        <v>5.2831539585296294E-2</v>
      </c>
      <c r="AO52" s="19">
        <f t="shared" ref="AO52:AO55" si="10">ABS(AI52-AL52)</f>
        <v>0.10415494190650953</v>
      </c>
      <c r="AP52" s="19">
        <f t="shared" ref="AP52:AP55" si="11">ABS(AJ52-AL52)</f>
        <v>7.3195124040798198E-2</v>
      </c>
    </row>
    <row r="53" spans="1:42" x14ac:dyDescent="0.2">
      <c r="A53" s="19" t="s">
        <v>38</v>
      </c>
      <c r="B53" s="19" t="s">
        <v>33</v>
      </c>
      <c r="C53" s="20">
        <f>-604.71828</f>
        <v>-604.71828000000005</v>
      </c>
      <c r="D53" s="20">
        <v>-604.77671999999995</v>
      </c>
      <c r="E53" s="20">
        <v>-604.71266000000003</v>
      </c>
      <c r="F53" s="20">
        <v>-604.84562973109996</v>
      </c>
      <c r="G53" s="20">
        <v>-604.90388646359997</v>
      </c>
      <c r="H53" s="20">
        <v>-604.84068517640003</v>
      </c>
      <c r="I53" s="20">
        <v>-604.57032322760006</v>
      </c>
      <c r="J53" s="20">
        <v>-604.58145718150001</v>
      </c>
      <c r="K53" s="20">
        <v>-604.62693058330001</v>
      </c>
      <c r="L53" s="20">
        <v>-604.70324880769999</v>
      </c>
      <c r="M53" s="20">
        <v>-604.51990812129998</v>
      </c>
      <c r="N53" s="20">
        <v>-604.79286692769995</v>
      </c>
      <c r="O53" s="20">
        <v>-604.84525063189994</v>
      </c>
      <c r="P53" s="20">
        <v>-604.91120825359997</v>
      </c>
      <c r="Q53" s="20">
        <v>-604.82310015070004</v>
      </c>
      <c r="R53" s="20">
        <f>(P53-O53)*27.211324570273</f>
        <v>-1.794794251962585</v>
      </c>
      <c r="S53" s="20">
        <f>(Q53-P53)*27.211324570273</f>
        <v>2.3975381852808253</v>
      </c>
      <c r="T53" s="20">
        <f>(D53-G53-C53+F53)*27.211324570273</f>
        <v>-4.9869514227513356E-3</v>
      </c>
      <c r="U53" s="20">
        <f>(E53-H53-D53+G53)*27.211324570273</f>
        <v>2.3366712712950807E-2</v>
      </c>
      <c r="V53" s="20">
        <f>(L53-K53-J53+I53)*27.211324570273</f>
        <v>-1.7737503414526867</v>
      </c>
      <c r="W53" s="20">
        <f>(N53-M53-L53+K53)*27.211324570273</f>
        <v>-5.3508507004890111</v>
      </c>
      <c r="X53" s="21">
        <f>(D53+L53-K53-C53-J53+I53)*27.211324570273</f>
        <v>-3.3639801493399499</v>
      </c>
      <c r="Y53" s="21">
        <f>(P53+D53-G53+L53-K53-O53-C53+F53-J53+I53)*27.211324570273</f>
        <v>-3.5735315448380232</v>
      </c>
      <c r="Z53" s="21">
        <f>(E53+N53-M53-D53-L53+K53)*27.211324570273</f>
        <v>-3.6076932485193165</v>
      </c>
      <c r="AA53" s="21">
        <f>(Q53+E53-H53+N53-M53-P53-D53+G53-L53+K53)*27.211324570273</f>
        <v>-2.9299458024921416</v>
      </c>
      <c r="AB53" s="21">
        <f>(G53-F53)*27.211324570273</f>
        <v>-1.585242856461418</v>
      </c>
      <c r="AC53" s="21">
        <f>(P53-O53)*27.211324570273</f>
        <v>-1.794794251962585</v>
      </c>
      <c r="AD53" s="21">
        <f>(H53-G53)*27.211324570273</f>
        <v>1.7197907392567438</v>
      </c>
      <c r="AE53" s="21">
        <f>(Q53-P53)*27.211324570273</f>
        <v>2.3975381852808253</v>
      </c>
      <c r="AF53" s="20">
        <v>4.84</v>
      </c>
      <c r="AG53" s="21">
        <f t="shared" si="0"/>
        <v>-1.4760198506600499</v>
      </c>
      <c r="AH53" s="21">
        <f t="shared" si="1"/>
        <v>-1.2664684551619767</v>
      </c>
      <c r="AI53" s="21">
        <f t="shared" si="2"/>
        <v>-1.2323067514806834</v>
      </c>
      <c r="AJ53" s="21">
        <f t="shared" si="3"/>
        <v>-1.9100541975078582</v>
      </c>
      <c r="AK53" s="23">
        <v>-1.1890000000000001</v>
      </c>
      <c r="AL53" s="23">
        <v>-1.895</v>
      </c>
      <c r="AM53" s="19">
        <f t="shared" si="8"/>
        <v>0.28701985066004987</v>
      </c>
      <c r="AN53" s="19">
        <f t="shared" si="9"/>
        <v>7.7468455161976646E-2</v>
      </c>
      <c r="AO53" s="19">
        <f t="shared" si="10"/>
        <v>0.66269324851931666</v>
      </c>
      <c r="AP53" s="19">
        <f t="shared" si="11"/>
        <v>1.5054197507858191E-2</v>
      </c>
    </row>
    <row r="54" spans="1:42" x14ac:dyDescent="0.2">
      <c r="A54" s="19" t="s">
        <v>38</v>
      </c>
      <c r="B54" s="19" t="s">
        <v>42</v>
      </c>
      <c r="C54" s="20">
        <v>-604.71609999999998</v>
      </c>
      <c r="D54" s="20">
        <v>-604.78282000000002</v>
      </c>
      <c r="E54" s="20">
        <v>-604.69551999999999</v>
      </c>
      <c r="F54" s="20">
        <v>-604.8454467455</v>
      </c>
      <c r="G54" s="20">
        <v>-604.91078857980006</v>
      </c>
      <c r="H54" s="20">
        <v>-604.82164350139999</v>
      </c>
      <c r="I54" s="20">
        <v>-604.57016966399999</v>
      </c>
      <c r="J54" s="20">
        <v>-604.58139586230004</v>
      </c>
      <c r="K54" s="20">
        <v>-604.62693301479999</v>
      </c>
      <c r="L54" s="20">
        <v>-604.70323634219994</v>
      </c>
      <c r="M54" s="20">
        <v>-604.51885265939995</v>
      </c>
      <c r="N54" s="20">
        <v>-604.79201336120002</v>
      </c>
      <c r="O54" s="20">
        <v>-604.84524928140002</v>
      </c>
      <c r="P54" s="20">
        <v>-604.91119265910004</v>
      </c>
      <c r="Q54" s="20">
        <v>-604.82227385370004</v>
      </c>
      <c r="R54" s="20">
        <f>(P54-O54)*27.211324570273</f>
        <v>-1.7944066538554317</v>
      </c>
      <c r="S54" s="20">
        <f>(Q54-P54)*27.211324570273</f>
        <v>2.4195984741403094</v>
      </c>
      <c r="T54" s="20">
        <f>(D54-G54-C54+F54)*27.211324570273</f>
        <v>-3.7501714173648025E-2</v>
      </c>
      <c r="U54" s="20">
        <f>(E54-H54-D54+G54)*27.211324570273</f>
        <v>-5.0207027201031075E-2</v>
      </c>
      <c r="V54" s="20">
        <f>(L54-K54-J54+I54)*27.211324570273</f>
        <v>-1.770834882039062</v>
      </c>
      <c r="W54" s="20">
        <f>(N54-M54-L54+K54)*27.211324570273</f>
        <v>-5.3567499088531587</v>
      </c>
      <c r="X54" s="21">
        <f>(D54+L54-K54-C54-J54+I54)*27.211324570273</f>
        <v>-3.5863744573654559</v>
      </c>
      <c r="Y54" s="21">
        <f>(P54+D54-G54+L54-K54-O54-C54+F54-J54+I54)*27.211324570273</f>
        <v>-3.6027432500681416</v>
      </c>
      <c r="Z54" s="21">
        <f>(E54+N54-M54-D54-L54+K54)*27.211324570273</f>
        <v>-2.9812012738644849</v>
      </c>
      <c r="AA54" s="21">
        <f>(Q54+E54-H54+N54-M54-P54-D54+G54-L54+K54)*27.211324570273</f>
        <v>-2.9873584619107869</v>
      </c>
      <c r="AB54" s="21">
        <f>(G54-F54)*27.211324570273</f>
        <v>-1.7780378611558396</v>
      </c>
      <c r="AC54" s="21">
        <f>(P54-O54)*27.211324570273</f>
        <v>-1.7944066538554317</v>
      </c>
      <c r="AD54" s="21">
        <f>(H54-G54)*27.211324570273</f>
        <v>2.4257556621866114</v>
      </c>
      <c r="AE54" s="21">
        <f>(Q54-P54)*27.211324570273</f>
        <v>2.4195984741403094</v>
      </c>
      <c r="AF54" s="20">
        <v>4.84</v>
      </c>
      <c r="AG54" s="21">
        <f t="shared" si="0"/>
        <v>-1.253625542634544</v>
      </c>
      <c r="AH54" s="21">
        <f t="shared" si="1"/>
        <v>-1.2372567499318583</v>
      </c>
      <c r="AI54" s="21">
        <f t="shared" si="2"/>
        <v>-1.858798726135515</v>
      </c>
      <c r="AJ54" s="21">
        <f t="shared" si="3"/>
        <v>-1.8526415380892129</v>
      </c>
      <c r="AK54" s="23">
        <v>-1.1890000000000001</v>
      </c>
      <c r="AL54" s="23">
        <v>-1.895</v>
      </c>
      <c r="AM54" s="19">
        <f t="shared" si="8"/>
        <v>6.4625542634543898E-2</v>
      </c>
      <c r="AN54" s="19">
        <f t="shared" si="9"/>
        <v>4.8256749931858245E-2</v>
      </c>
      <c r="AO54" s="19">
        <f t="shared" si="10"/>
        <v>3.6201273864485017E-2</v>
      </c>
      <c r="AP54" s="19">
        <f t="shared" si="11"/>
        <v>4.2358461910787071E-2</v>
      </c>
    </row>
    <row r="55" spans="1:42" x14ac:dyDescent="0.2">
      <c r="A55" s="19" t="s">
        <v>38</v>
      </c>
      <c r="B55" s="19" t="s">
        <v>43</v>
      </c>
      <c r="C55" s="20">
        <v>-604.47362999999996</v>
      </c>
      <c r="D55" s="20">
        <v>-604.54390999999998</v>
      </c>
      <c r="E55" s="20">
        <v>-604.45925</v>
      </c>
      <c r="F55" s="20">
        <v>-604.60408301450002</v>
      </c>
      <c r="G55" s="20">
        <v>-604.67335883780004</v>
      </c>
      <c r="H55" s="20">
        <v>-604.58658947670006</v>
      </c>
      <c r="I55" s="20">
        <v>-604.57052369450003</v>
      </c>
      <c r="J55" s="20">
        <v>-604.58178374889997</v>
      </c>
      <c r="K55" s="20">
        <v>-604.62696166670003</v>
      </c>
      <c r="L55" s="20">
        <v>-604.7034307719</v>
      </c>
      <c r="M55" s="20">
        <v>-604.52006892470001</v>
      </c>
      <c r="N55" s="20">
        <v>-604.79325266119997</v>
      </c>
      <c r="O55" s="20">
        <v>-603.97588327018696</v>
      </c>
      <c r="P55" s="20">
        <v>-604.04133909385905</v>
      </c>
      <c r="Q55" s="20">
        <v>-603.96051303421405</v>
      </c>
      <c r="R55" s="20">
        <f>(P55-O55)*27.211324570273</f>
        <v>-1.7811396629559604</v>
      </c>
      <c r="S55" s="20">
        <f>(Q55-P55)*27.211324570273</f>
        <v>2.1993841427364877</v>
      </c>
      <c r="T55" s="20">
        <f>(D55-G55-C55+F55)*27.211324570273</f>
        <v>-2.7324978109810279E-2</v>
      </c>
      <c r="U55" s="20">
        <f>(E55-H55-D55+G55)*27.211324570273</f>
        <v>-5.7398509527924579E-2</v>
      </c>
      <c r="V55" s="20">
        <f>(L55-K55-J55+I55)*27.211324570273</f>
        <v>-1.7744246462391886</v>
      </c>
      <c r="W55" s="20">
        <f>(N55-M55-L55+K55)*27.211324570273</f>
        <v>-5.3528656800254222</v>
      </c>
      <c r="X55" s="21">
        <f>(D55+L55-K55-C55-J55+I55)*27.211324570273</f>
        <v>-3.6868365370355676</v>
      </c>
      <c r="Y55" s="21">
        <f>(P55+D55-G55+L55-K55-O55-C55+F55-J55+I55)*27.211324570273</f>
        <v>-3.5828892873049591</v>
      </c>
      <c r="Z55" s="21">
        <f>(E55+N55-M55-D55-L55+K55)*27.211324570273</f>
        <v>-3.0491549419065094</v>
      </c>
      <c r="AA55" s="21">
        <f>(Q55+E55-H55+N55-M55-P55-D55+G55-L55+K55)*27.211324570273</f>
        <v>-3.2108800468230458</v>
      </c>
      <c r="AB55" s="21">
        <f>(G55-F55)*27.211324570273</f>
        <v>-1.8850869126896621</v>
      </c>
      <c r="AC55" s="21">
        <f>(P55-O55)*27.211324570273</f>
        <v>-1.7811396629559604</v>
      </c>
      <c r="AD55" s="21">
        <f>(H55-G55)*27.211324570273</f>
        <v>2.3611092476468367</v>
      </c>
      <c r="AE55" s="21">
        <f>(Q55-P55)*27.211324570273</f>
        <v>2.1993841427364877</v>
      </c>
      <c r="AF55" s="20">
        <v>4.84</v>
      </c>
      <c r="AG55" s="21">
        <f t="shared" si="0"/>
        <v>-1.1531634629644323</v>
      </c>
      <c r="AH55" s="21">
        <f t="shared" si="1"/>
        <v>-1.2571107126950407</v>
      </c>
      <c r="AI55" s="21">
        <f t="shared" si="2"/>
        <v>-1.7908450580934905</v>
      </c>
      <c r="AJ55" s="21">
        <f t="shared" si="3"/>
        <v>-1.629119953176954</v>
      </c>
      <c r="AK55" s="23">
        <v>-1.1890000000000001</v>
      </c>
      <c r="AL55" s="23">
        <v>-1.895</v>
      </c>
      <c r="AM55" s="19">
        <f t="shared" si="8"/>
        <v>3.5836537035567773E-2</v>
      </c>
      <c r="AN55" s="19">
        <f t="shared" si="9"/>
        <v>6.8110712695040654E-2</v>
      </c>
      <c r="AO55" s="19">
        <f t="shared" si="10"/>
        <v>0.10415494190650953</v>
      </c>
      <c r="AP55" s="19">
        <f t="shared" si="11"/>
        <v>0.265880046823046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0F38-9B04-6C4F-9D12-F0E76E34D76C}">
  <dimension ref="A1:X281"/>
  <sheetViews>
    <sheetView zoomScaleNormal="100" workbookViewId="0">
      <selection activeCell="B12" sqref="B12"/>
    </sheetView>
  </sheetViews>
  <sheetFormatPr baseColWidth="10" defaultColWidth="8.83203125" defaultRowHeight="15" x14ac:dyDescent="0.2"/>
  <cols>
    <col min="1" max="1" width="10.33203125" style="25" customWidth="1"/>
    <col min="2" max="2" width="17.1640625" style="25" customWidth="1"/>
    <col min="3" max="3" width="7.33203125" style="20" customWidth="1"/>
    <col min="4" max="4" width="11.83203125" style="20" customWidth="1"/>
    <col min="5" max="5" width="10" style="20" customWidth="1"/>
    <col min="6" max="6" width="12.6640625" style="20" customWidth="1"/>
    <col min="7" max="7" width="12.5" style="20" customWidth="1"/>
    <col min="8" max="8" width="10.6640625" style="20" customWidth="1"/>
    <col min="9" max="9" width="10.83203125" style="20" customWidth="1"/>
    <col min="10" max="10" width="11.83203125" style="20" customWidth="1"/>
    <col min="11" max="11" width="12" style="20" customWidth="1"/>
    <col min="12" max="12" width="11.83203125" style="20" customWidth="1"/>
    <col min="13" max="13" width="10" style="20" customWidth="1"/>
    <col min="14" max="16" width="11.6640625" style="20" customWidth="1"/>
    <col min="17" max="18" width="9.5" style="21" customWidth="1"/>
    <col min="19" max="19" width="9.5" style="20" customWidth="1"/>
    <col min="20" max="21" width="9.5" style="21" customWidth="1"/>
    <col min="22" max="22" width="9.5" style="24" customWidth="1"/>
    <col min="23" max="16384" width="8.83203125" style="20"/>
  </cols>
  <sheetData>
    <row r="1" spans="1:24" s="19" customFormat="1" x14ac:dyDescent="0.2">
      <c r="A1" s="19" t="s">
        <v>39</v>
      </c>
      <c r="B1" s="19" t="s">
        <v>40</v>
      </c>
      <c r="C1" s="20" t="s">
        <v>44</v>
      </c>
      <c r="D1" s="20" t="s">
        <v>0</v>
      </c>
      <c r="E1" s="20" t="s">
        <v>45</v>
      </c>
      <c r="F1" s="20" t="s">
        <v>3</v>
      </c>
      <c r="G1" s="20" t="s">
        <v>46</v>
      </c>
      <c r="H1" s="20" t="s">
        <v>6</v>
      </c>
      <c r="I1" s="20" t="s">
        <v>47</v>
      </c>
      <c r="J1" s="20" t="s">
        <v>48</v>
      </c>
      <c r="K1" s="20" t="s">
        <v>49</v>
      </c>
      <c r="L1" s="20" t="s">
        <v>12</v>
      </c>
      <c r="M1" s="20" t="s">
        <v>50</v>
      </c>
      <c r="N1" s="20" t="s">
        <v>51</v>
      </c>
      <c r="O1" s="20" t="s">
        <v>52</v>
      </c>
      <c r="P1" s="20" t="s">
        <v>182</v>
      </c>
      <c r="Q1" s="21" t="s">
        <v>53</v>
      </c>
      <c r="R1" s="21" t="s">
        <v>54</v>
      </c>
      <c r="S1" s="20" t="s">
        <v>55</v>
      </c>
      <c r="T1" s="21" t="s">
        <v>56</v>
      </c>
      <c r="U1" s="21" t="s">
        <v>57</v>
      </c>
      <c r="V1" s="24" t="s">
        <v>58</v>
      </c>
      <c r="W1" s="20" t="s">
        <v>166</v>
      </c>
      <c r="X1" s="20" t="s">
        <v>167</v>
      </c>
    </row>
    <row r="2" spans="1:24" x14ac:dyDescent="0.2">
      <c r="A2" s="19" t="s">
        <v>59</v>
      </c>
      <c r="B2" s="19" t="s">
        <v>27</v>
      </c>
      <c r="C2" s="20">
        <f>-11.4473/27.211324570273</f>
        <v>-0.42068146923305594</v>
      </c>
      <c r="D2" s="20">
        <f>-838.59136</f>
        <v>-838.59136000000001</v>
      </c>
      <c r="E2" s="20">
        <v>-839.75716999999997</v>
      </c>
      <c r="F2" s="20">
        <v>-838.7437171821</v>
      </c>
      <c r="G2" s="20">
        <v>-839.93168483709997</v>
      </c>
      <c r="H2" s="20">
        <v>-838.89298970029995</v>
      </c>
      <c r="I2" s="20">
        <v>-838.9055260307</v>
      </c>
      <c r="J2" s="20">
        <v>-840.05910595600005</v>
      </c>
      <c r="K2" s="20">
        <v>-840.0838586456</v>
      </c>
      <c r="L2" s="20">
        <v>-839.62619238100001</v>
      </c>
      <c r="M2" s="20">
        <v>-840.81097513750001</v>
      </c>
      <c r="N2" s="20">
        <f>(M2-L2)/2*27.211324570273</f>
        <v>-16.119754066192097</v>
      </c>
      <c r="O2" s="20">
        <f>(E2-G2-D2+F2)/2*27.211324570273</f>
        <v>0.30146957096057825</v>
      </c>
      <c r="P2" s="20">
        <f>(K2-J2-I2+H2)/2*27.211324570273</f>
        <v>-0.16621165762771814</v>
      </c>
      <c r="Q2" s="21">
        <f>(E2+K2-J2-D2-I2+H2-2*C2)*27.211324570273</f>
        <v>-9.1610576125275411</v>
      </c>
      <c r="R2" s="21">
        <f>(M2+E2-G2+K2-J2-L2-D2+F2-I2+H2-2*C2)*27.211324570273</f>
        <v>-9.0743923057153779</v>
      </c>
      <c r="S2" s="20">
        <v>4.4400000000000004</v>
      </c>
      <c r="T2" s="21">
        <f>-Q2/2-S2</f>
        <v>0.14052880626377018</v>
      </c>
      <c r="U2" s="21">
        <f>-R2/2-S2</f>
        <v>9.7196152857688567E-2</v>
      </c>
      <c r="V2" s="24">
        <v>5.0000000000000001E-3</v>
      </c>
      <c r="W2" s="20">
        <f>ABS(T2-V2)</f>
        <v>0.13552880626377017</v>
      </c>
      <c r="X2" s="20">
        <f>ABS(U2-V2)</f>
        <v>9.2196152857688562E-2</v>
      </c>
    </row>
    <row r="3" spans="1:24" ht="15" customHeight="1" x14ac:dyDescent="0.2">
      <c r="A3" s="19" t="s">
        <v>59</v>
      </c>
      <c r="B3" s="19" t="s">
        <v>145</v>
      </c>
      <c r="C3" s="20">
        <f t="shared" ref="C3:C65" si="0">-11.4473/27.211324570273</f>
        <v>-0.42068146923305594</v>
      </c>
      <c r="D3" s="20">
        <v>-838.18817000000001</v>
      </c>
      <c r="E3" s="20">
        <v>-839.35148000000004</v>
      </c>
      <c r="F3" s="20">
        <v>-838.341202297</v>
      </c>
      <c r="G3" s="20">
        <v>-839.52663434860006</v>
      </c>
      <c r="H3" s="20">
        <v>-838.89362219259999</v>
      </c>
      <c r="I3" s="20">
        <v>-838.90569055089998</v>
      </c>
      <c r="J3" s="20">
        <v>-840.05951143530001</v>
      </c>
      <c r="K3" s="20">
        <v>-840.0838850376</v>
      </c>
      <c r="L3" s="20">
        <v>-839.23927690630001</v>
      </c>
      <c r="M3" s="20">
        <v>-840.42271296520005</v>
      </c>
      <c r="N3" s="20">
        <f>(M3-L3)/2*27.211324570273</f>
        <v>-16.101431353446888</v>
      </c>
      <c r="O3" s="20">
        <f>(E3-G3-D3+F3)/2*27.211324570273</f>
        <v>0.30098516312445028</v>
      </c>
      <c r="P3" s="20">
        <f>(K3-J3-I3+H3)/2*27.211324570273</f>
        <v>-0.16742099420025347</v>
      </c>
      <c r="Q3" s="21">
        <f>(E3+K3-J3-D3-I3+H3-2*C3)*27.211324570273</f>
        <v>-9.0954479742485379</v>
      </c>
      <c r="R3" s="21">
        <f>(M3+E3-G3+K3-J3-L3-D3+F3-I3+H3-2*C3)*27.211324570273</f>
        <v>-9.0411343690453787</v>
      </c>
      <c r="S3" s="20">
        <v>4.4400000000000004</v>
      </c>
      <c r="T3" s="21">
        <f>-Q3/2-S3</f>
        <v>0.10772398712426856</v>
      </c>
      <c r="U3" s="21">
        <f>-R3/2-S3</f>
        <v>8.0567184522688962E-2</v>
      </c>
      <c r="V3" s="24">
        <v>5.0000000000000001E-3</v>
      </c>
      <c r="W3" s="20">
        <f t="shared" ref="W3:W66" si="1">ABS(T3-V3)</f>
        <v>0.10272398712426856</v>
      </c>
      <c r="X3" s="20">
        <f t="shared" ref="X3:X66" si="2">ABS(U3-V3)</f>
        <v>7.5567184522688957E-2</v>
      </c>
    </row>
    <row r="4" spans="1:24" ht="15" customHeight="1" x14ac:dyDescent="0.2">
      <c r="A4" s="19" t="s">
        <v>59</v>
      </c>
      <c r="B4" s="19" t="s">
        <v>29</v>
      </c>
      <c r="C4" s="20">
        <f t="shared" si="0"/>
        <v>-0.42068146923305594</v>
      </c>
      <c r="D4" s="20">
        <v>-838.82447000000002</v>
      </c>
      <c r="E4" s="20">
        <v>-839.99176</v>
      </c>
      <c r="F4" s="20">
        <v>-838.97782335229999</v>
      </c>
      <c r="G4" s="20">
        <v>-840.16703563149997</v>
      </c>
      <c r="H4" s="20">
        <v>-838.89352158919996</v>
      </c>
      <c r="I4" s="20">
        <v>-838.90579814030002</v>
      </c>
      <c r="J4" s="20">
        <v>-840.05927661049998</v>
      </c>
      <c r="K4" s="20">
        <v>-840.08390594909997</v>
      </c>
      <c r="L4" s="20">
        <v>-839.85053541759999</v>
      </c>
      <c r="M4" s="20">
        <v>-841.03704209579996</v>
      </c>
      <c r="N4" s="20">
        <f>(M4-L4)/2*27.211324570273</f>
        <v>-16.143209162647999</v>
      </c>
      <c r="O4" s="20">
        <f>(E4-G4-D4+F4)/2*27.211324570273</f>
        <v>0.29826712731564825</v>
      </c>
      <c r="P4" s="20">
        <f>(K4-J4-I4+H4)/2*27.211324570273</f>
        <v>-0.1680678550041767</v>
      </c>
      <c r="Q4" s="21">
        <f>(E4+K4-J4-D4-I4+H4-2*C4)*27.211324570273</f>
        <v>-9.2050427676386839</v>
      </c>
      <c r="R4" s="21">
        <f>(M4+E4-G4+K4-J4-L4-D4+F4-I4+H4-2*C4)*27.211324570273</f>
        <v>-9.131419780679245</v>
      </c>
      <c r="S4" s="20">
        <v>4.4400000000000004</v>
      </c>
      <c r="T4" s="21">
        <f>-Q4/2-S4</f>
        <v>0.16252138381934156</v>
      </c>
      <c r="U4" s="21">
        <f>-R4/2-S4</f>
        <v>0.1257098903396221</v>
      </c>
      <c r="V4" s="24">
        <v>5.0000000000000001E-3</v>
      </c>
      <c r="W4" s="20">
        <f t="shared" si="1"/>
        <v>0.15752138381934155</v>
      </c>
      <c r="X4" s="20">
        <f t="shared" si="2"/>
        <v>0.12070989033962209</v>
      </c>
    </row>
    <row r="5" spans="1:24" ht="15" customHeight="1" x14ac:dyDescent="0.2">
      <c r="A5" s="19" t="s">
        <v>59</v>
      </c>
      <c r="B5" s="19" t="s">
        <v>30</v>
      </c>
      <c r="C5" s="20">
        <f t="shared" si="0"/>
        <v>-0.42068146923305594</v>
      </c>
      <c r="D5" s="20">
        <v>-838.77874999999995</v>
      </c>
      <c r="E5" s="20">
        <v>-839.93683999999996</v>
      </c>
      <c r="F5" s="20">
        <v>-838.93145338069996</v>
      </c>
      <c r="G5" s="20">
        <v>-840.11144699030001</v>
      </c>
      <c r="H5" s="20">
        <v>-838.89378041040004</v>
      </c>
      <c r="I5" s="20">
        <v>-838.90599297289998</v>
      </c>
      <c r="J5" s="20">
        <v>-840.05957230000001</v>
      </c>
      <c r="K5" s="20">
        <v>-840.08407476579998</v>
      </c>
      <c r="L5" s="20">
        <v>-839.82327138150004</v>
      </c>
      <c r="M5" s="20">
        <v>-840.99990694749999</v>
      </c>
      <c r="N5" s="20">
        <f>(M5-L5)/2*27.211324570273</f>
        <v>-16.00890614367588</v>
      </c>
      <c r="O5" s="20">
        <f>(E5-G5-D5+F5)/2*27.211324570273</f>
        <v>0.29801311504349426</v>
      </c>
      <c r="P5" s="20">
        <f>(K5-J5-I5+H5)/2*27.211324570273</f>
        <v>-0.16721227381718512</v>
      </c>
      <c r="Q5" s="21">
        <f>(E5+K5-J5-D5-I5+H5-2*C5)*27.211324570273</f>
        <v>-8.9529874192222536</v>
      </c>
      <c r="R5" s="21">
        <f>(M5+E5-G5+K5-J5-L5-D5+F5-I5+H5-2*C5)*27.211324570273</f>
        <v>-8.861610604899143</v>
      </c>
      <c r="S5" s="20">
        <v>4.4400000000000004</v>
      </c>
      <c r="T5" s="21">
        <f>-Q5/2-S5</f>
        <v>3.6493709611126413E-2</v>
      </c>
      <c r="U5" s="21">
        <f>-R5/2-S5</f>
        <v>-9.1946975504288986E-3</v>
      </c>
      <c r="V5" s="24">
        <v>5.0000000000000001E-3</v>
      </c>
      <c r="W5" s="20">
        <f t="shared" si="1"/>
        <v>3.1493709611126415E-2</v>
      </c>
      <c r="X5" s="20">
        <f t="shared" si="2"/>
        <v>1.41946975504289E-2</v>
      </c>
    </row>
    <row r="6" spans="1:24" ht="15" customHeight="1" x14ac:dyDescent="0.2">
      <c r="A6" s="19" t="s">
        <v>59</v>
      </c>
      <c r="B6" s="19" t="s">
        <v>31</v>
      </c>
      <c r="C6" s="20">
        <f t="shared" si="0"/>
        <v>-0.42068146923305594</v>
      </c>
      <c r="D6" s="20">
        <v>-838.82447000000002</v>
      </c>
      <c r="E6" s="20">
        <v>-839.99176</v>
      </c>
      <c r="F6" s="20">
        <v>-838.97782335229999</v>
      </c>
      <c r="G6" s="20">
        <v>-840.16703563149997</v>
      </c>
      <c r="H6" s="20">
        <v>-838.89352158919996</v>
      </c>
      <c r="I6" s="20">
        <v>-838.90579814030002</v>
      </c>
      <c r="J6" s="20">
        <v>-840.05927661049998</v>
      </c>
      <c r="K6" s="20">
        <v>-840.08390594909997</v>
      </c>
      <c r="L6" s="20">
        <v>-839.31409327539996</v>
      </c>
      <c r="M6" s="20">
        <v>-840.4927186781</v>
      </c>
      <c r="N6" s="20">
        <f>(M6-L6)/2*27.211324570273</f>
        <v>-16.035979189819884</v>
      </c>
      <c r="O6" s="20">
        <f>(E6-G6-D6+F6)/2*27.211324570273</f>
        <v>0.29826712731564825</v>
      </c>
      <c r="P6" s="20">
        <f>(K6-J6-I6+H6)/2*27.211324570273</f>
        <v>-0.1680678550041767</v>
      </c>
      <c r="Q6" s="21">
        <f>(E6+K6-J6-D6-I6+H6-2*C6)*27.211324570273</f>
        <v>-9.2050427676386839</v>
      </c>
      <c r="R6" s="21">
        <f>(M6+E6-G6+K6-J6-L6-D6+F6-I6+H6-2*C6)*27.211324570273</f>
        <v>-8.9169598350199184</v>
      </c>
      <c r="S6" s="20">
        <v>4.4400000000000004</v>
      </c>
      <c r="T6" s="21">
        <f>-Q6/2-S6</f>
        <v>0.16252138381934156</v>
      </c>
      <c r="U6" s="21">
        <f>-R6/2-S6</f>
        <v>1.847991750995881E-2</v>
      </c>
      <c r="V6" s="24">
        <v>5.0000000000000001E-3</v>
      </c>
      <c r="W6" s="20">
        <f t="shared" si="1"/>
        <v>0.15752138381934155</v>
      </c>
      <c r="X6" s="20">
        <f t="shared" si="2"/>
        <v>1.3479917509958809E-2</v>
      </c>
    </row>
    <row r="7" spans="1:24" ht="15" customHeight="1" x14ac:dyDescent="0.2">
      <c r="A7" s="19" t="s">
        <v>59</v>
      </c>
      <c r="B7" s="19" t="s">
        <v>32</v>
      </c>
      <c r="C7" s="20">
        <f t="shared" si="0"/>
        <v>-0.42068146923305594</v>
      </c>
      <c r="D7" s="20">
        <v>-838.77874999999995</v>
      </c>
      <c r="E7" s="20">
        <v>-839.93683999999996</v>
      </c>
      <c r="F7" s="20">
        <v>-838.93145338069996</v>
      </c>
      <c r="G7" s="20">
        <v>-840.11144699030001</v>
      </c>
      <c r="H7" s="20">
        <v>-838.89378041040004</v>
      </c>
      <c r="I7" s="20">
        <v>-838.90599297289998</v>
      </c>
      <c r="J7" s="20">
        <v>-840.05957230000001</v>
      </c>
      <c r="K7" s="20">
        <v>-840.08407476579998</v>
      </c>
      <c r="L7" s="20">
        <v>-839.30738656300002</v>
      </c>
      <c r="M7" s="20">
        <v>-840.47582850950005</v>
      </c>
      <c r="N7" s="20">
        <f>(M7-L7)/2*27.211324570273</f>
        <v>-15.897426523866866</v>
      </c>
      <c r="O7" s="20">
        <f>(E7-G7-D7+F7)/2*27.211324570273</f>
        <v>0.29801311504349426</v>
      </c>
      <c r="P7" s="20">
        <f>(K7-J7-I7+H7)/2*27.211324570273</f>
        <v>-0.16721227381718512</v>
      </c>
      <c r="Q7" s="21">
        <f>(E7+K7-J7-D7-I7+H7-2*C7)*27.211324570273</f>
        <v>-8.9529874192222536</v>
      </c>
      <c r="R7" s="21">
        <f>(M7+E7-G7+K7-J7-L7-D7+F7-I7+H7-2*C7)*27.211324570273</f>
        <v>-8.6386513652842059</v>
      </c>
      <c r="S7" s="20">
        <v>4.4400000000000004</v>
      </c>
      <c r="T7" s="21">
        <f>-Q7/2-S7</f>
        <v>3.6493709611126413E-2</v>
      </c>
      <c r="U7" s="21">
        <f>-R7/2-S7</f>
        <v>-0.12067431735789746</v>
      </c>
      <c r="V7" s="24">
        <v>5.0000000000000001E-3</v>
      </c>
      <c r="W7" s="20">
        <f t="shared" si="1"/>
        <v>3.1493709611126415E-2</v>
      </c>
      <c r="X7" s="20">
        <f t="shared" si="2"/>
        <v>0.12567431735789747</v>
      </c>
    </row>
    <row r="8" spans="1:24" ht="15" customHeight="1" x14ac:dyDescent="0.2">
      <c r="A8" s="19" t="s">
        <v>59</v>
      </c>
      <c r="B8" s="19" t="s">
        <v>33</v>
      </c>
      <c r="C8" s="20">
        <f t="shared" si="0"/>
        <v>-0.42068146923305594</v>
      </c>
      <c r="D8" s="20">
        <v>-839.15732000000003</v>
      </c>
      <c r="E8" s="20">
        <v>-840.30606999999998</v>
      </c>
      <c r="F8" s="20">
        <v>-839.30848151919997</v>
      </c>
      <c r="G8" s="20">
        <v>-840.47628650809997</v>
      </c>
      <c r="H8" s="20">
        <v>-838.89343288479995</v>
      </c>
      <c r="I8" s="20">
        <v>-838.90558157529995</v>
      </c>
      <c r="J8" s="20">
        <v>-840.05927258290001</v>
      </c>
      <c r="K8" s="20">
        <v>-840.08359766420006</v>
      </c>
      <c r="L8" s="20">
        <v>-839.30817920590005</v>
      </c>
      <c r="M8" s="20">
        <v>-840.47666982210001</v>
      </c>
      <c r="N8" s="20">
        <f>(M8-L8)/2*27.211324570273</f>
        <v>-15.898088707367714</v>
      </c>
      <c r="O8" s="20">
        <f>(E8-G8-D8+F8)/2*27.211324570273</f>
        <v>0.25925574382113475</v>
      </c>
      <c r="P8" s="20">
        <f>(K8-J8-I8+H8)/2*27.211324570273</f>
        <v>-0.16566786107732723</v>
      </c>
      <c r="Q8" s="21">
        <f>(E8+K8-J8-D8-I8+H8-2*C8)*27.211324570273</f>
        <v>-8.6957448222544009</v>
      </c>
      <c r="R8" s="21">
        <f>(M8+E8-G8+K8-J8-L8-D8+F8-I8+H8-2*C8)*27.211324570273</f>
        <v>-8.7144016492509042</v>
      </c>
      <c r="S8" s="20">
        <v>4.4400000000000004</v>
      </c>
      <c r="T8" s="21">
        <f>-Q8/2-S8</f>
        <v>-9.2127588872799926E-2</v>
      </c>
      <c r="U8" s="21">
        <f>-R8/2-S8</f>
        <v>-8.2799175374548284E-2</v>
      </c>
      <c r="V8" s="24">
        <v>5.0000000000000001E-3</v>
      </c>
      <c r="W8" s="20">
        <f t="shared" si="1"/>
        <v>9.712758887279993E-2</v>
      </c>
      <c r="X8" s="20">
        <f t="shared" si="2"/>
        <v>8.7799175374548288E-2</v>
      </c>
    </row>
    <row r="9" spans="1:24" ht="15" customHeight="1" x14ac:dyDescent="0.2">
      <c r="A9" s="19" t="s">
        <v>59</v>
      </c>
      <c r="B9" s="19" t="s">
        <v>42</v>
      </c>
      <c r="C9" s="20">
        <f t="shared" si="0"/>
        <v>-0.42068146923305594</v>
      </c>
      <c r="D9" s="20">
        <v>-839.15728999999999</v>
      </c>
      <c r="E9" s="20">
        <v>-840.30598999999995</v>
      </c>
      <c r="F9" s="20">
        <v>-839.30860327389996</v>
      </c>
      <c r="G9" s="20">
        <v>-840.47694700370005</v>
      </c>
      <c r="H9" s="20">
        <v>-838.89343630949998</v>
      </c>
      <c r="I9" s="20">
        <v>-838.90557708949996</v>
      </c>
      <c r="J9" s="20">
        <v>-840.05928741360003</v>
      </c>
      <c r="K9" s="20">
        <v>-840.08357934590003</v>
      </c>
      <c r="L9" s="20">
        <v>-839.30817788460001</v>
      </c>
      <c r="M9" s="20">
        <v>-840.47666935580003</v>
      </c>
      <c r="N9" s="20">
        <f>(M9-L9)/2*27.211324570273</f>
        <v>-15.898100340209687</v>
      </c>
      <c r="O9" s="20">
        <f>(E9-G9-D9+F9)/2*27.211324570273</f>
        <v>0.26726595368094347</v>
      </c>
      <c r="P9" s="20">
        <f>(K9-J9-I9+H9)/2*27.211324570273</f>
        <v>-0.16532447456934318</v>
      </c>
      <c r="Q9" s="21">
        <f>(E9+K9-J9-D9-I9+H9-2*C9)*27.211324570273</f>
        <v>-8.6936974830071687</v>
      </c>
      <c r="R9" s="21">
        <f>(M9+E9-G9+K9-J9-L9-D9+F9-I9+H9-2*C9)*27.211324570273</f>
        <v>-8.6977177221930813</v>
      </c>
      <c r="S9" s="20">
        <v>4.4400000000000004</v>
      </c>
      <c r="T9" s="21">
        <f>-Q9/2-S9</f>
        <v>-9.3151258496416034E-2</v>
      </c>
      <c r="U9" s="21">
        <f>-R9/2-S9</f>
        <v>-9.1141138903459762E-2</v>
      </c>
      <c r="V9" s="24">
        <v>5.0000000000000001E-3</v>
      </c>
      <c r="W9" s="20">
        <f t="shared" si="1"/>
        <v>9.8151258496416038E-2</v>
      </c>
      <c r="X9" s="20">
        <f t="shared" si="2"/>
        <v>9.6141138903459766E-2</v>
      </c>
    </row>
    <row r="10" spans="1:24" ht="15" customHeight="1" x14ac:dyDescent="0.2">
      <c r="A10" s="19" t="s">
        <v>59</v>
      </c>
      <c r="B10" s="19" t="s">
        <v>43</v>
      </c>
      <c r="C10" s="20">
        <f t="shared" si="0"/>
        <v>-0.42068146923305594</v>
      </c>
      <c r="D10" s="20">
        <v>-838.77874999999995</v>
      </c>
      <c r="E10" s="20">
        <v>-839.93683999999996</v>
      </c>
      <c r="F10" s="20">
        <v>-838.93145338069996</v>
      </c>
      <c r="G10" s="20">
        <v>-840.11144699030001</v>
      </c>
      <c r="H10" s="20">
        <v>-838.89378041040004</v>
      </c>
      <c r="I10" s="20">
        <v>-838.90599297289998</v>
      </c>
      <c r="J10" s="20">
        <v>-840.05957230000001</v>
      </c>
      <c r="K10" s="20">
        <v>-840.08407476579998</v>
      </c>
      <c r="L10" s="20">
        <v>-838.15081765474201</v>
      </c>
      <c r="M10" s="20">
        <v>-839.33622465397298</v>
      </c>
      <c r="N10" s="20">
        <f>(M10-L10)/2*27.211324570273</f>
        <v>-16.128247301973548</v>
      </c>
      <c r="O10" s="20">
        <f>(E10-G10-D10+F10)/2*27.211324570273</f>
        <v>0.29801311504349426</v>
      </c>
      <c r="P10" s="20">
        <f>(K10-J10-I10+H10)/2*27.211324570273</f>
        <v>-0.16721227381718512</v>
      </c>
      <c r="Q10" s="21">
        <f>(E10+K10-J10-D10-I10+H10-2*C10)*27.211324570273</f>
        <v>-8.9529874192222536</v>
      </c>
      <c r="R10" s="21">
        <f>(M10+E10-G10+K10-J10-L10-D10+F10-I10+H10-2*C10)*27.211324570273</f>
        <v>-9.1002929214944785</v>
      </c>
      <c r="S10" s="20">
        <v>4.4400000000000004</v>
      </c>
      <c r="T10" s="21">
        <f>-Q10/2-S10</f>
        <v>3.6493709611126413E-2</v>
      </c>
      <c r="U10" s="21">
        <f>-R10/2-S10</f>
        <v>0.11014646074723888</v>
      </c>
      <c r="V10" s="24">
        <v>5.0000000000000001E-3</v>
      </c>
      <c r="W10" s="20">
        <f t="shared" si="1"/>
        <v>3.1493709611126415E-2</v>
      </c>
      <c r="X10" s="20">
        <f t="shared" si="2"/>
        <v>0.10514646074723888</v>
      </c>
    </row>
    <row r="11" spans="1:24" ht="15" customHeight="1" x14ac:dyDescent="0.2">
      <c r="A11" s="19" t="s">
        <v>60</v>
      </c>
      <c r="B11" s="19" t="s">
        <v>27</v>
      </c>
      <c r="C11" s="20">
        <f t="shared" si="0"/>
        <v>-0.42068146923305594</v>
      </c>
      <c r="D11" s="20">
        <f>-838.59764</f>
        <v>-838.59763999999996</v>
      </c>
      <c r="E11" s="20">
        <v>-839.75720999999999</v>
      </c>
      <c r="F11" s="20">
        <v>-838.75132744259997</v>
      </c>
      <c r="G11" s="20">
        <v>-839.9316483673</v>
      </c>
      <c r="H11" s="20">
        <v>-838.89799520019994</v>
      </c>
      <c r="I11" s="20">
        <v>-838.90847693800004</v>
      </c>
      <c r="J11" s="20">
        <v>-840.05939016219997</v>
      </c>
      <c r="K11" s="20">
        <v>-840.08356778589996</v>
      </c>
      <c r="L11" s="20">
        <v>-839.63335221080001</v>
      </c>
      <c r="M11" s="20">
        <v>-840.81020085969999</v>
      </c>
      <c r="N11" s="20">
        <f>(M11-L11)/2*27.211324570273</f>
        <v>-16.011805277652265</v>
      </c>
      <c r="O11" s="20">
        <f>(E11-G11-D11+F11)/2*27.211324570273</f>
        <v>0.28233007357244538</v>
      </c>
      <c r="P11" s="20">
        <f>(K11-J11-I11+H11)/2*27.211324570273</f>
        <v>-0.18634159824969806</v>
      </c>
      <c r="Q11" s="21">
        <f>(E11+K11-J11-D11-I11+H11-2*C11)*27.211324570273</f>
        <v>-9.0315188284516914</v>
      </c>
      <c r="R11" s="21">
        <f>(M11+E11-G11+K11-J11-L11-D11+F11-I11+H11-2*C11)*27.211324570273</f>
        <v>-8.9370336046559373</v>
      </c>
      <c r="S11" s="20">
        <v>4.4400000000000004</v>
      </c>
      <c r="T11" s="21">
        <f>-Q11/2-S11</f>
        <v>7.5759414225845312E-2</v>
      </c>
      <c r="U11" s="21">
        <f>-R11/2-S11</f>
        <v>2.8516802327968271E-2</v>
      </c>
      <c r="V11" s="24">
        <v>-1E-3</v>
      </c>
      <c r="W11" s="20">
        <f t="shared" si="1"/>
        <v>7.6759414225845313E-2</v>
      </c>
      <c r="X11" s="20">
        <f t="shared" si="2"/>
        <v>2.9516802327968272E-2</v>
      </c>
    </row>
    <row r="12" spans="1:24" ht="15" customHeight="1" x14ac:dyDescent="0.2">
      <c r="A12" s="19" t="s">
        <v>60</v>
      </c>
      <c r="B12" s="19" t="s">
        <v>145</v>
      </c>
      <c r="C12" s="20">
        <f t="shared" si="0"/>
        <v>-0.42068146923305594</v>
      </c>
      <c r="D12" s="20">
        <v>-838.19173000000001</v>
      </c>
      <c r="E12" s="20">
        <v>-839.35100999999997</v>
      </c>
      <c r="F12" s="20">
        <v>-838.34551681849996</v>
      </c>
      <c r="G12" s="20">
        <v>-839.52564231099996</v>
      </c>
      <c r="H12" s="20">
        <v>-838.89898115020003</v>
      </c>
      <c r="I12" s="20">
        <v>-838.9089642532</v>
      </c>
      <c r="J12" s="20">
        <v>-840.0611297465</v>
      </c>
      <c r="K12" s="20">
        <v>-840.08479405150001</v>
      </c>
      <c r="L12" s="20">
        <v>-839.24344153740003</v>
      </c>
      <c r="M12" s="20">
        <v>-840.4215703305</v>
      </c>
      <c r="N12" s="20">
        <f>(M12-L12)/2*27.211324570273</f>
        <v>-16.029222487313678</v>
      </c>
      <c r="O12" s="20">
        <f>(E12-G12-D12+F12)/2*27.211324570273</f>
        <v>0.28361673112274915</v>
      </c>
      <c r="P12" s="20">
        <f>(K12-J12-I12+H12)/2*27.211324570273</f>
        <v>-0.18614181406732472</v>
      </c>
      <c r="Q12" s="21">
        <f>(E12+K12-J12-D12-I12+H12-2*C12)*27.211324570273</f>
        <v>-9.0232279759567415</v>
      </c>
      <c r="R12" s="21">
        <f>(M12+E12-G12+K12-J12-L12-D12+F12-I12+H12-2*C12)*27.211324570273</f>
        <v>-8.9688951405165067</v>
      </c>
      <c r="S12" s="20">
        <v>4.4400000000000004</v>
      </c>
      <c r="T12" s="21">
        <f>-Q12/2-S12</f>
        <v>7.1613987978370375E-2</v>
      </c>
      <c r="U12" s="21">
        <f>-R12/2-S12</f>
        <v>4.4447570258252966E-2</v>
      </c>
      <c r="V12" s="24">
        <v>-1E-3</v>
      </c>
      <c r="W12" s="20">
        <f t="shared" si="1"/>
        <v>7.2613987978370376E-2</v>
      </c>
      <c r="X12" s="20">
        <f t="shared" si="2"/>
        <v>4.5447570258252967E-2</v>
      </c>
    </row>
    <row r="13" spans="1:24" ht="15" customHeight="1" x14ac:dyDescent="0.2">
      <c r="A13" s="19" t="s">
        <v>60</v>
      </c>
      <c r="B13" s="19" t="s">
        <v>29</v>
      </c>
      <c r="C13" s="20">
        <f t="shared" si="0"/>
        <v>-0.42068146923305594</v>
      </c>
      <c r="D13" s="20">
        <v>-838.82863999999995</v>
      </c>
      <c r="E13" s="20">
        <v>-839.99171000000001</v>
      </c>
      <c r="F13" s="20">
        <v>-838.9832156233</v>
      </c>
      <c r="G13" s="20">
        <v>-840.16696678469998</v>
      </c>
      <c r="H13" s="20">
        <v>-838.89885578940005</v>
      </c>
      <c r="I13" s="20">
        <v>-838.9091111189</v>
      </c>
      <c r="J13" s="20">
        <v>-840.06103881089996</v>
      </c>
      <c r="K13" s="20">
        <v>-840.08507054890003</v>
      </c>
      <c r="L13" s="20">
        <v>-839.8555653029</v>
      </c>
      <c r="M13" s="20">
        <v>-841.03615213909995</v>
      </c>
      <c r="N13" s="20">
        <f>(M13-L13)/2*27.211324570273</f>
        <v>-16.062665791614283</v>
      </c>
      <c r="O13" s="20">
        <f>(E13-G13-D13+F13)/2*27.211324570273</f>
        <v>0.28138089767172197</v>
      </c>
      <c r="P13" s="20">
        <f>(K13-J13-I13+H13)/2*27.211324570273</f>
        <v>-0.18743716155472817</v>
      </c>
      <c r="Q13" s="21">
        <f>(E13+K13-J13-D13-I13+H13-2*C13)*27.211324570273</f>
        <v>-9.1289495910554557</v>
      </c>
      <c r="R13" s="21">
        <f>(M13+E13-G13+K13-J13-L13-D13+F13-I13+H13-2*C13)*27.211324570273</f>
        <v>-9.0428441109945794</v>
      </c>
      <c r="S13" s="20">
        <v>4.4400000000000004</v>
      </c>
      <c r="T13" s="21">
        <f>-Q13/2-S13</f>
        <v>0.12447479552772744</v>
      </c>
      <c r="U13" s="21">
        <f>-R13/2-S13</f>
        <v>8.1422055497289314E-2</v>
      </c>
      <c r="V13" s="24">
        <v>-1E-3</v>
      </c>
      <c r="W13" s="20">
        <f t="shared" si="1"/>
        <v>0.12547479552772745</v>
      </c>
      <c r="X13" s="20">
        <f t="shared" si="2"/>
        <v>8.2422055497289315E-2</v>
      </c>
    </row>
    <row r="14" spans="1:24" ht="15" customHeight="1" x14ac:dyDescent="0.2">
      <c r="A14" s="19" t="s">
        <v>60</v>
      </c>
      <c r="B14" s="19" t="s">
        <v>30</v>
      </c>
      <c r="C14" s="20">
        <f t="shared" si="0"/>
        <v>-0.42068146923305594</v>
      </c>
      <c r="D14" s="20">
        <v>-838.78278</v>
      </c>
      <c r="E14" s="20">
        <v>-839.93677000000002</v>
      </c>
      <c r="F14" s="20">
        <v>-838.93665892019999</v>
      </c>
      <c r="G14" s="20">
        <v>-840.1111717791</v>
      </c>
      <c r="H14" s="20">
        <v>-838.89911735160001</v>
      </c>
      <c r="I14" s="20">
        <v>-838.90932289579996</v>
      </c>
      <c r="J14" s="20">
        <v>-840.06132650999996</v>
      </c>
      <c r="K14" s="20">
        <v>-840.08524990570004</v>
      </c>
      <c r="L14" s="20">
        <v>-839.82812224849999</v>
      </c>
      <c r="M14" s="20">
        <v>-840.99908049509997</v>
      </c>
      <c r="N14" s="20">
        <f>(M14-L14)/2*27.211324570273</f>
        <v>-15.931662453234916</v>
      </c>
      <c r="O14" s="20">
        <f>(E14-G14-D14+F14)/2*27.211324570273</f>
        <v>0.27922708731883161</v>
      </c>
      <c r="P14" s="20">
        <f>(K14-J14-I14+H14)/2*27.211324570273</f>
        <v>-0.18664045478845431</v>
      </c>
      <c r="Q14" s="21">
        <f>(E14+K14-J14-D14-I14+H14-2*C14)*27.211324570273</f>
        <v>-8.8802773504268355</v>
      </c>
      <c r="R14" s="21">
        <f>(M14+E14-G14+K14-J14-L14-D14+F14-I14+H14-2*C14)*27.211324570273</f>
        <v>-8.7835516414121688</v>
      </c>
      <c r="S14" s="20">
        <v>4.4400000000000004</v>
      </c>
      <c r="T14" s="21">
        <f>-Q14/2-S14</f>
        <v>1.3867521341737188E-4</v>
      </c>
      <c r="U14" s="21">
        <f>-R14/2-S14</f>
        <v>-4.8224179293915981E-2</v>
      </c>
      <c r="V14" s="24">
        <v>-1E-3</v>
      </c>
      <c r="W14" s="20">
        <f t="shared" si="1"/>
        <v>1.1386752134173719E-3</v>
      </c>
      <c r="X14" s="20">
        <f t="shared" si="2"/>
        <v>4.722417929391598E-2</v>
      </c>
    </row>
    <row r="15" spans="1:24" ht="15" customHeight="1" x14ac:dyDescent="0.2">
      <c r="A15" s="19" t="s">
        <v>60</v>
      </c>
      <c r="B15" s="19" t="s">
        <v>31</v>
      </c>
      <c r="C15" s="20">
        <f t="shared" si="0"/>
        <v>-0.42068146923305594</v>
      </c>
      <c r="D15" s="20">
        <v>-838.82863999999995</v>
      </c>
      <c r="E15" s="20">
        <v>-839.99171000000001</v>
      </c>
      <c r="F15" s="20">
        <v>-838.9832156233</v>
      </c>
      <c r="G15" s="20">
        <v>-840.16696678469998</v>
      </c>
      <c r="H15" s="20">
        <v>-838.89885578940005</v>
      </c>
      <c r="I15" s="20">
        <v>-838.9091111189</v>
      </c>
      <c r="J15" s="20">
        <v>-840.06103881089996</v>
      </c>
      <c r="K15" s="20">
        <v>-840.08507054890003</v>
      </c>
      <c r="L15" s="20">
        <v>-839.31922864540002</v>
      </c>
      <c r="M15" s="20">
        <v>-840.4919201747</v>
      </c>
      <c r="N15" s="20">
        <f>(M15-L15)/2*27.211324570273</f>
        <v>-15.955244912295809</v>
      </c>
      <c r="O15" s="20">
        <f>(E15-G15-D15+F15)/2*27.211324570273</f>
        <v>0.28138089767172197</v>
      </c>
      <c r="P15" s="20">
        <f>(K15-J15-I15+H15)/2*27.211324570273</f>
        <v>-0.18743716155472817</v>
      </c>
      <c r="Q15" s="21">
        <f>(E15+K15-J15-D15-I15+H15-2*C15)*27.211324570273</f>
        <v>-9.1289495910554557</v>
      </c>
      <c r="R15" s="21">
        <f>(M15+E15-G15+K15-J15-L15-D15+F15-I15+H15-2*C15)*27.211324570273</f>
        <v>-8.8280023523607252</v>
      </c>
      <c r="S15" s="20">
        <v>4.4400000000000004</v>
      </c>
      <c r="T15" s="21">
        <f>-Q15/2-S15</f>
        <v>0.12447479552772744</v>
      </c>
      <c r="U15" s="21">
        <f>-R15/2-S15</f>
        <v>-2.5998823819637806E-2</v>
      </c>
      <c r="V15" s="24">
        <v>-1E-3</v>
      </c>
      <c r="W15" s="20">
        <f t="shared" si="1"/>
        <v>0.12547479552772745</v>
      </c>
      <c r="X15" s="20">
        <f t="shared" si="2"/>
        <v>2.4998823819637805E-2</v>
      </c>
    </row>
    <row r="16" spans="1:24" ht="15" customHeight="1" x14ac:dyDescent="0.2">
      <c r="A16" s="19" t="s">
        <v>60</v>
      </c>
      <c r="B16" s="19" t="s">
        <v>32</v>
      </c>
      <c r="C16" s="20">
        <f t="shared" si="0"/>
        <v>-0.42068146923305594</v>
      </c>
      <c r="D16" s="20">
        <v>-838.78278</v>
      </c>
      <c r="E16" s="20">
        <v>-839.93677000000002</v>
      </c>
      <c r="F16" s="20">
        <v>-838.93665892019999</v>
      </c>
      <c r="G16" s="20">
        <v>-840.1111717791</v>
      </c>
      <c r="H16" s="20">
        <v>-838.89911735160001</v>
      </c>
      <c r="I16" s="20">
        <v>-838.90932289579996</v>
      </c>
      <c r="J16" s="20">
        <v>-840.06132650999996</v>
      </c>
      <c r="K16" s="20">
        <v>-840.08524990570004</v>
      </c>
      <c r="L16" s="20">
        <v>-839.31240710559996</v>
      </c>
      <c r="M16" s="20">
        <v>-840.47506351009997</v>
      </c>
      <c r="N16" s="20">
        <f>(M16-L16)/2*27.211324570273</f>
        <v>-15.818710393278224</v>
      </c>
      <c r="O16" s="20">
        <f>(E16-G16-D16+F16)/2*27.211324570273</f>
        <v>0.27922708731883161</v>
      </c>
      <c r="P16" s="20">
        <f>(K16-J16-I16+H16)/2*27.211324570273</f>
        <v>-0.18664045478845431</v>
      </c>
      <c r="Q16" s="21">
        <f>(E16+K16-J16-D16-I16+H16-2*C16)*27.211324570273</f>
        <v>-8.8802773504268355</v>
      </c>
      <c r="R16" s="21">
        <f>(M16+E16-G16+K16-J16-L16-D16+F16-I16+H16-2*C16)*27.211324570273</f>
        <v>-8.557647521495694</v>
      </c>
      <c r="S16" s="20">
        <v>4.4400000000000004</v>
      </c>
      <c r="T16" s="21">
        <f>-Q16/2-S16</f>
        <v>1.3867521341737188E-4</v>
      </c>
      <c r="U16" s="21">
        <f>-R16/2-S16</f>
        <v>-0.16117623925215341</v>
      </c>
      <c r="V16" s="24">
        <v>-1E-3</v>
      </c>
      <c r="W16" s="20">
        <f t="shared" si="1"/>
        <v>1.1386752134173719E-3</v>
      </c>
      <c r="X16" s="20">
        <f t="shared" si="2"/>
        <v>0.16017623925215341</v>
      </c>
    </row>
    <row r="17" spans="1:24" ht="15" customHeight="1" x14ac:dyDescent="0.2">
      <c r="A17" s="19" t="s">
        <v>60</v>
      </c>
      <c r="B17" s="19" t="s">
        <v>33</v>
      </c>
      <c r="C17" s="20">
        <f t="shared" si="0"/>
        <v>-0.42068146923305594</v>
      </c>
      <c r="D17" s="20">
        <v>-839.16045999999994</v>
      </c>
      <c r="E17" s="20">
        <v>-840.30314999999996</v>
      </c>
      <c r="F17" s="20">
        <v>-839.31310795690001</v>
      </c>
      <c r="G17" s="20">
        <v>-840.47557817220002</v>
      </c>
      <c r="H17" s="20">
        <v>-838.89877094910003</v>
      </c>
      <c r="I17" s="20">
        <v>-838.90898696049999</v>
      </c>
      <c r="J17" s="20">
        <v>-840.06105572230001</v>
      </c>
      <c r="K17" s="20">
        <v>-840.08485569560003</v>
      </c>
      <c r="L17" s="20">
        <v>-839.31319325530001</v>
      </c>
      <c r="M17" s="20">
        <v>-840.47591423619997</v>
      </c>
      <c r="N17" s="20">
        <f>(M17-L17)/2*27.211324570273</f>
        <v>-15.819588997967534</v>
      </c>
      <c r="O17" s="20">
        <f>(E17-G17-D17+F17)/2*27.211324570273</f>
        <v>0.26912292929893233</v>
      </c>
      <c r="P17" s="20">
        <f>(K17-J17-I17+H17)/2*27.211324570273</f>
        <v>-0.18481879810628918</v>
      </c>
      <c r="Q17" s="21">
        <f>(E17+K17-J17-D17-I17+H17-2*C17)*27.211324570273</f>
        <v>-8.5691460694182666</v>
      </c>
      <c r="R17" s="21">
        <f>(M17+E17-G17+K17-J17-L17-D17+F17-I17+H17-2*C17)*27.211324570273</f>
        <v>-8.5759697335466889</v>
      </c>
      <c r="S17" s="20">
        <v>4.4400000000000004</v>
      </c>
      <c r="T17" s="21">
        <f>-Q17/2-S17</f>
        <v>-0.15542696529086708</v>
      </c>
      <c r="U17" s="21">
        <f>-R17/2-S17</f>
        <v>-0.15201513322665594</v>
      </c>
      <c r="V17" s="24">
        <v>-1E-3</v>
      </c>
      <c r="W17" s="20">
        <f t="shared" si="1"/>
        <v>0.15442696529086708</v>
      </c>
      <c r="X17" s="20">
        <f t="shared" si="2"/>
        <v>0.15101513322665594</v>
      </c>
    </row>
    <row r="18" spans="1:24" ht="15" customHeight="1" x14ac:dyDescent="0.2">
      <c r="A18" s="19" t="s">
        <v>60</v>
      </c>
      <c r="B18" s="19" t="s">
        <v>42</v>
      </c>
      <c r="C18" s="20">
        <f t="shared" si="0"/>
        <v>-0.42068146923305594</v>
      </c>
      <c r="D18" s="20">
        <v>-839.16043000000002</v>
      </c>
      <c r="E18" s="20">
        <v>-840.30343000000005</v>
      </c>
      <c r="F18" s="20">
        <v>-839.31328987699999</v>
      </c>
      <c r="G18" s="20">
        <v>-840.47581081220005</v>
      </c>
      <c r="H18" s="20">
        <v>-838.89875273409996</v>
      </c>
      <c r="I18" s="20">
        <v>-838.90895548950004</v>
      </c>
      <c r="J18" s="20">
        <v>-840.06102020310004</v>
      </c>
      <c r="K18" s="20">
        <v>-840.08480316759994</v>
      </c>
      <c r="L18" s="20">
        <v>-839.31319533169994</v>
      </c>
      <c r="M18" s="20">
        <v>-840.47591157689999</v>
      </c>
      <c r="N18" s="20">
        <f>(M18-L18)/2*27.211324570273</f>
        <v>-15.819524565633772</v>
      </c>
      <c r="O18" s="20">
        <f>(E18-G18-D18+F18)/2*27.211324570273</f>
        <v>0.26559525182170601</v>
      </c>
      <c r="P18" s="20">
        <f>(K18-J18-I18+H18)/2*27.211324570273</f>
        <v>-0.18476773877360758</v>
      </c>
      <c r="Q18" s="21">
        <f>(E18+K18-J18-D18-I18+H18-2*C18)*27.211324570273</f>
        <v>-8.5774794613700465</v>
      </c>
      <c r="R18" s="21">
        <f>(M18+E18-G18+K18-J18-L18-D18+F18-I18+H18-2*C18)*27.211324570273</f>
        <v>-8.5827941051775358</v>
      </c>
      <c r="S18" s="20">
        <v>4.4400000000000004</v>
      </c>
      <c r="T18" s="21">
        <f>-Q18/2-S18</f>
        <v>-0.15126026931497716</v>
      </c>
      <c r="U18" s="21">
        <f>-R18/2-S18</f>
        <v>-0.14860294741123248</v>
      </c>
      <c r="V18" s="24">
        <v>-1E-3</v>
      </c>
      <c r="W18" s="20">
        <f t="shared" si="1"/>
        <v>0.15026026931497716</v>
      </c>
      <c r="X18" s="20">
        <f t="shared" si="2"/>
        <v>0.14760294741123248</v>
      </c>
    </row>
    <row r="19" spans="1:24" ht="15" customHeight="1" x14ac:dyDescent="0.2">
      <c r="A19" s="19" t="s">
        <v>60</v>
      </c>
      <c r="B19" s="19" t="s">
        <v>43</v>
      </c>
      <c r="C19" s="20">
        <f t="shared" si="0"/>
        <v>-0.42068146923305594</v>
      </c>
      <c r="D19" s="20">
        <v>-838.78278</v>
      </c>
      <c r="E19" s="20">
        <v>-839.93677000000002</v>
      </c>
      <c r="F19" s="20">
        <v>-838.93665892019999</v>
      </c>
      <c r="G19" s="20">
        <v>-840.1111717791</v>
      </c>
      <c r="H19" s="20">
        <v>-838.89911735160001</v>
      </c>
      <c r="I19" s="20">
        <v>-838.90932289579996</v>
      </c>
      <c r="J19" s="20">
        <v>-840.06132650999996</v>
      </c>
      <c r="K19" s="20">
        <v>-840.08524990570004</v>
      </c>
      <c r="L19" s="20">
        <v>-838.15597971587204</v>
      </c>
      <c r="M19" s="20">
        <v>-839.33533376949504</v>
      </c>
      <c r="N19" s="20">
        <f>(M19-L19)/2*27.211324570273</f>
        <v>-16.045892968201315</v>
      </c>
      <c r="O19" s="20">
        <f>(E19-G19-D19+F19)/2*27.211324570273</f>
        <v>0.27922708731883161</v>
      </c>
      <c r="P19" s="20">
        <f>(K19-J19-I19+H19)/2*27.211324570273</f>
        <v>-0.18664045478845431</v>
      </c>
      <c r="Q19" s="21">
        <f>(E19+K19-J19-D19-I19+H19-2*C19)*27.211324570273</f>
        <v>-8.8802773504268355</v>
      </c>
      <c r="R19" s="21">
        <f>(M19+E19-G19+K19-J19-L19-D19+F19-I19+H19-2*C19)*27.211324570273</f>
        <v>-9.0120126713418784</v>
      </c>
      <c r="S19" s="20">
        <v>4.4400000000000004</v>
      </c>
      <c r="T19" s="21">
        <f>-Q19/2-S19</f>
        <v>1.3867521341737188E-4</v>
      </c>
      <c r="U19" s="21">
        <f>-R19/2-S19</f>
        <v>6.6006335670938832E-2</v>
      </c>
      <c r="V19" s="24">
        <v>-1E-3</v>
      </c>
      <c r="W19" s="20">
        <f t="shared" si="1"/>
        <v>1.1386752134173719E-3</v>
      </c>
      <c r="X19" s="20">
        <f t="shared" si="2"/>
        <v>6.7006335670938832E-2</v>
      </c>
    </row>
    <row r="20" spans="1:24" x14ac:dyDescent="0.2">
      <c r="A20" s="19" t="s">
        <v>61</v>
      </c>
      <c r="B20" s="19" t="s">
        <v>27</v>
      </c>
      <c r="C20" s="20">
        <f t="shared" si="0"/>
        <v>-0.42068146923305594</v>
      </c>
      <c r="D20" s="20">
        <f>-838.57925</f>
        <v>-838.57925</v>
      </c>
      <c r="E20" s="20">
        <v>-839.75890000000004</v>
      </c>
      <c r="F20" s="20">
        <v>-838.7307566449</v>
      </c>
      <c r="G20" s="20">
        <v>-839.93357957820001</v>
      </c>
      <c r="H20" s="20">
        <v>-838.88089729529997</v>
      </c>
      <c r="I20" s="20">
        <v>-838.9022301315</v>
      </c>
      <c r="J20" s="20">
        <v>-840.06127095190004</v>
      </c>
      <c r="K20" s="20">
        <v>-840.08679899280003</v>
      </c>
      <c r="L20" s="20">
        <v>-839.61351017009997</v>
      </c>
      <c r="M20" s="20">
        <v>-840.81232678269998</v>
      </c>
      <c r="N20" s="20">
        <f>(M20-L20)/2*27.211324570273</f>
        <v>-16.310693972847083</v>
      </c>
      <c r="O20" s="20">
        <f>(E20-G20-D20+F20)/2*27.211324570273</f>
        <v>0.31528310463545123</v>
      </c>
      <c r="P20" s="20">
        <f>(K20-J20-I20+H20)/2*27.211324570273</f>
        <v>-5.7078538364592167E-2</v>
      </c>
      <c r="Q20" s="21">
        <f>(E20+K20-J20-D20-I20+H20-2*C20)*27.211324570273</f>
        <v>-9.3193961060496644</v>
      </c>
      <c r="R20" s="21">
        <f>(M20+E20-G20+K20-J20-L20-D20+F20-I20+H20-2*C20)*27.211324570273</f>
        <v>-9.2103788131524471</v>
      </c>
      <c r="S20" s="20">
        <v>4.4400000000000004</v>
      </c>
      <c r="T20" s="21">
        <f>-Q20/2-S20</f>
        <v>0.21969805302483181</v>
      </c>
      <c r="U20" s="21">
        <f>-R20/2-S20</f>
        <v>0.16518940657622316</v>
      </c>
      <c r="V20" s="24">
        <v>-1.7000000000000001E-2</v>
      </c>
      <c r="W20" s="20">
        <f t="shared" si="1"/>
        <v>0.23669805302483182</v>
      </c>
      <c r="X20" s="20">
        <f t="shared" si="2"/>
        <v>0.18218940657622318</v>
      </c>
    </row>
    <row r="21" spans="1:24" ht="15" customHeight="1" x14ac:dyDescent="0.2">
      <c r="A21" s="19" t="s">
        <v>61</v>
      </c>
      <c r="B21" s="19" t="s">
        <v>145</v>
      </c>
      <c r="C21" s="20">
        <f t="shared" si="0"/>
        <v>-0.42068146923305594</v>
      </c>
      <c r="D21" s="20">
        <v>-838.17642000000001</v>
      </c>
      <c r="E21" s="20">
        <v>-839.35215000000005</v>
      </c>
      <c r="F21" s="20">
        <v>-838.32866632800005</v>
      </c>
      <c r="G21" s="20">
        <v>-839.52785812000002</v>
      </c>
      <c r="H21" s="20">
        <v>-838.88150322000001</v>
      </c>
      <c r="I21" s="20">
        <v>-838.90218211640001</v>
      </c>
      <c r="J21" s="20">
        <v>-840.06320424939997</v>
      </c>
      <c r="K21" s="20">
        <v>-840.08814525770003</v>
      </c>
      <c r="L21" s="20">
        <v>-839.22676255859994</v>
      </c>
      <c r="M21" s="20">
        <v>-840.42388298430001</v>
      </c>
      <c r="N21" s="20">
        <f>(M21-L21)/2*27.211324570273</f>
        <v>-16.287616226713908</v>
      </c>
      <c r="O21" s="20">
        <f>(E21-G21-D21+F21)/2*27.211324570273</f>
        <v>0.31921321855504148</v>
      </c>
      <c r="P21" s="20">
        <f>(K21-J21-I21+H21)/2*27.211324570273</f>
        <v>-5.7988855133697226E-2</v>
      </c>
      <c r="Q21" s="21">
        <f>(E21+K21-J21-D21-I21+H21-2*C21)*27.211324570273</f>
        <v>-9.2145483472787628</v>
      </c>
      <c r="R21" s="21">
        <f>(M21+E21-G21+K21-J21-L21-D21+F21-I21+H21-2*C21)*27.211324570273</f>
        <v>-9.1581837265820312</v>
      </c>
      <c r="S21" s="20">
        <v>4.4400000000000004</v>
      </c>
      <c r="T21" s="21">
        <f>-Q21/2-S21</f>
        <v>0.16727417363938102</v>
      </c>
      <c r="U21" s="21">
        <f>-R21/2-S21</f>
        <v>0.13909186329101519</v>
      </c>
      <c r="V21" s="24">
        <v>-1.7000000000000001E-2</v>
      </c>
      <c r="W21" s="20">
        <f t="shared" si="1"/>
        <v>0.18427417363938103</v>
      </c>
      <c r="X21" s="20">
        <f t="shared" si="2"/>
        <v>0.15609186329101521</v>
      </c>
    </row>
    <row r="22" spans="1:24" ht="15" customHeight="1" x14ac:dyDescent="0.2">
      <c r="A22" s="19" t="s">
        <v>61</v>
      </c>
      <c r="B22" s="19" t="s">
        <v>29</v>
      </c>
      <c r="C22" s="20">
        <f t="shared" si="0"/>
        <v>-0.42068146923305594</v>
      </c>
      <c r="D22" s="20">
        <v>-838.81284000000005</v>
      </c>
      <c r="E22" s="20">
        <v>-839.99257</v>
      </c>
      <c r="F22" s="20">
        <v>-838.96527494400004</v>
      </c>
      <c r="G22" s="20">
        <v>-840.16844126410001</v>
      </c>
      <c r="H22" s="20">
        <v>-838.8813780319</v>
      </c>
      <c r="I22" s="20">
        <v>-838.90235069590005</v>
      </c>
      <c r="J22" s="20">
        <v>-840.06309154769997</v>
      </c>
      <c r="K22" s="20">
        <v>-840.08838386820003</v>
      </c>
      <c r="L22" s="20">
        <v>-839.83826739510005</v>
      </c>
      <c r="M22" s="20">
        <v>-841.03834003810005</v>
      </c>
      <c r="N22" s="20">
        <f>(M22-L22)/2*27.211324570273</f>
        <v>-16.32778309828916</v>
      </c>
      <c r="O22" s="20">
        <f>(E22-G22-D22+F22)/2*27.211324570273</f>
        <v>0.3188666564871992</v>
      </c>
      <c r="P22" s="20">
        <f>(K22-J22-I22+H22)/2*27.211324570273</f>
        <v>-5.8771787526817269E-2</v>
      </c>
      <c r="Q22" s="21">
        <f>(E22+K22-J22-D22-I22+H22-2*C22)*27.211324570273</f>
        <v>-9.3249595103435201</v>
      </c>
      <c r="R22" s="21">
        <f>(M22+E22-G22+K22-J22-L22-D22+F22-I22+H22-2*C22)*27.211324570273</f>
        <v>-9.2407764586575567</v>
      </c>
      <c r="S22" s="20">
        <v>4.4400000000000004</v>
      </c>
      <c r="T22" s="21">
        <f>-Q22/2-S22</f>
        <v>0.22247975517175966</v>
      </c>
      <c r="U22" s="21">
        <f>-R22/2-S22</f>
        <v>0.18038822932877796</v>
      </c>
      <c r="V22" s="24">
        <v>-1.7000000000000001E-2</v>
      </c>
      <c r="W22" s="20">
        <f t="shared" si="1"/>
        <v>0.23947975517175968</v>
      </c>
      <c r="X22" s="20">
        <f t="shared" si="2"/>
        <v>0.19738822932877798</v>
      </c>
    </row>
    <row r="23" spans="1:24" ht="15" customHeight="1" x14ac:dyDescent="0.2">
      <c r="A23" s="19" t="s">
        <v>61</v>
      </c>
      <c r="B23" s="19" t="s">
        <v>30</v>
      </c>
      <c r="C23" s="20">
        <f t="shared" si="0"/>
        <v>-0.42068146923305594</v>
      </c>
      <c r="D23" s="20">
        <v>-838.76714000000004</v>
      </c>
      <c r="E23" s="20">
        <v>-839.93781999999999</v>
      </c>
      <c r="F23" s="20">
        <v>-838.91885859319996</v>
      </c>
      <c r="G23" s="20">
        <v>-840.11290357840005</v>
      </c>
      <c r="H23" s="20">
        <v>-838.88163647859994</v>
      </c>
      <c r="I23" s="20">
        <v>-838.90255225179999</v>
      </c>
      <c r="J23" s="20">
        <v>-840.06338161660005</v>
      </c>
      <c r="K23" s="20">
        <v>-840.08856984179999</v>
      </c>
      <c r="L23" s="20">
        <v>-839.81101122810003</v>
      </c>
      <c r="M23" s="20">
        <v>-841.0013678386</v>
      </c>
      <c r="N23" s="20">
        <f>(M23-L23)/2*27.211324570273</f>
        <v>-16.195590041342435</v>
      </c>
      <c r="O23" s="20">
        <f>(E23-G23-D23+F23)/2*27.211324570273</f>
        <v>0.31789609793040291</v>
      </c>
      <c r="P23" s="20">
        <f>(K23-J23-I23+H23)/2*27.211324570273</f>
        <v>-5.8129539040035108E-2</v>
      </c>
      <c r="Q23" s="21">
        <f>(E23+K23-J23-D23-I23+H23-2*C23)*27.211324570273</f>
        <v>-9.0774125260058387</v>
      </c>
      <c r="R23" s="21">
        <f>(M23+E23-G23+K23-J23-L23-D23+F23-I23+H23-2*C23)*27.211324570273</f>
        <v>-8.9770469649041331</v>
      </c>
      <c r="S23" s="20">
        <v>4.4400000000000004</v>
      </c>
      <c r="T23" s="21">
        <f>-Q23/2-S23</f>
        <v>9.8706263002918959E-2</v>
      </c>
      <c r="U23" s="21">
        <f>-R23/2-S23</f>
        <v>4.8523482452066169E-2</v>
      </c>
      <c r="V23" s="24">
        <v>-1.7000000000000001E-2</v>
      </c>
      <c r="W23" s="20">
        <f t="shared" si="1"/>
        <v>0.11570626300291896</v>
      </c>
      <c r="X23" s="20">
        <f t="shared" si="2"/>
        <v>6.552348245206617E-2</v>
      </c>
    </row>
    <row r="24" spans="1:24" ht="15" customHeight="1" x14ac:dyDescent="0.2">
      <c r="A24" s="19" t="s">
        <v>61</v>
      </c>
      <c r="B24" s="19" t="s">
        <v>31</v>
      </c>
      <c r="C24" s="20">
        <f t="shared" si="0"/>
        <v>-0.42068146923305594</v>
      </c>
      <c r="D24" s="20">
        <v>-838.81284000000005</v>
      </c>
      <c r="E24" s="20">
        <v>-839.99257</v>
      </c>
      <c r="F24" s="20">
        <v>-838.96527494400004</v>
      </c>
      <c r="G24" s="20">
        <v>-840.16844126410001</v>
      </c>
      <c r="H24" s="20">
        <v>-838.8813780319</v>
      </c>
      <c r="I24" s="20">
        <v>-838.90235069590005</v>
      </c>
      <c r="J24" s="20">
        <v>-840.06309154769997</v>
      </c>
      <c r="K24" s="20">
        <v>-840.08838386820003</v>
      </c>
      <c r="L24" s="20">
        <v>-839.30200853689996</v>
      </c>
      <c r="M24" s="20">
        <v>-840.49411119909996</v>
      </c>
      <c r="N24" s="20">
        <f>(M24-L24)/2*27.211324570273</f>
        <v>-16.219346231105355</v>
      </c>
      <c r="O24" s="20">
        <f>(E24-G24-D24+F24)/2*27.211324570273</f>
        <v>0.3188666564871992</v>
      </c>
      <c r="P24" s="20">
        <f>(K24-J24-I24+H24)/2*27.211324570273</f>
        <v>-5.8771787526817269E-2</v>
      </c>
      <c r="Q24" s="21">
        <f>(E24+K24-J24-D24-I24+H24-2*C24)*27.211324570273</f>
        <v>-9.3249595103435201</v>
      </c>
      <c r="R24" s="21">
        <f>(M24+E24-G24+K24-J24-L24-D24+F24-I24+H24-2*C24)*27.211324570273</f>
        <v>-9.0239027242930412</v>
      </c>
      <c r="S24" s="20">
        <v>4.4400000000000004</v>
      </c>
      <c r="T24" s="21">
        <f>-Q24/2-S24</f>
        <v>0.22247975517175966</v>
      </c>
      <c r="U24" s="21">
        <f>-R24/2-S24</f>
        <v>7.1951362146520204E-2</v>
      </c>
      <c r="V24" s="24">
        <v>-1.7000000000000001E-2</v>
      </c>
      <c r="W24" s="20">
        <f t="shared" si="1"/>
        <v>0.23947975517175968</v>
      </c>
      <c r="X24" s="20">
        <f t="shared" si="2"/>
        <v>8.8951362146520205E-2</v>
      </c>
    </row>
    <row r="25" spans="1:24" ht="15" customHeight="1" x14ac:dyDescent="0.2">
      <c r="A25" s="19" t="s">
        <v>61</v>
      </c>
      <c r="B25" s="19" t="s">
        <v>32</v>
      </c>
      <c r="C25" s="20">
        <f t="shared" si="0"/>
        <v>-0.42068146923305594</v>
      </c>
      <c r="D25" s="20">
        <v>-838.76714000000004</v>
      </c>
      <c r="E25" s="20">
        <v>-839.93781999999999</v>
      </c>
      <c r="F25" s="20">
        <v>-838.91885859319996</v>
      </c>
      <c r="G25" s="20">
        <v>-840.11290357840005</v>
      </c>
      <c r="H25" s="20">
        <v>-838.88163647859994</v>
      </c>
      <c r="I25" s="20">
        <v>-838.90255225179999</v>
      </c>
      <c r="J25" s="20">
        <v>-840.06338161660005</v>
      </c>
      <c r="K25" s="20">
        <v>-840.08856984179999</v>
      </c>
      <c r="L25" s="20">
        <v>-839.29532538620003</v>
      </c>
      <c r="M25" s="20">
        <v>-840.47735821809999</v>
      </c>
      <c r="N25" s="20">
        <f>(M25-L25)/2*27.211324570273</f>
        <v>-16.082339520774379</v>
      </c>
      <c r="O25" s="20">
        <f>(E25-G25-D25+F25)/2*27.211324570273</f>
        <v>0.31789609793040291</v>
      </c>
      <c r="P25" s="20">
        <f>(K25-J25-I25+H25)/2*27.211324570273</f>
        <v>-5.8129539040035108E-2</v>
      </c>
      <c r="Q25" s="21">
        <f>(E25+K25-J25-D25-I25+H25-2*C25)*27.211324570273</f>
        <v>-9.0774125260058387</v>
      </c>
      <c r="R25" s="21">
        <f>(M25+E25-G25+K25-J25-L25-D25+F25-I25+H25-2*C25)*27.211324570273</f>
        <v>-8.750545923768021</v>
      </c>
      <c r="S25" s="20">
        <v>4.4400000000000004</v>
      </c>
      <c r="T25" s="21">
        <f>-Q25/2-S25</f>
        <v>9.8706263002918959E-2</v>
      </c>
      <c r="U25" s="21">
        <f>-R25/2-S25</f>
        <v>-6.4727038115989899E-2</v>
      </c>
      <c r="V25" s="24">
        <v>-1.7000000000000001E-2</v>
      </c>
      <c r="W25" s="20">
        <f t="shared" si="1"/>
        <v>0.11570626300291896</v>
      </c>
      <c r="X25" s="20">
        <f t="shared" si="2"/>
        <v>4.7727038115989898E-2</v>
      </c>
    </row>
    <row r="26" spans="1:24" ht="15" customHeight="1" x14ac:dyDescent="0.2">
      <c r="A26" s="19" t="s">
        <v>61</v>
      </c>
      <c r="B26" s="19" t="s">
        <v>33</v>
      </c>
      <c r="C26" s="20">
        <f t="shared" si="0"/>
        <v>-0.42068146923305594</v>
      </c>
      <c r="D26" s="20">
        <v>-839.14615000000003</v>
      </c>
      <c r="E26" s="20">
        <v>-840.30490999999995</v>
      </c>
      <c r="F26" s="20">
        <v>-839.29635674179997</v>
      </c>
      <c r="G26" s="20">
        <v>-840.47779220869995</v>
      </c>
      <c r="H26" s="20">
        <v>-838.88135264360005</v>
      </c>
      <c r="I26" s="20">
        <v>-838.90224547519995</v>
      </c>
      <c r="J26" s="20">
        <v>-840.06311163140003</v>
      </c>
      <c r="K26" s="20">
        <v>-840.08813198150006</v>
      </c>
      <c r="L26" s="20">
        <v>-839.29611448059995</v>
      </c>
      <c r="M26" s="20">
        <v>-840.47820316959996</v>
      </c>
      <c r="N26" s="20">
        <f>(M26-L26)/2*27.211324570273</f>
        <v>-16.083099493613901</v>
      </c>
      <c r="O26" s="20">
        <f>(E26-G26-D26+F26)/2*27.211324570273</f>
        <v>0.30851474480012153</v>
      </c>
      <c r="P26" s="20">
        <f>(K26-J26-I26+H26)/2*27.211324570273</f>
        <v>-5.6157622788378721E-2</v>
      </c>
      <c r="Q26" s="21">
        <f>(E26+K26-J26-D26-I26+H26-2*C26)*27.211324570273</f>
        <v>-8.7491097046270969</v>
      </c>
      <c r="R26" s="21">
        <f>(M26+E26-G26+K26-J26-L26-D26+F26-I26+H26-2*C26)*27.211324570273</f>
        <v>-8.7668847432043151</v>
      </c>
      <c r="S26" s="20">
        <v>4.4400000000000004</v>
      </c>
      <c r="T26" s="21">
        <f>-Q26/2-S26</f>
        <v>-6.5445147686451932E-2</v>
      </c>
      <c r="U26" s="21">
        <f>-R26/2-S26</f>
        <v>-5.6557628397842841E-2</v>
      </c>
      <c r="V26" s="24">
        <v>-1.7000000000000001E-2</v>
      </c>
      <c r="W26" s="20">
        <f t="shared" si="1"/>
        <v>4.8445147686451931E-2</v>
      </c>
      <c r="X26" s="20">
        <f t="shared" si="2"/>
        <v>3.9557628397842839E-2</v>
      </c>
    </row>
    <row r="27" spans="1:24" ht="15" customHeight="1" x14ac:dyDescent="0.2">
      <c r="A27" s="19" t="s">
        <v>61</v>
      </c>
      <c r="B27" s="19" t="s">
        <v>42</v>
      </c>
      <c r="C27" s="20">
        <f t="shared" si="0"/>
        <v>-0.42068146923305594</v>
      </c>
      <c r="D27" s="20">
        <v>-839.14616999999998</v>
      </c>
      <c r="E27" s="20">
        <v>-840.30519000000004</v>
      </c>
      <c r="F27" s="20">
        <v>-839.29639568699997</v>
      </c>
      <c r="G27" s="20">
        <v>-840.47811667270003</v>
      </c>
      <c r="H27" s="20">
        <v>-838.88134997470002</v>
      </c>
      <c r="I27" s="20">
        <v>-838.90222998529998</v>
      </c>
      <c r="J27" s="20">
        <v>-840.06310415430005</v>
      </c>
      <c r="K27" s="20">
        <v>-840.08811983630005</v>
      </c>
      <c r="L27" s="20">
        <v>-839.29611430909995</v>
      </c>
      <c r="M27" s="20">
        <v>-840.47820342980003</v>
      </c>
      <c r="N27" s="20">
        <f>(M27-L27)/2*27.211324570273</f>
        <v>-16.083105367179304</v>
      </c>
      <c r="O27" s="20">
        <f>(E27-G27-D27+F27)/2*27.211324570273</f>
        <v>0.30886194497389197</v>
      </c>
      <c r="P27" s="20">
        <f>(K27-J27-I27+H27)/2*27.211324570273</f>
        <v>-5.6268548391184607E-2</v>
      </c>
      <c r="Q27" s="21">
        <f>(E27+K27-J27-D27-I27+H27-2*C27)*27.211324570273</f>
        <v>-8.7564065002185849</v>
      </c>
      <c r="R27" s="21">
        <f>(M27+E27-G27+K27-J27-L27-D27+F27-I27+H27-2*C27)*27.211324570273</f>
        <v>-8.7664239411962832</v>
      </c>
      <c r="S27" s="20">
        <v>4.4400000000000004</v>
      </c>
      <c r="T27" s="21">
        <f>-Q27/2-S27</f>
        <v>-6.1796749890707936E-2</v>
      </c>
      <c r="U27" s="21">
        <f>-R27/2-S27</f>
        <v>-5.6788029401858786E-2</v>
      </c>
      <c r="V27" s="24">
        <v>-1.7000000000000001E-2</v>
      </c>
      <c r="W27" s="20">
        <f t="shared" si="1"/>
        <v>4.4796749890707935E-2</v>
      </c>
      <c r="X27" s="20">
        <f t="shared" si="2"/>
        <v>3.9788029401858785E-2</v>
      </c>
    </row>
    <row r="28" spans="1:24" ht="15" customHeight="1" x14ac:dyDescent="0.2">
      <c r="A28" s="19" t="s">
        <v>61</v>
      </c>
      <c r="B28" s="19" t="s">
        <v>43</v>
      </c>
      <c r="C28" s="20">
        <f t="shared" si="0"/>
        <v>-0.42068146923305594</v>
      </c>
      <c r="D28" s="20">
        <v>-838.76714000000004</v>
      </c>
      <c r="E28" s="20">
        <v>-839.93781999999999</v>
      </c>
      <c r="F28" s="20">
        <v>-838.91885859319996</v>
      </c>
      <c r="G28" s="20">
        <v>-840.11290357840005</v>
      </c>
      <c r="H28" s="20">
        <v>-838.88163647859994</v>
      </c>
      <c r="I28" s="20">
        <v>-838.90255225179999</v>
      </c>
      <c r="J28" s="20">
        <v>-840.06338161660005</v>
      </c>
      <c r="K28" s="20">
        <v>-840.08856984179999</v>
      </c>
      <c r="L28" s="20">
        <v>-838.13851639147595</v>
      </c>
      <c r="M28" s="20">
        <v>-839.33723283905204</v>
      </c>
      <c r="N28" s="20">
        <f>(M28-L28)/2*27.211324570273</f>
        <v>-16.309331161358802</v>
      </c>
      <c r="O28" s="20">
        <f>(E28-G28-D28+F28)/2*27.211324570273</f>
        <v>0.31789609793040291</v>
      </c>
      <c r="P28" s="20">
        <f>(K28-J28-I28+H28)/2*27.211324570273</f>
        <v>-5.8129539040035108E-2</v>
      </c>
      <c r="Q28" s="21">
        <f>(E28+K28-J28-D28-I28+H28-2*C28)*27.211324570273</f>
        <v>-9.0774125260058387</v>
      </c>
      <c r="R28" s="21">
        <f>(M28+E28-G28+K28-J28-L28-D28+F28-I28+H28-2*C28)*27.211324570273</f>
        <v>-9.2045292049368665</v>
      </c>
      <c r="S28" s="20">
        <v>4.4400000000000004</v>
      </c>
      <c r="T28" s="21">
        <f>-Q28/2-S28</f>
        <v>9.8706263002918959E-2</v>
      </c>
      <c r="U28" s="21">
        <f>-R28/2-S28</f>
        <v>0.16226460246843288</v>
      </c>
      <c r="V28" s="24">
        <v>-1.7000000000000001E-2</v>
      </c>
      <c r="W28" s="20">
        <f t="shared" si="1"/>
        <v>0.11570626300291896</v>
      </c>
      <c r="X28" s="20">
        <f t="shared" si="2"/>
        <v>0.1792646024684329</v>
      </c>
    </row>
    <row r="29" spans="1:24" x14ac:dyDescent="0.2">
      <c r="A29" s="19" t="s">
        <v>62</v>
      </c>
      <c r="B29" s="19" t="s">
        <v>27</v>
      </c>
      <c r="C29" s="20">
        <f t="shared" si="0"/>
        <v>-0.42068146923305594</v>
      </c>
      <c r="D29" s="20">
        <f>-838.59699</f>
        <v>-838.59699000000001</v>
      </c>
      <c r="E29" s="20">
        <v>-839.76140999999996</v>
      </c>
      <c r="F29" s="20">
        <v>-838.75083514200003</v>
      </c>
      <c r="G29" s="20">
        <v>-839.93634597389996</v>
      </c>
      <c r="H29" s="20">
        <v>-838.89917546100003</v>
      </c>
      <c r="I29" s="20">
        <v>-838.90969997440004</v>
      </c>
      <c r="J29" s="20">
        <v>-840.06393309450004</v>
      </c>
      <c r="K29" s="20">
        <v>-840.08740276050003</v>
      </c>
      <c r="L29" s="20">
        <v>-839.63278090790004</v>
      </c>
      <c r="M29" s="20">
        <v>-840.81495209980005</v>
      </c>
      <c r="N29" s="20">
        <f>(M29-L29)/2*27.211324570273</f>
        <v>-16.08422200020884</v>
      </c>
      <c r="O29" s="20">
        <f>(E29-G29-D29+F29)/2*27.211324570273</f>
        <v>0.28695473614374883</v>
      </c>
      <c r="P29" s="20">
        <f>(K29-J29-I29+H29)/2*27.211324570273</f>
        <v>-0.1761273745047271</v>
      </c>
      <c r="Q29" s="21">
        <f>(E29+K29-J29-D29-I29+H29-2*C29)*27.211324570273</f>
        <v>-9.1430653051284754</v>
      </c>
      <c r="R29" s="21">
        <f>(M29+E29-G29+K29-J29-L29-D29+F29-I29+H29-2*C29)*27.211324570273</f>
        <v>-9.0521892771396395</v>
      </c>
      <c r="S29" s="20">
        <v>4.4400000000000004</v>
      </c>
      <c r="T29" s="21">
        <f>-Q29/2-S29</f>
        <v>0.1315326525642373</v>
      </c>
      <c r="U29" s="21">
        <f>-R29/2-S29</f>
        <v>8.6094638569819359E-2</v>
      </c>
      <c r="V29" s="24">
        <v>0.1301715</v>
      </c>
      <c r="W29" s="20">
        <f t="shared" si="1"/>
        <v>1.3611525642373001E-3</v>
      </c>
      <c r="X29" s="20">
        <f t="shared" si="2"/>
        <v>4.4076861430180636E-2</v>
      </c>
    </row>
    <row r="30" spans="1:24" ht="15" customHeight="1" x14ac:dyDescent="0.2">
      <c r="A30" s="19" t="s">
        <v>62</v>
      </c>
      <c r="B30" s="19" t="s">
        <v>145</v>
      </c>
      <c r="C30" s="20">
        <f t="shared" si="0"/>
        <v>-0.42068146923305594</v>
      </c>
      <c r="D30" s="20">
        <v>-838.19195000000002</v>
      </c>
      <c r="E30" s="20">
        <v>-839.35499000000004</v>
      </c>
      <c r="F30" s="20">
        <v>-838.34623619449997</v>
      </c>
      <c r="G30" s="20">
        <v>-839.53020558380001</v>
      </c>
      <c r="H30" s="20">
        <v>-838.89986444459998</v>
      </c>
      <c r="I30" s="20">
        <v>-838.90999684630003</v>
      </c>
      <c r="J30" s="20">
        <v>-840.06437641920002</v>
      </c>
      <c r="K30" s="20">
        <v>-840.08750255699999</v>
      </c>
      <c r="L30" s="20">
        <v>-839.24393524319999</v>
      </c>
      <c r="M30" s="20">
        <v>-840.4256763185</v>
      </c>
      <c r="N30" s="20">
        <f>(M30-L30)/2*27.211324570273</f>
        <v>-16.078369979006006</v>
      </c>
      <c r="O30" s="20">
        <f>(E30-G30-D30+F30)/2*27.211324570273</f>
        <v>0.28475820265025137</v>
      </c>
      <c r="P30" s="20">
        <f>(K30-J30-I30+H30)/2*27.211324570273</f>
        <v>-0.17678838519782425</v>
      </c>
      <c r="Q30" s="21">
        <f>(E30+K30-J30-D30-I30+H30-2*C30)*27.211324570273</f>
        <v>-9.1068356986096948</v>
      </c>
      <c r="R30" s="21">
        <f>(M30+E30-G30+K30-J30-L30-D30+F30-I30+H30-2*C30)*27.211324570273</f>
        <v>-9.0462003231102468</v>
      </c>
      <c r="S30" s="20">
        <v>4.4400000000000004</v>
      </c>
      <c r="T30" s="21">
        <f>-Q30/2-S30</f>
        <v>0.113417849304847</v>
      </c>
      <c r="U30" s="21">
        <f>-R30/2-S30</f>
        <v>8.3100161555123009E-2</v>
      </c>
      <c r="V30" s="24">
        <v>0.1301715</v>
      </c>
      <c r="W30" s="20">
        <f t="shared" si="1"/>
        <v>1.6753650695153E-2</v>
      </c>
      <c r="X30" s="20">
        <f t="shared" si="2"/>
        <v>4.7071338444876987E-2</v>
      </c>
    </row>
    <row r="31" spans="1:24" ht="15" customHeight="1" x14ac:dyDescent="0.2">
      <c r="A31" s="19" t="s">
        <v>62</v>
      </c>
      <c r="B31" s="19" t="s">
        <v>29</v>
      </c>
      <c r="C31" s="20">
        <f t="shared" si="0"/>
        <v>-0.42068146923305594</v>
      </c>
      <c r="D31" s="20">
        <v>-838.82884000000001</v>
      </c>
      <c r="E31" s="20">
        <v>-839.99509999999998</v>
      </c>
      <c r="F31" s="20">
        <v>-838.98377077090004</v>
      </c>
      <c r="G31" s="20">
        <v>-840.17104200699998</v>
      </c>
      <c r="H31" s="20">
        <v>-838.89974018680005</v>
      </c>
      <c r="I31" s="20">
        <v>-838.91012303729997</v>
      </c>
      <c r="J31" s="20">
        <v>-840.06414169909999</v>
      </c>
      <c r="K31" s="20">
        <v>-840.08748464769997</v>
      </c>
      <c r="L31" s="20">
        <v>-839.85598688319999</v>
      </c>
      <c r="M31" s="20">
        <v>-841.0403405838</v>
      </c>
      <c r="N31" s="20">
        <f>(M31-L31)/2*27.211324570273</f>
        <v>-16.113916476515449</v>
      </c>
      <c r="O31" s="20">
        <f>(E31-G31-D31+F31)/2*27.211324570273</f>
        <v>0.28587178256959811</v>
      </c>
      <c r="P31" s="20">
        <f>(K31-J31-I31+H31)/2*27.211324570273</f>
        <v>-0.17633071793154895</v>
      </c>
      <c r="Q31" s="21">
        <f>(E31+K31-J31-D31-I31+H31-2*C31)*27.211324570273</f>
        <v>-9.1935408291918463</v>
      </c>
      <c r="R31" s="21">
        <f>(M31+E31-G31+K31-J31-L31-D31+F31-I31+H31-2*C31)*27.211324570273</f>
        <v>-9.1141508237517019</v>
      </c>
      <c r="S31" s="20">
        <v>4.4400000000000004</v>
      </c>
      <c r="T31" s="21">
        <f>-Q31/2-S31</f>
        <v>0.15677041459592278</v>
      </c>
      <c r="U31" s="21">
        <f>-R31/2-S31</f>
        <v>0.11707541187585058</v>
      </c>
      <c r="V31" s="24">
        <v>0.1301715</v>
      </c>
      <c r="W31" s="20">
        <f t="shared" si="1"/>
        <v>2.6598914595922785E-2</v>
      </c>
      <c r="X31" s="20">
        <f t="shared" si="2"/>
        <v>1.3096088124149419E-2</v>
      </c>
    </row>
    <row r="32" spans="1:24" ht="15" customHeight="1" x14ac:dyDescent="0.2">
      <c r="A32" s="19" t="s">
        <v>62</v>
      </c>
      <c r="B32" s="19" t="s">
        <v>30</v>
      </c>
      <c r="C32" s="20">
        <f t="shared" si="0"/>
        <v>-0.42068146923305594</v>
      </c>
      <c r="D32" s="20">
        <v>-838.78300999999999</v>
      </c>
      <c r="E32" s="20">
        <v>-839.94033000000002</v>
      </c>
      <c r="F32" s="20">
        <v>-838.93724447869999</v>
      </c>
      <c r="G32" s="20">
        <v>-840.11548491040003</v>
      </c>
      <c r="H32" s="20">
        <v>-838.89999103570005</v>
      </c>
      <c r="I32" s="20">
        <v>-838.91032631739995</v>
      </c>
      <c r="J32" s="20">
        <v>-840.06441687159997</v>
      </c>
      <c r="K32" s="20">
        <v>-840.08765347500002</v>
      </c>
      <c r="L32" s="20">
        <v>-839.82861069160003</v>
      </c>
      <c r="M32" s="20">
        <v>-841.00328351389999</v>
      </c>
      <c r="N32" s="20">
        <f>(M32-L32)/2*27.211324570273</f>
        <v>-15.982201715741329</v>
      </c>
      <c r="O32" s="20">
        <f>(E32-G32-D32+F32)/2*27.211324570273</f>
        <v>0.28463632856954291</v>
      </c>
      <c r="P32" s="20">
        <f>(K32-J32-I32+H32)/2*27.211324570273</f>
        <v>-0.17553102608422119</v>
      </c>
      <c r="Q32" s="21">
        <f>(E32+K32-J32-D32-I32+H32-2*C32)*27.211324570273</f>
        <v>-8.9486722038344322</v>
      </c>
      <c r="R32" s="21">
        <f>(M32+E32-G32+K32-J32-L32-D32+F32-I32+H32-2*C32)*27.211324570273</f>
        <v>-8.8515928265089201</v>
      </c>
      <c r="S32" s="20">
        <v>4.4400000000000004</v>
      </c>
      <c r="T32" s="21">
        <f>-Q32/2-S32</f>
        <v>3.43361019172157E-2</v>
      </c>
      <c r="U32" s="21">
        <f>-R32/2-S32</f>
        <v>-1.4203586745540342E-2</v>
      </c>
      <c r="V32" s="24">
        <v>0.1301715</v>
      </c>
      <c r="W32" s="20">
        <f t="shared" si="1"/>
        <v>9.5835398082784296E-2</v>
      </c>
      <c r="X32" s="20">
        <f t="shared" si="2"/>
        <v>0.14437508674554034</v>
      </c>
    </row>
    <row r="33" spans="1:24" ht="15" customHeight="1" x14ac:dyDescent="0.2">
      <c r="A33" s="19" t="s">
        <v>62</v>
      </c>
      <c r="B33" s="19" t="s">
        <v>31</v>
      </c>
      <c r="C33" s="20">
        <f t="shared" si="0"/>
        <v>-0.42068146923305594</v>
      </c>
      <c r="D33" s="20">
        <v>-838.82884000000001</v>
      </c>
      <c r="E33" s="20">
        <v>-839.99509999999998</v>
      </c>
      <c r="F33" s="20">
        <v>-838.98377077090004</v>
      </c>
      <c r="G33" s="20">
        <v>-840.17104200699998</v>
      </c>
      <c r="H33" s="20">
        <v>-838.89974018680005</v>
      </c>
      <c r="I33" s="20">
        <v>-838.91012303729997</v>
      </c>
      <c r="J33" s="20">
        <v>-840.06414169909999</v>
      </c>
      <c r="K33" s="20">
        <v>-840.08748464769997</v>
      </c>
      <c r="L33" s="20">
        <v>-839.31962726339998</v>
      </c>
      <c r="M33" s="20">
        <v>-840.49613976340004</v>
      </c>
      <c r="N33" s="20">
        <f>(M33-L33)/2*27.211324570273</f>
        <v>-16.007231749242447</v>
      </c>
      <c r="O33" s="20">
        <f>(E33-G33-D33+F33)/2*27.211324570273</f>
        <v>0.28587178256959811</v>
      </c>
      <c r="P33" s="20">
        <f>(K33-J33-I33+H33)/2*27.211324570273</f>
        <v>-0.17633071793154895</v>
      </c>
      <c r="Q33" s="21">
        <f>(E33+K33-J33-D33-I33+H33-2*C33)*27.211324570273</f>
        <v>-9.1935408291918463</v>
      </c>
      <c r="R33" s="21">
        <f>(M33+E33-G33+K33-J33-L33-D33+F33-I33+H33-2*C33)*27.211324570273</f>
        <v>-8.9007813692056992</v>
      </c>
      <c r="S33" s="20">
        <v>4.4400000000000004</v>
      </c>
      <c r="T33" s="21">
        <f>-Q33/2-S33</f>
        <v>0.15677041459592278</v>
      </c>
      <c r="U33" s="21">
        <f>-R33/2-S33</f>
        <v>1.0390684602849198E-2</v>
      </c>
      <c r="V33" s="24">
        <v>0.1301715</v>
      </c>
      <c r="W33" s="20">
        <f t="shared" si="1"/>
        <v>2.6598914595922785E-2</v>
      </c>
      <c r="X33" s="20">
        <f t="shared" si="2"/>
        <v>0.1197808153971508</v>
      </c>
    </row>
    <row r="34" spans="1:24" ht="15" customHeight="1" x14ac:dyDescent="0.2">
      <c r="A34" s="19" t="s">
        <v>62</v>
      </c>
      <c r="B34" s="19" t="s">
        <v>32</v>
      </c>
      <c r="C34" s="20">
        <f t="shared" si="0"/>
        <v>-0.42068146923305594</v>
      </c>
      <c r="D34" s="20">
        <v>-838.78300999999999</v>
      </c>
      <c r="E34" s="20">
        <v>-839.94033000000002</v>
      </c>
      <c r="F34" s="20">
        <v>-838.93724447869999</v>
      </c>
      <c r="G34" s="20">
        <v>-840.11548491040003</v>
      </c>
      <c r="H34" s="20">
        <v>-838.89999103570005</v>
      </c>
      <c r="I34" s="20">
        <v>-838.91032631739995</v>
      </c>
      <c r="J34" s="20">
        <v>-840.06441687159997</v>
      </c>
      <c r="K34" s="20">
        <v>-840.08765347500002</v>
      </c>
      <c r="L34" s="20">
        <v>-839.31284242590004</v>
      </c>
      <c r="M34" s="20">
        <v>-840.47930133509999</v>
      </c>
      <c r="N34" s="20">
        <f>(M34-L34)/2*27.211324570273</f>
        <v>-15.870445988063166</v>
      </c>
      <c r="O34" s="20">
        <f>(E34-G34-D34+F34)/2*27.211324570273</f>
        <v>0.28463632856954291</v>
      </c>
      <c r="P34" s="20">
        <f>(K34-J34-I34+H34)/2*27.211324570273</f>
        <v>-0.17553102608422119</v>
      </c>
      <c r="Q34" s="21">
        <f>(E34+K34-J34-D34-I34+H34-2*C34)*27.211324570273</f>
        <v>-8.9486722038344322</v>
      </c>
      <c r="R34" s="21">
        <f>(M34+E34-G34+K34-J34-L34-D34+F34-I34+H34-2*C34)*27.211324570273</f>
        <v>-8.6280813711525948</v>
      </c>
      <c r="S34" s="20">
        <v>4.4400000000000004</v>
      </c>
      <c r="T34" s="21">
        <f>-Q34/2-S34</f>
        <v>3.43361019172157E-2</v>
      </c>
      <c r="U34" s="21">
        <f>-R34/2-S34</f>
        <v>-0.12595931442370301</v>
      </c>
      <c r="V34" s="24">
        <v>0.1301715</v>
      </c>
      <c r="W34" s="20">
        <f t="shared" si="1"/>
        <v>9.5835398082784296E-2</v>
      </c>
      <c r="X34" s="20">
        <f t="shared" si="2"/>
        <v>0.256130814423703</v>
      </c>
    </row>
    <row r="35" spans="1:24" ht="15" customHeight="1" x14ac:dyDescent="0.2">
      <c r="A35" s="19" t="s">
        <v>62</v>
      </c>
      <c r="B35" s="19" t="s">
        <v>33</v>
      </c>
      <c r="C35" s="20">
        <f t="shared" si="0"/>
        <v>-0.42068146923305594</v>
      </c>
      <c r="D35" s="20">
        <v>-839.16110000000003</v>
      </c>
      <c r="E35" s="20">
        <v>-840.30802000000006</v>
      </c>
      <c r="F35" s="20">
        <v>-839.31356171729999</v>
      </c>
      <c r="G35" s="20">
        <v>-840.47994657280003</v>
      </c>
      <c r="H35" s="20">
        <v>-838.89966078049997</v>
      </c>
      <c r="I35" s="20">
        <v>-838.91002761920004</v>
      </c>
      <c r="J35" s="20">
        <v>-840.06433345710002</v>
      </c>
      <c r="K35" s="20">
        <v>-840.08726146100003</v>
      </c>
      <c r="L35" s="20">
        <v>-839.31361733840004</v>
      </c>
      <c r="M35" s="20">
        <v>-840.48013117120001</v>
      </c>
      <c r="N35" s="20">
        <f>(M35-L35)/2*27.211324570273</f>
        <v>-15.871193260016693</v>
      </c>
      <c r="O35" s="20">
        <f>(E35-G35-D35+F35)/2*27.211324570273</f>
        <v>0.2648322503622339</v>
      </c>
      <c r="P35" s="20">
        <f>(K35-J35-I35+H35)/2*27.211324570273</f>
        <v>-0.17090297161820173</v>
      </c>
      <c r="Q35" s="21">
        <f>(E35+K35-J35-D35-I35+H35-2*C35)*27.211324570273</f>
        <v>-8.656418319377627</v>
      </c>
      <c r="R35" s="21">
        <f>(M35+E35-G35+K35-J35-L35-D35+F35-I35+H35-2*C35)*27.211324570273</f>
        <v>-8.6599279625422252</v>
      </c>
      <c r="S35" s="20">
        <v>4.4400000000000004</v>
      </c>
      <c r="T35" s="21">
        <f>-Q35/2-S35</f>
        <v>-0.11179084031118691</v>
      </c>
      <c r="U35" s="21">
        <f>-R35/2-S35</f>
        <v>-0.1100360187288878</v>
      </c>
      <c r="V35" s="24">
        <v>0.1301715</v>
      </c>
      <c r="W35" s="20">
        <f t="shared" si="1"/>
        <v>0.24196234031118691</v>
      </c>
      <c r="X35" s="20">
        <f t="shared" si="2"/>
        <v>0.24020751872888779</v>
      </c>
    </row>
    <row r="36" spans="1:24" ht="15" customHeight="1" x14ac:dyDescent="0.2">
      <c r="A36" s="19" t="s">
        <v>62</v>
      </c>
      <c r="B36" s="19" t="s">
        <v>42</v>
      </c>
      <c r="C36" s="20">
        <f t="shared" si="0"/>
        <v>-0.42068146923305594</v>
      </c>
      <c r="D36" s="20">
        <v>-839.16106000000002</v>
      </c>
      <c r="E36" s="20">
        <v>-840.30980999999997</v>
      </c>
      <c r="F36" s="20">
        <v>-839.31378535229999</v>
      </c>
      <c r="G36" s="20">
        <v>-840.48014216360002</v>
      </c>
      <c r="H36" s="20">
        <v>-838.89965872230005</v>
      </c>
      <c r="I36" s="20">
        <v>-838.91000459179998</v>
      </c>
      <c r="J36" s="20">
        <v>-840.06411248489997</v>
      </c>
      <c r="K36" s="20">
        <v>-840.08714617010003</v>
      </c>
      <c r="L36" s="20">
        <v>-839.31361939570002</v>
      </c>
      <c r="M36" s="20">
        <v>-840.48013503489994</v>
      </c>
      <c r="N36" s="20">
        <f>(M36-L36)/2*27.211324570273</f>
        <v>-15.87121783728437</v>
      </c>
      <c r="O36" s="20">
        <f>(E36-G36-D36+F36)/2*27.211324570273</f>
        <v>0.23955232846706517</v>
      </c>
      <c r="P36" s="20">
        <f>(K36-J36-I36+H36)/2*27.211324570273</f>
        <v>-0.17262613555206077</v>
      </c>
      <c r="Q36" s="21">
        <f>(E36+K36-J36-D36-I36+H36-2*C36)*27.211324570273</f>
        <v>-8.7096613712069626</v>
      </c>
      <c r="R36" s="21">
        <f>(M36+E36-G36+K36-J36-L36-D36+F36-I36+H36-2*C36)*27.211324570273</f>
        <v>-8.7139832887449185</v>
      </c>
      <c r="S36" s="20">
        <v>4.4400000000000004</v>
      </c>
      <c r="T36" s="21">
        <f>-Q36/2-S36</f>
        <v>-8.5169314396519091E-2</v>
      </c>
      <c r="U36" s="21">
        <f>-R36/2-S36</f>
        <v>-8.3008355627541164E-2</v>
      </c>
      <c r="V36" s="24">
        <v>0.1301715</v>
      </c>
      <c r="W36" s="20">
        <f t="shared" si="1"/>
        <v>0.21534081439651909</v>
      </c>
      <c r="X36" s="20">
        <f t="shared" si="2"/>
        <v>0.21317985562754116</v>
      </c>
    </row>
    <row r="37" spans="1:24" ht="15" customHeight="1" x14ac:dyDescent="0.2">
      <c r="A37" s="19" t="s">
        <v>62</v>
      </c>
      <c r="B37" s="19" t="s">
        <v>43</v>
      </c>
      <c r="C37" s="20">
        <f t="shared" si="0"/>
        <v>-0.42068146923305594</v>
      </c>
      <c r="D37" s="20">
        <v>-838.78300999999999</v>
      </c>
      <c r="E37" s="20">
        <v>-839.94033000000002</v>
      </c>
      <c r="F37" s="20">
        <v>-838.93724447869999</v>
      </c>
      <c r="G37" s="20">
        <v>-840.11548491040003</v>
      </c>
      <c r="H37" s="20">
        <v>-838.89999103570005</v>
      </c>
      <c r="I37" s="20">
        <v>-838.91032631739995</v>
      </c>
      <c r="J37" s="20">
        <v>-840.06441687159997</v>
      </c>
      <c r="K37" s="20">
        <v>-840.08765347500002</v>
      </c>
      <c r="L37" s="20">
        <v>-838.15597592527195</v>
      </c>
      <c r="M37" s="20">
        <v>-839.33931969379898</v>
      </c>
      <c r="N37" s="20">
        <f>(M37-L37)/2*27.211324570273</f>
        <v>-16.10017568179962</v>
      </c>
      <c r="O37" s="20">
        <f>(E37-G37-D37+F37)/2*27.211324570273</f>
        <v>0.28463632856954291</v>
      </c>
      <c r="P37" s="20">
        <f>(K37-J37-I37+H37)/2*27.211324570273</f>
        <v>-0.17553102608422119</v>
      </c>
      <c r="Q37" s="21">
        <f>(E37+K37-J37-D37-I37+H37-2*C37)*27.211324570273</f>
        <v>-8.9486722038344322</v>
      </c>
      <c r="R37" s="21">
        <f>(M37+E37-G37+K37-J37-L37-D37+F37-I37+H37-2*C37)*27.211324570273</f>
        <v>-9.0875407586285988</v>
      </c>
      <c r="S37" s="20">
        <v>4.4400000000000004</v>
      </c>
      <c r="T37" s="21">
        <f>-Q37/2-S37</f>
        <v>3.43361019172157E-2</v>
      </c>
      <c r="U37" s="21">
        <f>-R37/2-S37</f>
        <v>0.103770379314299</v>
      </c>
      <c r="V37" s="24">
        <v>0.1301715</v>
      </c>
      <c r="W37" s="20">
        <f t="shared" si="1"/>
        <v>9.5835398082784296E-2</v>
      </c>
      <c r="X37" s="20">
        <f t="shared" si="2"/>
        <v>2.6401120685700996E-2</v>
      </c>
    </row>
    <row r="38" spans="1:24" x14ac:dyDescent="0.2">
      <c r="A38" s="19" t="s">
        <v>63</v>
      </c>
      <c r="B38" s="19" t="s">
        <v>27</v>
      </c>
      <c r="C38" s="20">
        <f t="shared" si="0"/>
        <v>-0.42068146923305594</v>
      </c>
      <c r="D38" s="20">
        <f>-838.57784</f>
        <v>-838.57784000000004</v>
      </c>
      <c r="E38" s="20">
        <v>-839.75441999999998</v>
      </c>
      <c r="F38" s="20">
        <v>-838.72856119879998</v>
      </c>
      <c r="G38" s="20">
        <v>-839.92721872760001</v>
      </c>
      <c r="H38" s="20">
        <v>-838.87930017020005</v>
      </c>
      <c r="I38" s="20">
        <v>-838.90533792070005</v>
      </c>
      <c r="J38" s="20">
        <v>-840.05368113450004</v>
      </c>
      <c r="K38" s="20">
        <v>-840.08681101570005</v>
      </c>
      <c r="L38" s="20">
        <v>-839.61236009599997</v>
      </c>
      <c r="M38" s="20">
        <v>-840.80825791979998</v>
      </c>
      <c r="N38" s="20">
        <f>(M38-L38)/2*27.211324570273</f>
        <v>-16.270981918152611</v>
      </c>
      <c r="O38" s="20">
        <f>(E38-G38-D38+F38)/2*27.211324570273</f>
        <v>0.30037940094429449</v>
      </c>
      <c r="P38" s="20">
        <f>(K38-J38-I38+H38)/2*27.211324570273</f>
        <v>-9.6493135186469695E-2</v>
      </c>
      <c r="Q38" s="21">
        <f>(E38+K38-J38-D38-I38+H38-2*C38)*27.211324570273</f>
        <v>-9.3146865332632345</v>
      </c>
      <c r="R38" s="21">
        <f>(M38+E38-G38+K38-J38-L38-D38+F38-I38+H38-2*C38)*27.211324570273</f>
        <v>-9.2395913047957592</v>
      </c>
      <c r="S38" s="20">
        <v>4.4400000000000004</v>
      </c>
      <c r="T38" s="21">
        <f>-Q38/2-S38</f>
        <v>0.21734326663161685</v>
      </c>
      <c r="U38" s="21">
        <f>-R38/2-S38</f>
        <v>0.1797956523978792</v>
      </c>
      <c r="V38" s="24">
        <v>0.19046740000000001</v>
      </c>
      <c r="W38" s="20">
        <f t="shared" si="1"/>
        <v>2.687586663161684E-2</v>
      </c>
      <c r="X38" s="20">
        <f t="shared" si="2"/>
        <v>1.0671747602120807E-2</v>
      </c>
    </row>
    <row r="39" spans="1:24" x14ac:dyDescent="0.2">
      <c r="A39" s="19" t="s">
        <v>63</v>
      </c>
      <c r="B39" s="19" t="s">
        <v>145</v>
      </c>
      <c r="C39" s="20">
        <f t="shared" si="0"/>
        <v>-0.42068146923305594</v>
      </c>
      <c r="D39" s="20">
        <v>-838.17642000000001</v>
      </c>
      <c r="E39" s="20">
        <v>-839.34879999999998</v>
      </c>
      <c r="F39" s="20">
        <v>-838.32834957479997</v>
      </c>
      <c r="G39" s="20">
        <v>-839.52233013219995</v>
      </c>
      <c r="H39" s="20">
        <v>-838.87963874690001</v>
      </c>
      <c r="I39" s="20">
        <v>-838.90503544909996</v>
      </c>
      <c r="J39" s="20">
        <v>-840.05414359919996</v>
      </c>
      <c r="K39" s="20">
        <v>-840.08684996670002</v>
      </c>
      <c r="L39" s="20">
        <v>-839.22736416759994</v>
      </c>
      <c r="M39" s="20">
        <v>-840.42000646630004</v>
      </c>
      <c r="N39" s="20">
        <f>(M39-L39)/2*27.211324570273</f>
        <v>-16.226688343082358</v>
      </c>
      <c r="O39" s="20">
        <f>(E39-G39-D39+F39)/2*27.211324570273</f>
        <v>0.29388988915519371</v>
      </c>
      <c r="P39" s="20">
        <f>(K39-J39-I39+H39)/2*27.211324570273</f>
        <v>-9.9452837490718565E-2</v>
      </c>
      <c r="Q39" s="21">
        <f>(E39+K39-J39-D39-I39+H39-2*C39)*27.211324570273</f>
        <v>-9.2063183746805244</v>
      </c>
      <c r="R39" s="21">
        <f>(M39+E39-G39+K39-J39-L39-D39+F39-I39+H39-2*C39)*27.211324570273</f>
        <v>-9.1699025828357694</v>
      </c>
      <c r="S39" s="20">
        <v>4.4400000000000004</v>
      </c>
      <c r="T39" s="21">
        <f>-Q39/2-S39</f>
        <v>0.1631591873402618</v>
      </c>
      <c r="U39" s="21">
        <f>-R39/2-S39</f>
        <v>0.14495129141788432</v>
      </c>
      <c r="V39" s="24">
        <v>0.19046740000000001</v>
      </c>
      <c r="W39" s="20">
        <f t="shared" si="1"/>
        <v>2.7308212659738207E-2</v>
      </c>
      <c r="X39" s="20">
        <f t="shared" si="2"/>
        <v>4.5516108582115689E-2</v>
      </c>
    </row>
    <row r="40" spans="1:24" x14ac:dyDescent="0.2">
      <c r="A40" s="19" t="s">
        <v>63</v>
      </c>
      <c r="B40" s="19" t="s">
        <v>29</v>
      </c>
      <c r="C40" s="20">
        <f t="shared" si="0"/>
        <v>-0.42068146923305594</v>
      </c>
      <c r="D40" s="20">
        <v>-838.81272999999999</v>
      </c>
      <c r="E40" s="20">
        <v>-839.98934999999994</v>
      </c>
      <c r="F40" s="20">
        <v>-838.96473124629995</v>
      </c>
      <c r="G40" s="20">
        <v>-840.16317960339995</v>
      </c>
      <c r="H40" s="20">
        <v>-838.87952971139998</v>
      </c>
      <c r="I40" s="20">
        <v>-838.90515039440004</v>
      </c>
      <c r="J40" s="20">
        <v>-840.05393359610002</v>
      </c>
      <c r="K40" s="20">
        <v>-840.08692358140001</v>
      </c>
      <c r="L40" s="20">
        <v>-839.83888845319996</v>
      </c>
      <c r="M40" s="20">
        <v>-841.03518873910002</v>
      </c>
      <c r="N40" s="20">
        <f>(M40-L40)/2*27.211324570273</f>
        <v>-16.27645768156853</v>
      </c>
      <c r="O40" s="20">
        <f>(E40-G40-D40+F40)/2*27.211324570273</f>
        <v>0.2969892549426198</v>
      </c>
      <c r="P40" s="20">
        <f>(K40-J40-I40+H40)/2*27.211324570273</f>
        <v>-0.10026423836999589</v>
      </c>
      <c r="Q40" s="21">
        <f>(E40+K40-J40-D40-I40+H40-2*C40)*27.211324570273</f>
        <v>-9.3233171926165355</v>
      </c>
      <c r="R40" s="21">
        <f>(M40+E40-G40+K40-J40-L40-D40+F40-I40+H40-2*C40)*27.211324570273</f>
        <v>-9.2648653299918138</v>
      </c>
      <c r="S40" s="20">
        <v>4.4400000000000004</v>
      </c>
      <c r="T40" s="21">
        <f>-Q40/2-S40</f>
        <v>0.22165859630826734</v>
      </c>
      <c r="U40" s="21">
        <f>-R40/2-S40</f>
        <v>0.1924326649959065</v>
      </c>
      <c r="V40" s="24">
        <v>0.19046740000000001</v>
      </c>
      <c r="W40" s="20">
        <f t="shared" si="1"/>
        <v>3.1191196308267333E-2</v>
      </c>
      <c r="X40" s="20">
        <f t="shared" si="2"/>
        <v>1.9652649959064905E-3</v>
      </c>
    </row>
    <row r="41" spans="1:24" x14ac:dyDescent="0.2">
      <c r="A41" s="19" t="s">
        <v>63</v>
      </c>
      <c r="B41" s="19" t="s">
        <v>30</v>
      </c>
      <c r="C41" s="20">
        <f t="shared" si="0"/>
        <v>-0.42068146923305594</v>
      </c>
      <c r="D41" s="20">
        <v>-838.76724000000002</v>
      </c>
      <c r="E41" s="20">
        <v>-839.93462</v>
      </c>
      <c r="F41" s="20">
        <v>-838.91847478449995</v>
      </c>
      <c r="G41" s="20">
        <v>-840.10770533849995</v>
      </c>
      <c r="H41" s="20">
        <v>-838.87976594689997</v>
      </c>
      <c r="I41" s="20">
        <v>-838.90533000209996</v>
      </c>
      <c r="J41" s="20">
        <v>-840.05421418109995</v>
      </c>
      <c r="K41" s="20">
        <v>-840.08708171390003</v>
      </c>
      <c r="L41" s="20">
        <v>-839.81177643379999</v>
      </c>
      <c r="M41" s="20">
        <v>-840.99816493929995</v>
      </c>
      <c r="N41" s="20">
        <f>(M41-L41)/2*27.211324570273</f>
        <v>-16.1416013448003</v>
      </c>
      <c r="O41" s="20">
        <f>(E41-G41-D41+F41)/2*27.211324570273</f>
        <v>0.29729125846748017</v>
      </c>
      <c r="P41" s="20">
        <f>(K41-J41-I41+H41)/2*27.211324570273</f>
        <v>-9.9368649733877434E-2</v>
      </c>
      <c r="Q41" s="21">
        <f>(E41+K41-J41-D41-I41+H41-2*C41)*27.211324570273</f>
        <v>-9.0700933763125082</v>
      </c>
      <c r="R41" s="21">
        <f>(M41+E41-G41+K41-J41-L41-D41+F41-I41+H41-2*C41)*27.211324570273</f>
        <v>-8.9927574721303021</v>
      </c>
      <c r="S41" s="20">
        <v>4.4400000000000004</v>
      </c>
      <c r="T41" s="21">
        <f>-Q41/2-S41</f>
        <v>9.5046688156253722E-2</v>
      </c>
      <c r="U41" s="21">
        <f>-R41/2-S41</f>
        <v>5.6378736065150648E-2</v>
      </c>
      <c r="V41" s="24">
        <v>0.19046740000000001</v>
      </c>
      <c r="W41" s="20">
        <f t="shared" si="1"/>
        <v>9.5420711843746286E-2</v>
      </c>
      <c r="X41" s="20">
        <f t="shared" si="2"/>
        <v>0.13408866393484936</v>
      </c>
    </row>
    <row r="42" spans="1:24" x14ac:dyDescent="0.2">
      <c r="A42" s="19" t="s">
        <v>63</v>
      </c>
      <c r="B42" s="19" t="s">
        <v>31</v>
      </c>
      <c r="C42" s="20">
        <f t="shared" si="0"/>
        <v>-0.42068146923305594</v>
      </c>
      <c r="D42" s="20">
        <v>-838.81272999999999</v>
      </c>
      <c r="E42" s="20">
        <v>-839.98934999999994</v>
      </c>
      <c r="F42" s="20">
        <v>-838.96473124629995</v>
      </c>
      <c r="G42" s="20">
        <v>-840.16317960339995</v>
      </c>
      <c r="H42" s="20">
        <v>-838.87952971139998</v>
      </c>
      <c r="I42" s="20">
        <v>-838.90515039440004</v>
      </c>
      <c r="J42" s="20">
        <v>-840.05393359610002</v>
      </c>
      <c r="K42" s="20">
        <v>-840.08692358140001</v>
      </c>
      <c r="L42" s="20">
        <v>-839.30203845779999</v>
      </c>
      <c r="M42" s="20">
        <v>-840.49037091189996</v>
      </c>
      <c r="N42" s="20">
        <f>(M42-L42)/2*27.211324570273</f>
        <v>-16.168050052951578</v>
      </c>
      <c r="O42" s="20">
        <f>(E42-G42-D42+F42)/2*27.211324570273</f>
        <v>0.2969892549426198</v>
      </c>
      <c r="P42" s="20">
        <f>(K42-J42-I42+H42)/2*27.211324570273</f>
        <v>-0.10026423836999589</v>
      </c>
      <c r="Q42" s="21">
        <f>(E42+K42-J42-D42-I42+H42-2*C42)*27.211324570273</f>
        <v>-9.3233171926165355</v>
      </c>
      <c r="R42" s="21">
        <f>(M42+E42-G42+K42-J42-L42-D42+F42-I42+H42-2*C42)*27.211324570273</f>
        <v>-9.0480500727610025</v>
      </c>
      <c r="S42" s="20">
        <v>4.4400000000000004</v>
      </c>
      <c r="T42" s="21">
        <f>-Q42/2-S42</f>
        <v>0.22165859630826734</v>
      </c>
      <c r="U42" s="21">
        <f>-R42/2-S42</f>
        <v>8.402503638050085E-2</v>
      </c>
      <c r="V42" s="24">
        <v>0.19046740000000001</v>
      </c>
      <c r="W42" s="20">
        <f t="shared" si="1"/>
        <v>3.1191196308267333E-2</v>
      </c>
      <c r="X42" s="20">
        <f t="shared" si="2"/>
        <v>0.10644236361949916</v>
      </c>
    </row>
    <row r="43" spans="1:24" x14ac:dyDescent="0.2">
      <c r="A43" s="19" t="s">
        <v>63</v>
      </c>
      <c r="B43" s="19" t="s">
        <v>32</v>
      </c>
      <c r="C43" s="20">
        <f t="shared" si="0"/>
        <v>-0.42068146923305594</v>
      </c>
      <c r="D43" s="20">
        <v>-838.76724000000002</v>
      </c>
      <c r="E43" s="20">
        <v>-839.93462</v>
      </c>
      <c r="F43" s="20">
        <v>-838.91847478449995</v>
      </c>
      <c r="G43" s="20">
        <v>-840.10770533849995</v>
      </c>
      <c r="H43" s="20">
        <v>-838.87976594689997</v>
      </c>
      <c r="I43" s="20">
        <v>-838.90533000209996</v>
      </c>
      <c r="J43" s="20">
        <v>-840.05421418109995</v>
      </c>
      <c r="K43" s="20">
        <v>-840.08708171390003</v>
      </c>
      <c r="L43" s="20">
        <v>-839.29536408210004</v>
      </c>
      <c r="M43" s="20">
        <v>-840.47350454759999</v>
      </c>
      <c r="N43" s="20">
        <f>(M43-L43)/2*27.211324570273</f>
        <v>-16.029381298045838</v>
      </c>
      <c r="O43" s="20">
        <f>(E43-G43-D43+F43)/2*27.211324570273</f>
        <v>0.29729125846748017</v>
      </c>
      <c r="P43" s="20">
        <f>(K43-J43-I43+H43)/2*27.211324570273</f>
        <v>-9.9368649733877434E-2</v>
      </c>
      <c r="Q43" s="21">
        <f>(E43+K43-J43-D43-I43+H43-2*C43)*27.211324570273</f>
        <v>-9.0700933763125082</v>
      </c>
      <c r="R43" s="21">
        <f>(M43+E43-G43+K43-J43-L43-D43+F43-I43+H43-2*C43)*27.211324570273</f>
        <v>-8.7683173786244684</v>
      </c>
      <c r="S43" s="20">
        <v>4.4400000000000004</v>
      </c>
      <c r="T43" s="21">
        <f>-Q43/2-S43</f>
        <v>9.5046688156253722E-2</v>
      </c>
      <c r="U43" s="21">
        <f>-R43/2-S43</f>
        <v>-5.584131068776621E-2</v>
      </c>
      <c r="V43" s="24">
        <v>0.19046740000000001</v>
      </c>
      <c r="W43" s="20">
        <f t="shared" si="1"/>
        <v>9.5420711843746286E-2</v>
      </c>
      <c r="X43" s="20">
        <f t="shared" si="2"/>
        <v>0.24630871068776622</v>
      </c>
    </row>
    <row r="44" spans="1:24" x14ac:dyDescent="0.2">
      <c r="A44" s="19" t="s">
        <v>63</v>
      </c>
      <c r="B44" s="19" t="s">
        <v>33</v>
      </c>
      <c r="C44" s="20">
        <f t="shared" si="0"/>
        <v>-0.42068146923305594</v>
      </c>
      <c r="D44" s="20">
        <v>-839.14679000000001</v>
      </c>
      <c r="E44" s="20">
        <v>-840.30433000000005</v>
      </c>
      <c r="F44" s="20">
        <v>-839.29660071629996</v>
      </c>
      <c r="G44" s="20">
        <v>-840.47435141439996</v>
      </c>
      <c r="H44" s="20">
        <v>-838.87947164959996</v>
      </c>
      <c r="I44" s="20">
        <v>-838.9049600907</v>
      </c>
      <c r="J44" s="20">
        <v>-840.05408911669997</v>
      </c>
      <c r="K44" s="20">
        <v>-840.08670141690004</v>
      </c>
      <c r="L44" s="20">
        <v>-839.29616720570004</v>
      </c>
      <c r="M44" s="20">
        <v>-840.47436109039995</v>
      </c>
      <c r="N44" s="20">
        <f>(M44-L44)/2*27.211324570273</f>
        <v>-16.030108101640003</v>
      </c>
      <c r="O44" s="20">
        <f>(E44-G44-D44+F44)/2*27.211324570273</f>
        <v>0.27497993289488926</v>
      </c>
      <c r="P44" s="20">
        <f>(K44-J44-I44+H44)/2*27.211324570273</f>
        <v>-9.6924821081955909E-2</v>
      </c>
      <c r="Q44" s="21">
        <f>(E44+K44-J44-D44-I44+H44-2*C44)*27.211324570273</f>
        <v>-8.797446285241902</v>
      </c>
      <c r="R44" s="21">
        <f>(M44+E44-G44+K44-J44-L44-D44+F44-I44+H44-2*C44)*27.211324570273</f>
        <v>-8.809505979657235</v>
      </c>
      <c r="S44" s="20">
        <v>4.4400000000000004</v>
      </c>
      <c r="T44" s="21">
        <f>-Q44/2-S44</f>
        <v>-4.1276857379049403E-2</v>
      </c>
      <c r="U44" s="21">
        <f>-R44/2-S44</f>
        <v>-3.5247010171382875E-2</v>
      </c>
      <c r="V44" s="24">
        <v>0.19046740000000001</v>
      </c>
      <c r="W44" s="20">
        <f t="shared" si="1"/>
        <v>0.23174425737904941</v>
      </c>
      <c r="X44" s="20">
        <f t="shared" si="2"/>
        <v>0.22571441017138288</v>
      </c>
    </row>
    <row r="45" spans="1:24" ht="15" customHeight="1" x14ac:dyDescent="0.2">
      <c r="A45" s="19" t="s">
        <v>63</v>
      </c>
      <c r="B45" s="19" t="s">
        <v>42</v>
      </c>
      <c r="C45" s="20">
        <f t="shared" si="0"/>
        <v>-0.42068146923305594</v>
      </c>
      <c r="D45" s="20">
        <v>-839.14670000000001</v>
      </c>
      <c r="E45" s="20">
        <v>-840.30582000000004</v>
      </c>
      <c r="F45" s="20">
        <v>-839.29670477870002</v>
      </c>
      <c r="G45" s="20">
        <v>-840.47474048799995</v>
      </c>
      <c r="H45" s="20">
        <v>-838.87946935119999</v>
      </c>
      <c r="I45" s="20">
        <v>-838.90495362829995</v>
      </c>
      <c r="J45" s="20">
        <v>-840.05394522510005</v>
      </c>
      <c r="K45" s="20">
        <v>-840.08655402989996</v>
      </c>
      <c r="L45" s="20">
        <v>-839.29616748679996</v>
      </c>
      <c r="M45" s="20">
        <v>-840.47435548789997</v>
      </c>
      <c r="N45" s="20">
        <f>(M45-L45)/2*27.211324570273</f>
        <v>-16.030028051366784</v>
      </c>
      <c r="O45" s="20">
        <f>(E45-G45-D45+F45)/2*27.211324570273</f>
        <v>0.25736075261830876</v>
      </c>
      <c r="P45" s="20">
        <f>(K45-J45-I45+H45)/2*27.211324570273</f>
        <v>-9.6933917826530588E-2</v>
      </c>
      <c r="Q45" s="21">
        <f>(E45+K45-J45-D45-I45+H45-2*C45)*27.211324570273</f>
        <v>-8.8404583715518079</v>
      </c>
      <c r="R45" s="21">
        <f>(M45+E45-G45+K45-J45-L45-D45+F45-I45+H45-2*C45)*27.211324570273</f>
        <v>-8.8446024331561972</v>
      </c>
      <c r="S45" s="20">
        <v>4.4400000000000004</v>
      </c>
      <c r="T45" s="21">
        <f>-Q45/2-S45</f>
        <v>-1.9770814224096434E-2</v>
      </c>
      <c r="U45" s="21">
        <f>-R45/2-S45</f>
        <v>-1.7698783421901787E-2</v>
      </c>
      <c r="V45" s="24">
        <v>0.19046740000000001</v>
      </c>
      <c r="W45" s="20">
        <f t="shared" si="1"/>
        <v>0.21023821422409644</v>
      </c>
      <c r="X45" s="20">
        <f t="shared" si="2"/>
        <v>0.2081661834219018</v>
      </c>
    </row>
    <row r="46" spans="1:24" ht="15" customHeight="1" x14ac:dyDescent="0.2">
      <c r="A46" s="19" t="s">
        <v>63</v>
      </c>
      <c r="B46" s="19" t="s">
        <v>43</v>
      </c>
      <c r="C46" s="20">
        <f t="shared" si="0"/>
        <v>-0.42068146923305594</v>
      </c>
      <c r="D46" s="20">
        <v>-838.76724000000002</v>
      </c>
      <c r="E46" s="20">
        <v>-839.93462</v>
      </c>
      <c r="F46" s="20">
        <v>-838.91847478449995</v>
      </c>
      <c r="G46" s="20">
        <v>-840.10770533849995</v>
      </c>
      <c r="H46" s="20">
        <v>-838.87976594689997</v>
      </c>
      <c r="I46" s="20">
        <v>-838.90533000209996</v>
      </c>
      <c r="J46" s="20">
        <v>-840.05421418109995</v>
      </c>
      <c r="K46" s="20">
        <v>-840.08708171390003</v>
      </c>
      <c r="L46" s="20">
        <v>-838.13818799923001</v>
      </c>
      <c r="M46" s="20">
        <v>-839.333340212032</v>
      </c>
      <c r="N46" s="20">
        <f>(M46-L46)/2*27.211324570273</f>
        <v>-16.260837386717412</v>
      </c>
      <c r="O46" s="20">
        <f>(E46-G46-D46+F46)/2*27.211324570273</f>
        <v>0.29729125846748017</v>
      </c>
      <c r="P46" s="20">
        <f>(K46-J46-I46+H46)/2*27.211324570273</f>
        <v>-9.9368649733877434E-2</v>
      </c>
      <c r="Q46" s="21">
        <f>(E46+K46-J46-D46-I46+H46-2*C46)*27.211324570273</f>
        <v>-9.0700933763125082</v>
      </c>
      <c r="R46" s="21">
        <f>(M46+E46-G46+K46-J46-L46-D46+F46-I46+H46-2*C46)*27.211324570273</f>
        <v>-9.2312295559676212</v>
      </c>
      <c r="S46" s="20">
        <v>4.4400000000000004</v>
      </c>
      <c r="T46" s="21">
        <f>-Q46/2-S46</f>
        <v>9.5046688156253722E-2</v>
      </c>
      <c r="U46" s="21">
        <f>-R46/2-S46</f>
        <v>0.1756147779838102</v>
      </c>
      <c r="V46" s="24">
        <v>0.19046740000000001</v>
      </c>
      <c r="W46" s="20">
        <f t="shared" si="1"/>
        <v>9.5420711843746286E-2</v>
      </c>
      <c r="X46" s="20">
        <f t="shared" si="2"/>
        <v>1.4852622016189809E-2</v>
      </c>
    </row>
    <row r="47" spans="1:24" x14ac:dyDescent="0.2">
      <c r="A47" s="19" t="s">
        <v>64</v>
      </c>
      <c r="B47" s="19" t="s">
        <v>27</v>
      </c>
      <c r="C47" s="20">
        <f t="shared" si="0"/>
        <v>-0.42068146923305594</v>
      </c>
      <c r="D47" s="20">
        <f>-1934.27426</f>
        <v>-1934.2742599999999</v>
      </c>
      <c r="E47" s="20">
        <v>-1935.4465299999999</v>
      </c>
      <c r="F47" s="20">
        <v>-1934.4103001601</v>
      </c>
      <c r="G47" s="20">
        <v>-1935.6054646706</v>
      </c>
      <c r="H47" s="20">
        <v>-1934.7657896259</v>
      </c>
      <c r="I47" s="20">
        <v>-1935.0175534731</v>
      </c>
      <c r="J47" s="20">
        <v>-1935.9360886745001</v>
      </c>
      <c r="K47" s="20">
        <v>-1936.2081640454001</v>
      </c>
      <c r="L47" s="20">
        <v>-1936.0092138723001</v>
      </c>
      <c r="M47" s="20">
        <v>-1937.2009390134001</v>
      </c>
      <c r="N47" s="20">
        <f>(M47-L47)/2*27.211324570273</f>
        <v>-16.214209806513932</v>
      </c>
      <c r="O47" s="20">
        <f>(E47-G47-D47+F47)/2*27.211324570273</f>
        <v>0.31149497804663873</v>
      </c>
      <c r="P47" s="20">
        <f>(K47-J47-I47+H47)/2*27.211324570273</f>
        <v>-0.27635173195877338</v>
      </c>
      <c r="Q47" s="21">
        <f>(E47+K47-J47-D47-I47+H47-2*C47)*27.211324570273</f>
        <v>-9.5571229179121815</v>
      </c>
      <c r="R47" s="21">
        <f>(M47+E47-G47+K47-J47-L47-D47+F47-I47+H47-2*C47)*27.211324570273</f>
        <v>-9.4635331208521354</v>
      </c>
      <c r="S47" s="20">
        <v>4.4400000000000004</v>
      </c>
      <c r="T47" s="21">
        <f>-Q47/2-S47</f>
        <v>0.33856145895609036</v>
      </c>
      <c r="U47" s="21">
        <f>-R47/2-S47</f>
        <v>0.2917665604260673</v>
      </c>
      <c r="V47" s="24">
        <v>0.16500000000000001</v>
      </c>
      <c r="W47" s="20">
        <f t="shared" si="1"/>
        <v>0.17356145895609035</v>
      </c>
      <c r="X47" s="20">
        <f t="shared" si="2"/>
        <v>0.12676656042606729</v>
      </c>
    </row>
    <row r="48" spans="1:24" x14ac:dyDescent="0.2">
      <c r="A48" s="19" t="s">
        <v>64</v>
      </c>
      <c r="B48" s="19" t="s">
        <v>145</v>
      </c>
      <c r="C48" s="20">
        <f t="shared" si="0"/>
        <v>-0.42068146923305594</v>
      </c>
      <c r="D48" s="20">
        <v>-1933.6884</v>
      </c>
      <c r="E48" s="20">
        <v>-1934.85726</v>
      </c>
      <c r="F48" s="20">
        <v>-1933.8286721648999</v>
      </c>
      <c r="G48" s="20">
        <v>-1935.0197518089001</v>
      </c>
      <c r="H48" s="20">
        <v>-1934.7687532862001</v>
      </c>
      <c r="I48" s="20">
        <v>-1935.0198937852001</v>
      </c>
      <c r="J48" s="20">
        <v>-1935.9391744811001</v>
      </c>
      <c r="K48" s="20">
        <v>-1936.2107635775999</v>
      </c>
      <c r="L48" s="20">
        <v>-1935.4406167293</v>
      </c>
      <c r="M48" s="20">
        <v>-1936.6297277178001</v>
      </c>
      <c r="N48" s="20">
        <f>(M48-L48)/2*27.211324570273</f>
        <v>-16.178642529076285</v>
      </c>
      <c r="O48" s="20">
        <f>(E48-G48-D48+F48)/2*27.211324570273</f>
        <v>0.30231297236251814</v>
      </c>
      <c r="P48" s="20">
        <f>(K48-J48-I48+H48)/2*27.211324570273</f>
        <v>-0.27821671178707252</v>
      </c>
      <c r="Q48" s="21">
        <f>(E48+K48-J48-D48-I48+H48-2*C48)*27.211324570273</f>
        <v>-9.4680622607833111</v>
      </c>
      <c r="R48" s="21">
        <f>(M48+E48-G48+K48-J48-L48-D48+F48-I48+H48-2*C48)*27.211324570273</f>
        <v>-9.4144925369954908</v>
      </c>
      <c r="S48" s="20">
        <v>4.4400000000000004</v>
      </c>
      <c r="T48" s="21">
        <f>-Q48/2-S48</f>
        <v>0.29403113039165518</v>
      </c>
      <c r="U48" s="21">
        <f>-R48/2-S48</f>
        <v>0.26724626849774502</v>
      </c>
      <c r="V48" s="24">
        <v>0.16500000000000001</v>
      </c>
      <c r="W48" s="20">
        <f t="shared" si="1"/>
        <v>0.12903113039165517</v>
      </c>
      <c r="X48" s="20">
        <f t="shared" si="2"/>
        <v>0.10224626849774501</v>
      </c>
    </row>
    <row r="49" spans="1:24" x14ac:dyDescent="0.2">
      <c r="A49" s="19" t="s">
        <v>64</v>
      </c>
      <c r="B49" s="19" t="s">
        <v>29</v>
      </c>
      <c r="C49" s="20">
        <f t="shared" si="0"/>
        <v>-0.42068146923305594</v>
      </c>
      <c r="D49" s="20">
        <v>-1934.5323100000001</v>
      </c>
      <c r="E49" s="20">
        <v>-1935.7052900000001</v>
      </c>
      <c r="F49" s="20">
        <v>-1934.6711146959001</v>
      </c>
      <c r="G49" s="20">
        <v>-1935.8668013591</v>
      </c>
      <c r="H49" s="20">
        <v>-1934.7680500019001</v>
      </c>
      <c r="I49" s="20">
        <v>-1935.0197258692999</v>
      </c>
      <c r="J49" s="20">
        <v>-1935.9383931355001</v>
      </c>
      <c r="K49" s="20">
        <v>-1936.2102386448</v>
      </c>
      <c r="L49" s="20">
        <v>-1936.2589823004</v>
      </c>
      <c r="M49" s="20">
        <v>-1937.4518719641001</v>
      </c>
      <c r="N49" s="20">
        <f>(M49-L49)/2*27.211324570273</f>
        <v>-16.230053907732845</v>
      </c>
      <c r="O49" s="20">
        <f>(E49-G49-D49+F49)/2*27.211324570273</f>
        <v>0.30893919111976242</v>
      </c>
      <c r="P49" s="20">
        <f>(K49-J49-I49+H49)/2*27.211324570273</f>
        <v>-0.27442133610504837</v>
      </c>
      <c r="Q49" s="21">
        <f>(E49+K49-J49-D49-I49+H49-2*C49)*27.211324570273</f>
        <v>-9.5725821666565309</v>
      </c>
      <c r="R49" s="21">
        <f>(M49+E49-G49+K49-J49-L49-D49+F49-I49+H49-2*C49)*27.211324570273</f>
        <v>-9.4964721054300725</v>
      </c>
      <c r="S49" s="20">
        <v>4.4400000000000004</v>
      </c>
      <c r="T49" s="21">
        <f>-Q49/2-S49</f>
        <v>0.34629108332826508</v>
      </c>
      <c r="U49" s="21">
        <f>-R49/2-S49</f>
        <v>0.30823605271503585</v>
      </c>
      <c r="V49" s="24">
        <v>0.16500000000000001</v>
      </c>
      <c r="W49" s="20">
        <f t="shared" si="1"/>
        <v>0.18129108332826507</v>
      </c>
      <c r="X49" s="20">
        <f t="shared" si="2"/>
        <v>0.14323605271503584</v>
      </c>
    </row>
    <row r="50" spans="1:24" x14ac:dyDescent="0.2">
      <c r="A50" s="19" t="s">
        <v>64</v>
      </c>
      <c r="B50" s="19" t="s">
        <v>30</v>
      </c>
      <c r="C50" s="20">
        <f t="shared" si="0"/>
        <v>-0.42068146923305594</v>
      </c>
      <c r="D50" s="20">
        <v>-1934.5993900000001</v>
      </c>
      <c r="E50" s="20">
        <v>-1935.7629300000001</v>
      </c>
      <c r="F50" s="20">
        <v>-1934.7370260809</v>
      </c>
      <c r="G50" s="20">
        <v>-1935.9234427034</v>
      </c>
      <c r="H50" s="20">
        <v>-1934.7682365204</v>
      </c>
      <c r="I50" s="20">
        <v>-1935.0197439996</v>
      </c>
      <c r="J50" s="20">
        <v>-1935.9386095135001</v>
      </c>
      <c r="K50" s="20">
        <v>-1936.2102438024999</v>
      </c>
      <c r="L50" s="20">
        <v>-1936.3453054081999</v>
      </c>
      <c r="M50" s="20">
        <v>-1937.528257313</v>
      </c>
      <c r="N50" s="20">
        <f>(M50-L50)/2*27.211324570273</f>
        <v>-16.094844116269378</v>
      </c>
      <c r="O50" s="20">
        <f>(E50-G50-D50+F50)/2*27.211324570273</f>
        <v>0.31125159995965324</v>
      </c>
      <c r="P50" s="20">
        <f>(K50-J50-I50+H50)/2*27.211324570273</f>
        <v>-0.27383857701429343</v>
      </c>
      <c r="Q50" s="21">
        <f>(E50+K50-J50-D50-I50+H50-2*C50)*27.211324570273</f>
        <v>-9.3145417445305405</v>
      </c>
      <c r="R50" s="21">
        <f>(M50+E50-G50+K50-J50-L50-D50+F50-I50+H50-2*C50)*27.211324570273</f>
        <v>-9.2202621866542263</v>
      </c>
      <c r="S50" s="20">
        <v>4.4400000000000004</v>
      </c>
      <c r="T50" s="21">
        <f>-Q50/2-S50</f>
        <v>0.21727087226526987</v>
      </c>
      <c r="U50" s="21">
        <f>-R50/2-S50</f>
        <v>0.17013109332711274</v>
      </c>
      <c r="V50" s="24">
        <v>0.16500000000000001</v>
      </c>
      <c r="W50" s="20">
        <f t="shared" si="1"/>
        <v>5.2270872265269858E-2</v>
      </c>
      <c r="X50" s="20">
        <f t="shared" si="2"/>
        <v>5.131093327112729E-3</v>
      </c>
    </row>
    <row r="51" spans="1:24" x14ac:dyDescent="0.2">
      <c r="A51" s="19" t="s">
        <v>64</v>
      </c>
      <c r="B51" s="19" t="s">
        <v>31</v>
      </c>
      <c r="C51" s="20">
        <f t="shared" si="0"/>
        <v>-0.42068146923305594</v>
      </c>
      <c r="D51" s="20">
        <v>-1934.5323100000001</v>
      </c>
      <c r="E51" s="20">
        <v>-1935.7052900000001</v>
      </c>
      <c r="F51" s="20">
        <v>-1934.6711146959001</v>
      </c>
      <c r="G51" s="20">
        <v>-1935.8668013591</v>
      </c>
      <c r="H51" s="20">
        <v>-1934.7680500019001</v>
      </c>
      <c r="I51" s="20">
        <v>-1935.0197258692999</v>
      </c>
      <c r="J51" s="20">
        <v>-1935.9383931355001</v>
      </c>
      <c r="K51" s="20">
        <v>-1936.2102386448</v>
      </c>
      <c r="L51" s="20">
        <v>-1935.4474318008999</v>
      </c>
      <c r="M51" s="20">
        <v>-1936.6323321497</v>
      </c>
      <c r="N51" s="20">
        <f>(M51-L51)/2*27.211324570273</f>
        <v>-16.121353987314009</v>
      </c>
      <c r="O51" s="20">
        <f>(E51-G51-D51+F51)/2*27.211324570273</f>
        <v>0.30893919111976242</v>
      </c>
      <c r="P51" s="20">
        <f>(K51-J51-I51+H51)/2*27.211324570273</f>
        <v>-0.27442133610504837</v>
      </c>
      <c r="Q51" s="21">
        <f>(E51+K51-J51-D51-I51+H51-2*C51)*27.211324570273</f>
        <v>-9.5725821666565309</v>
      </c>
      <c r="R51" s="21">
        <f>(M51+E51-G51+K51-J51-L51-D51+F51-I51+H51-2*C51)*27.211324570273</f>
        <v>-9.2790722645985895</v>
      </c>
      <c r="S51" s="20">
        <v>4.4400000000000004</v>
      </c>
      <c r="T51" s="21">
        <f>-Q51/2-S51</f>
        <v>0.34629108332826508</v>
      </c>
      <c r="U51" s="21">
        <f>-R51/2-S51</f>
        <v>0.19953613229929434</v>
      </c>
      <c r="V51" s="24">
        <v>0.16500000000000001</v>
      </c>
      <c r="W51" s="20">
        <f t="shared" si="1"/>
        <v>0.18129108332826507</v>
      </c>
      <c r="X51" s="20">
        <f t="shared" si="2"/>
        <v>3.4536132299294336E-2</v>
      </c>
    </row>
    <row r="52" spans="1:24" x14ac:dyDescent="0.2">
      <c r="A52" s="19" t="s">
        <v>64</v>
      </c>
      <c r="B52" s="19" t="s">
        <v>32</v>
      </c>
      <c r="C52" s="20">
        <f t="shared" si="0"/>
        <v>-0.42068146923305594</v>
      </c>
      <c r="D52" s="20">
        <v>-1934.5993900000001</v>
      </c>
      <c r="E52" s="20">
        <v>-1935.7629300000001</v>
      </c>
      <c r="F52" s="20">
        <v>-1934.7370260809</v>
      </c>
      <c r="G52" s="20">
        <v>-1935.9234427034</v>
      </c>
      <c r="H52" s="20">
        <v>-1934.7682365204</v>
      </c>
      <c r="I52" s="20">
        <v>-1935.0197439996</v>
      </c>
      <c r="J52" s="20">
        <v>-1935.9386095135001</v>
      </c>
      <c r="K52" s="20">
        <v>-1936.2102438024999</v>
      </c>
      <c r="L52" s="20">
        <v>-1935.567356796</v>
      </c>
      <c r="M52" s="20">
        <v>-1936.7421070527</v>
      </c>
      <c r="N52" s="20">
        <f>(M52-L52)/2*27.211324570273</f>
        <v>-15.983255262037725</v>
      </c>
      <c r="O52" s="20">
        <f>(E52-G52-D52+F52)/2*27.211324570273</f>
        <v>0.31125159995965324</v>
      </c>
      <c r="P52" s="20">
        <f>(K52-J52-I52+H52)/2*27.211324570273</f>
        <v>-0.27383857701429343</v>
      </c>
      <c r="Q52" s="21">
        <f>(E52+K52-J52-D52-I52+H52-2*C52)*27.211324570273</f>
        <v>-9.3145417445305405</v>
      </c>
      <c r="R52" s="21">
        <f>(M52+E52-G52+K52-J52-L52-D52+F52-I52+H52-2*C52)*27.211324570273</f>
        <v>-8.9970844781909172</v>
      </c>
      <c r="S52" s="20">
        <v>4.4400000000000004</v>
      </c>
      <c r="T52" s="21">
        <f>-Q52/2-S52</f>
        <v>0.21727087226526987</v>
      </c>
      <c r="U52" s="21">
        <f>-R52/2-S52</f>
        <v>5.8542239095458193E-2</v>
      </c>
      <c r="V52" s="24">
        <v>0.16500000000000001</v>
      </c>
      <c r="W52" s="20">
        <f t="shared" si="1"/>
        <v>5.2270872265269858E-2</v>
      </c>
      <c r="X52" s="20">
        <f t="shared" si="2"/>
        <v>0.10645776090454181</v>
      </c>
    </row>
    <row r="53" spans="1:24" x14ac:dyDescent="0.2">
      <c r="A53" s="19" t="s">
        <v>64</v>
      </c>
      <c r="B53" s="19" t="s">
        <v>33</v>
      </c>
      <c r="C53" s="20">
        <f t="shared" si="0"/>
        <v>-0.42068146923305594</v>
      </c>
      <c r="D53" s="20">
        <v>-1935.4418499999999</v>
      </c>
      <c r="E53" s="20">
        <v>-1936.5922800000001</v>
      </c>
      <c r="F53" s="20">
        <v>-1935.5751245213</v>
      </c>
      <c r="G53" s="20">
        <v>-1936.7504973726</v>
      </c>
      <c r="H53" s="20">
        <v>-1934.7664232100999</v>
      </c>
      <c r="I53" s="20">
        <v>-1935.0165708248001</v>
      </c>
      <c r="J53" s="20">
        <v>-1935.9368783156999</v>
      </c>
      <c r="K53" s="20">
        <v>-1936.2069723638001</v>
      </c>
      <c r="L53" s="20">
        <v>-1935.5738307795</v>
      </c>
      <c r="M53" s="20">
        <v>-1936.7486533582</v>
      </c>
      <c r="N53" s="20">
        <f>(M53-L53)/2*27.211324570273</f>
        <v>-15.984239250746203</v>
      </c>
      <c r="O53" s="20">
        <f>(E53-G53-D53+F53)/2*27.211324570273</f>
        <v>0.33936401121323634</v>
      </c>
      <c r="P53" s="20">
        <f>(K53-J53-I53+H53)/2*27.211324570273</f>
        <v>-0.27138443663386724</v>
      </c>
      <c r="Q53" s="21">
        <f>(E53+K53-J53-D53-I53+H53-2*C53)*27.211324570273</f>
        <v>-8.9528929986569565</v>
      </c>
      <c r="R53" s="21">
        <f>(M53+E53-G53+K53-J53-L53-D53+F53-I53+H53-2*C53)*27.211324570273</f>
        <v>-8.9379193523398559</v>
      </c>
      <c r="S53" s="20">
        <v>4.4400000000000004</v>
      </c>
      <c r="T53" s="21">
        <f>-Q53/2-S53</f>
        <v>3.6446499328477877E-2</v>
      </c>
      <c r="U53" s="21">
        <f>-R53/2-S53</f>
        <v>2.8959676169927562E-2</v>
      </c>
      <c r="V53" s="24">
        <v>0.16500000000000001</v>
      </c>
      <c r="W53" s="20">
        <f t="shared" si="1"/>
        <v>0.12855350067152213</v>
      </c>
      <c r="X53" s="20">
        <f t="shared" si="2"/>
        <v>0.13604032383007245</v>
      </c>
    </row>
    <row r="54" spans="1:24" ht="15" customHeight="1" x14ac:dyDescent="0.2">
      <c r="A54" s="19" t="s">
        <v>64</v>
      </c>
      <c r="B54" s="19" t="s">
        <v>42</v>
      </c>
      <c r="C54" s="20">
        <f t="shared" si="0"/>
        <v>-0.42068146923305594</v>
      </c>
      <c r="D54" s="20">
        <v>-1935.4407799999999</v>
      </c>
      <c r="E54" s="20">
        <v>-1936.59025</v>
      </c>
      <c r="F54" s="20">
        <v>-1935.5744380901999</v>
      </c>
      <c r="G54" s="20">
        <v>-1936.7494260742001</v>
      </c>
      <c r="H54" s="20">
        <v>-1934.7664149335001</v>
      </c>
      <c r="I54" s="20">
        <v>-1935.0167047826001</v>
      </c>
      <c r="J54" s="20">
        <v>-1935.9368910364999</v>
      </c>
      <c r="K54" s="20">
        <v>-1936.2069197769999</v>
      </c>
      <c r="L54" s="20">
        <v>-1935.5738438772</v>
      </c>
      <c r="M54" s="20">
        <v>-1936.7486439443001</v>
      </c>
      <c r="N54" s="20">
        <f>(M54-L54)/2*27.211324570273</f>
        <v>-15.983932965518608</v>
      </c>
      <c r="O54" s="20">
        <f>(E54-G54-D54+F54)/2*27.211324570273</f>
        <v>0.34718907250273029</v>
      </c>
      <c r="P54" s="20">
        <f>(K54-J54-I54+H54)/2*27.211324570273</f>
        <v>-0.26856069027190876</v>
      </c>
      <c r="Q54" s="21">
        <f>(E54+K54-J54-D54-I54+H54-2*C54)*27.211324570273</f>
        <v>-8.9211226343372871</v>
      </c>
      <c r="R54" s="21">
        <f>(M54+E54-G54+K54-J54-L54-D54+F54-I54+H54-2*C54)*27.211324570273</f>
        <v>-8.9160091665879477</v>
      </c>
      <c r="S54" s="20">
        <v>4.4400000000000004</v>
      </c>
      <c r="T54" s="21">
        <f>-Q54/2-S54</f>
        <v>2.0561317168643178E-2</v>
      </c>
      <c r="U54" s="21">
        <f>-R54/2-S54</f>
        <v>1.8004583293973475E-2</v>
      </c>
      <c r="V54" s="24">
        <v>0.16500000000000001</v>
      </c>
      <c r="W54" s="20">
        <f t="shared" si="1"/>
        <v>0.14443868283135683</v>
      </c>
      <c r="X54" s="20">
        <f t="shared" si="2"/>
        <v>0.14699541670602653</v>
      </c>
    </row>
    <row r="55" spans="1:24" ht="15" customHeight="1" x14ac:dyDescent="0.2">
      <c r="A55" s="19" t="s">
        <v>64</v>
      </c>
      <c r="B55" s="19" t="s">
        <v>43</v>
      </c>
      <c r="C55" s="20">
        <f t="shared" si="0"/>
        <v>-0.42068146923305594</v>
      </c>
      <c r="D55" s="20">
        <v>-1934.5993900000001</v>
      </c>
      <c r="E55" s="20">
        <v>-1935.7629300000001</v>
      </c>
      <c r="F55" s="20">
        <v>-1934.7370260809</v>
      </c>
      <c r="G55" s="20">
        <v>-1935.9234427034</v>
      </c>
      <c r="H55" s="20">
        <v>-1934.7682365204</v>
      </c>
      <c r="I55" s="20">
        <v>-1935.0197439996</v>
      </c>
      <c r="J55" s="20">
        <v>-1935.9386095135001</v>
      </c>
      <c r="K55" s="20">
        <v>-1936.2102438024999</v>
      </c>
      <c r="L55" s="20">
        <v>-1933.2480872046001</v>
      </c>
      <c r="M55" s="20">
        <v>-1934.4398743465599</v>
      </c>
      <c r="N55" s="20">
        <f>(M55-L55)/2*27.211324570273</f>
        <v>-16.215053369273363</v>
      </c>
      <c r="O55" s="20">
        <f>(E55-G55-D55+F55)/2*27.211324570273</f>
        <v>0.31125159995965324</v>
      </c>
      <c r="P55" s="20">
        <f>(K55-J55-I55+H55)/2*27.211324570273</f>
        <v>-0.27383857701429343</v>
      </c>
      <c r="Q55" s="21">
        <f>(E55+K55-J55-D55-I55+H55-2*C55)*27.211324570273</f>
        <v>-9.3145417445305405</v>
      </c>
      <c r="R55" s="21">
        <f>(M55+E55-G55+K55-J55-L55-D55+F55-I55+H55-2*C55)*27.211324570273</f>
        <v>-9.4606806926436295</v>
      </c>
      <c r="S55" s="20">
        <v>4.4400000000000004</v>
      </c>
      <c r="T55" s="21">
        <f>-Q55/2-S55</f>
        <v>0.21727087226526987</v>
      </c>
      <c r="U55" s="21">
        <f>-R55/2-S55</f>
        <v>0.29034034632181438</v>
      </c>
      <c r="V55" s="24">
        <v>0.16500000000000001</v>
      </c>
      <c r="W55" s="20">
        <f t="shared" si="1"/>
        <v>5.2270872265269858E-2</v>
      </c>
      <c r="X55" s="20">
        <f t="shared" si="2"/>
        <v>0.12534034632181437</v>
      </c>
    </row>
    <row r="56" spans="1:24" x14ac:dyDescent="0.2">
      <c r="A56" s="19" t="s">
        <v>65</v>
      </c>
      <c r="B56" s="19" t="s">
        <v>27</v>
      </c>
      <c r="C56" s="20">
        <f t="shared" si="0"/>
        <v>-0.42068146923305594</v>
      </c>
      <c r="D56" s="20">
        <f>-1934.22514</f>
        <v>-1934.22514</v>
      </c>
      <c r="E56" s="20">
        <v>-1935.4529199999999</v>
      </c>
      <c r="F56" s="20">
        <v>-1934.3604452356999</v>
      </c>
      <c r="G56" s="20">
        <v>-1935.6156039765999</v>
      </c>
      <c r="H56" s="20">
        <v>-1934.7191075804999</v>
      </c>
      <c r="I56" s="20">
        <v>-1934.9968160122</v>
      </c>
      <c r="J56" s="20">
        <v>-1935.9522493219999</v>
      </c>
      <c r="K56" s="20">
        <v>-1936.2044158444</v>
      </c>
      <c r="L56" s="20">
        <v>-1935.9598077436001</v>
      </c>
      <c r="M56" s="20">
        <v>-1937.2065774002999</v>
      </c>
      <c r="N56" s="20">
        <f>(M56-L56)/2*27.211324570273</f>
        <v>-16.963126896413399</v>
      </c>
      <c r="O56" s="20">
        <f>(E56-G56-D56+F56)/2*27.211324570273</f>
        <v>0.37250590247868931</v>
      </c>
      <c r="P56" s="20">
        <f>(K56-J56-I56+H56)/2*27.211324570273</f>
        <v>0.34751459205400653</v>
      </c>
      <c r="Q56" s="21">
        <f>(E56+K56-J56-D56-I56+H56-2*C56)*27.211324570273</f>
        <v>-9.8198908967862923</v>
      </c>
      <c r="R56" s="21">
        <f>(M56+E56-G56+K56-J56-L56-D56+F56-I56+H56-2*C56)*27.211324570273</f>
        <v>-9.5916128037737813</v>
      </c>
      <c r="S56" s="20">
        <v>4.4400000000000004</v>
      </c>
      <c r="T56" s="21">
        <f>-Q56/2-S56</f>
        <v>0.46994544839314578</v>
      </c>
      <c r="U56" s="21">
        <f>-R56/2-S56</f>
        <v>0.35580640188689028</v>
      </c>
      <c r="V56" s="24">
        <v>-0.03</v>
      </c>
      <c r="W56" s="20">
        <f t="shared" si="1"/>
        <v>0.49994544839314581</v>
      </c>
      <c r="X56" s="20">
        <f t="shared" si="2"/>
        <v>0.3858064018868903</v>
      </c>
    </row>
    <row r="57" spans="1:24" x14ac:dyDescent="0.2">
      <c r="A57" s="19" t="s">
        <v>65</v>
      </c>
      <c r="B57" s="19" t="s">
        <v>145</v>
      </c>
      <c r="C57" s="20">
        <f t="shared" si="0"/>
        <v>-0.42068146923305594</v>
      </c>
      <c r="D57" s="20">
        <v>-1933.6397400000001</v>
      </c>
      <c r="E57" s="20">
        <v>-1934.8620900000001</v>
      </c>
      <c r="F57" s="20">
        <v>-1933.7812454274001</v>
      </c>
      <c r="G57" s="20">
        <v>-1935.0290718637</v>
      </c>
      <c r="H57" s="20">
        <v>-1934.7224557175</v>
      </c>
      <c r="I57" s="20">
        <v>-1934.9998638518</v>
      </c>
      <c r="J57" s="20">
        <v>-1935.955245766</v>
      </c>
      <c r="K57" s="20">
        <v>-1936.2074246966999</v>
      </c>
      <c r="L57" s="20">
        <v>-1935.3922905065999</v>
      </c>
      <c r="M57" s="20">
        <v>-1936.6341879007</v>
      </c>
      <c r="N57" s="20">
        <f>(M57-L57)/2*27.211324570273</f>
        <v>-16.896836536916741</v>
      </c>
      <c r="O57" s="20">
        <f>(E57-G57-D57+F57)/2*27.211324570273</f>
        <v>0.34662378852480347</v>
      </c>
      <c r="P57" s="20">
        <f>(K57-J57-I57+H57)/2*27.211324570273</f>
        <v>0.34326002390482074</v>
      </c>
      <c r="Q57" s="21">
        <f>(E57+K57-J57-D57-I57+H57-2*C57)*27.211324570273</f>
        <v>-9.6806425406637189</v>
      </c>
      <c r="R57" s="21">
        <f>(M57+E57-G57+K57-J57-L57-D57+F57-I57+H57-2*C57)*27.211324570273</f>
        <v>-9.5193054489680442</v>
      </c>
      <c r="S57" s="20">
        <v>4.4400000000000004</v>
      </c>
      <c r="T57" s="21">
        <f>-Q57/2-S57</f>
        <v>0.40032127033185905</v>
      </c>
      <c r="U57" s="21">
        <f>-R57/2-S57</f>
        <v>0.31965272448402171</v>
      </c>
      <c r="V57" s="24">
        <v>-0.03</v>
      </c>
      <c r="W57" s="20">
        <f t="shared" si="1"/>
        <v>0.43032127033185907</v>
      </c>
      <c r="X57" s="20">
        <f t="shared" si="2"/>
        <v>0.34965272448402174</v>
      </c>
    </row>
    <row r="58" spans="1:24" x14ac:dyDescent="0.2">
      <c r="A58" s="19" t="s">
        <v>65</v>
      </c>
      <c r="B58" s="19" t="s">
        <v>29</v>
      </c>
      <c r="C58" s="20">
        <f t="shared" si="0"/>
        <v>-0.42068146923305594</v>
      </c>
      <c r="D58" s="20">
        <v>-1934.4838299999999</v>
      </c>
      <c r="E58" s="20">
        <v>-1935.7082700000001</v>
      </c>
      <c r="F58" s="20">
        <v>-1934.6232677087</v>
      </c>
      <c r="G58" s="20">
        <v>-1935.8746060081</v>
      </c>
      <c r="H58" s="20">
        <v>-1934.7203857438999</v>
      </c>
      <c r="I58" s="20">
        <v>-1934.9980742089001</v>
      </c>
      <c r="J58" s="20">
        <v>-1935.9546292852999</v>
      </c>
      <c r="K58" s="20">
        <v>-1936.2075974413001</v>
      </c>
      <c r="L58" s="20">
        <v>-1936.2109583801</v>
      </c>
      <c r="M58" s="20">
        <v>-1937.4548566494</v>
      </c>
      <c r="N58" s="20">
        <f>(M58-L58)/2*27.211324570273</f>
        <v>-16.924059769161055</v>
      </c>
      <c r="O58" s="20">
        <f>(E58-G58-D58+F58)/2*27.211324570273</f>
        <v>0.36596917767841236</v>
      </c>
      <c r="P58" s="20">
        <f>(K58-J58-I58+H58)/2*27.211324570273</f>
        <v>0.33633617583864478</v>
      </c>
      <c r="Q58" s="21">
        <f>(E58+K58-J58-D58-I58+H58-2*C58)*27.211324570273</f>
        <v>-9.7513619051528444</v>
      </c>
      <c r="R58" s="21">
        <f>(M58+E58-G58+K58-J58-L58-D58+F58-I58+H58-2*C58)*27.211324570273</f>
        <v>-9.5489088312941792</v>
      </c>
      <c r="S58" s="20">
        <v>4.4400000000000004</v>
      </c>
      <c r="T58" s="21">
        <f>-Q58/2-S58</f>
        <v>0.43568095257642181</v>
      </c>
      <c r="U58" s="21">
        <f>-R58/2-S58</f>
        <v>0.33445441564708922</v>
      </c>
      <c r="V58" s="24">
        <v>-0.03</v>
      </c>
      <c r="W58" s="20">
        <f t="shared" si="1"/>
        <v>0.46568095257642184</v>
      </c>
      <c r="X58" s="20">
        <f t="shared" si="2"/>
        <v>0.36445441564708925</v>
      </c>
    </row>
    <row r="59" spans="1:24" x14ac:dyDescent="0.2">
      <c r="A59" s="19" t="s">
        <v>65</v>
      </c>
      <c r="B59" s="19" t="s">
        <v>30</v>
      </c>
      <c r="C59" s="20">
        <f t="shared" si="0"/>
        <v>-0.42068146923305594</v>
      </c>
      <c r="D59" s="20">
        <v>-1934.5507399999999</v>
      </c>
      <c r="E59" s="20">
        <v>-1935.76539</v>
      </c>
      <c r="F59" s="20">
        <v>-1934.688956814</v>
      </c>
      <c r="G59" s="20">
        <v>-1935.9305041475</v>
      </c>
      <c r="H59" s="20">
        <v>-1934.7209083953001</v>
      </c>
      <c r="I59" s="20">
        <v>-1934.9983246874999</v>
      </c>
      <c r="J59" s="20">
        <v>-1935.9548273232999</v>
      </c>
      <c r="K59" s="20">
        <v>-1936.2076905040999</v>
      </c>
      <c r="L59" s="20">
        <v>-1936.2971428081</v>
      </c>
      <c r="M59" s="20">
        <v>-1937.5307845109</v>
      </c>
      <c r="N59" s="20">
        <f>(M59-L59)/2*27.211324570273</f>
        <v>-16.784512389157722</v>
      </c>
      <c r="O59" s="20">
        <f>(E59-G59-D59+F59)/2*27.211324570273</f>
        <v>0.36595603596959808</v>
      </c>
      <c r="P59" s="20">
        <f>(K59-J59-I59+H59)/2*27.211324570273</f>
        <v>0.33406134175613306</v>
      </c>
      <c r="Q59" s="21">
        <f>(E59+K59-J59-D59-I59+H59-2*C59)*27.211324570273</f>
        <v>-9.4895127057730893</v>
      </c>
      <c r="R59" s="21">
        <f>(M59+E59-G59+K59-J59-L59-D59+F59-I59+H59-2*C59)*27.211324570273</f>
        <v>-9.2743900228639848</v>
      </c>
      <c r="S59" s="20">
        <v>4.4400000000000004</v>
      </c>
      <c r="T59" s="21">
        <f>-Q59/2-S59</f>
        <v>0.30475635288654424</v>
      </c>
      <c r="U59" s="21">
        <f>-R59/2-S59</f>
        <v>0.19719501143199203</v>
      </c>
      <c r="V59" s="24">
        <v>-0.03</v>
      </c>
      <c r="W59" s="20">
        <f t="shared" si="1"/>
        <v>0.33475635288654426</v>
      </c>
      <c r="X59" s="20">
        <f t="shared" si="2"/>
        <v>0.22719501143199203</v>
      </c>
    </row>
    <row r="60" spans="1:24" x14ac:dyDescent="0.2">
      <c r="A60" s="19" t="s">
        <v>65</v>
      </c>
      <c r="B60" s="19" t="s">
        <v>31</v>
      </c>
      <c r="C60" s="20">
        <f t="shared" si="0"/>
        <v>-0.42068146923305594</v>
      </c>
      <c r="D60" s="20">
        <v>-1934.4838299999999</v>
      </c>
      <c r="E60" s="20">
        <v>-1935.7082700000001</v>
      </c>
      <c r="F60" s="20">
        <v>-1934.6232677087</v>
      </c>
      <c r="G60" s="20">
        <v>-1935.8746060081</v>
      </c>
      <c r="H60" s="20">
        <v>-1934.7203857438999</v>
      </c>
      <c r="I60" s="20">
        <v>-1934.9980742089001</v>
      </c>
      <c r="J60" s="20">
        <v>-1935.9546292852999</v>
      </c>
      <c r="K60" s="20">
        <v>-1936.2075974413001</v>
      </c>
      <c r="L60" s="20">
        <v>-1935.3998027371999</v>
      </c>
      <c r="M60" s="20">
        <v>-1936.6359683389001</v>
      </c>
      <c r="N60" s="20">
        <f>(M60-L60)/2*27.211324570273</f>
        <v>-16.818851705234422</v>
      </c>
      <c r="O60" s="20">
        <f>(E60-G60-D60+F60)/2*27.211324570273</f>
        <v>0.36596917767841236</v>
      </c>
      <c r="P60" s="20">
        <f>(K60-J60-I60+H60)/2*27.211324570273</f>
        <v>0.33633617583864478</v>
      </c>
      <c r="Q60" s="21">
        <f>(E60+K60-J60-D60-I60+H60-2*C60)*27.211324570273</f>
        <v>-9.7513619051528444</v>
      </c>
      <c r="R60" s="21">
        <f>(M60+E60-G60+K60-J60-L60-D60+F60-I60+H60-2*C60)*27.211324570273</f>
        <v>-9.3384927034285443</v>
      </c>
      <c r="S60" s="20">
        <v>4.4400000000000004</v>
      </c>
      <c r="T60" s="21">
        <f>-Q60/2-S60</f>
        <v>0.43568095257642181</v>
      </c>
      <c r="U60" s="21">
        <f>-R60/2-S60</f>
        <v>0.22924635171427177</v>
      </c>
      <c r="V60" s="24">
        <v>-0.03</v>
      </c>
      <c r="W60" s="20">
        <f t="shared" si="1"/>
        <v>0.46568095257642184</v>
      </c>
      <c r="X60" s="20">
        <f t="shared" si="2"/>
        <v>0.25924635171427179</v>
      </c>
    </row>
    <row r="61" spans="1:24" x14ac:dyDescent="0.2">
      <c r="A61" s="19" t="s">
        <v>65</v>
      </c>
      <c r="B61" s="19" t="s">
        <v>32</v>
      </c>
      <c r="C61" s="20">
        <f t="shared" si="0"/>
        <v>-0.42068146923305594</v>
      </c>
      <c r="D61" s="20">
        <v>-1934.5507399999999</v>
      </c>
      <c r="E61" s="20">
        <v>-1935.76539</v>
      </c>
      <c r="F61" s="20">
        <v>-1934.688956814</v>
      </c>
      <c r="G61" s="20">
        <v>-1935.9305041475</v>
      </c>
      <c r="H61" s="20">
        <v>-1934.7209083953001</v>
      </c>
      <c r="I61" s="20">
        <v>-1934.9983246874999</v>
      </c>
      <c r="J61" s="20">
        <v>-1935.9548273232999</v>
      </c>
      <c r="K61" s="20">
        <v>-1936.2076905040999</v>
      </c>
      <c r="L61" s="20">
        <v>-1935.5203299720999</v>
      </c>
      <c r="M61" s="20">
        <v>-1936.7462570138</v>
      </c>
      <c r="N61" s="20">
        <f>(M61-L61)/2*27.211324570273</f>
        <v>-16.679549315587476</v>
      </c>
      <c r="O61" s="20">
        <f>(E61-G61-D61+F61)/2*27.211324570273</f>
        <v>0.36595603596959808</v>
      </c>
      <c r="P61" s="20">
        <f>(K61-J61-I61+H61)/2*27.211324570273</f>
        <v>0.33406134175613306</v>
      </c>
      <c r="Q61" s="21">
        <f>(E61+K61-J61-D61-I61+H61-2*C61)*27.211324570273</f>
        <v>-9.4895127057730893</v>
      </c>
      <c r="R61" s="21">
        <f>(M61+E61-G61+K61-J61-L61-D61+F61-I61+H61-2*C61)*27.211324570273</f>
        <v>-9.0644638757234919</v>
      </c>
      <c r="S61" s="20">
        <v>4.4400000000000004</v>
      </c>
      <c r="T61" s="21">
        <f>-Q61/2-S61</f>
        <v>0.30475635288654424</v>
      </c>
      <c r="U61" s="21">
        <f>-R61/2-S61</f>
        <v>9.223193786174555E-2</v>
      </c>
      <c r="V61" s="24">
        <v>-0.03</v>
      </c>
      <c r="W61" s="20">
        <f t="shared" si="1"/>
        <v>0.33475635288654426</v>
      </c>
      <c r="X61" s="20">
        <f t="shared" si="2"/>
        <v>0.12223193786174555</v>
      </c>
    </row>
    <row r="62" spans="1:24" x14ac:dyDescent="0.2">
      <c r="A62" s="19" t="s">
        <v>65</v>
      </c>
      <c r="B62" s="19" t="s">
        <v>33</v>
      </c>
      <c r="C62" s="20">
        <f t="shared" si="0"/>
        <v>-0.42068146923305594</v>
      </c>
      <c r="D62" s="20">
        <v>-1935.38662</v>
      </c>
      <c r="E62" s="20">
        <v>-1936.5874899999999</v>
      </c>
      <c r="F62" s="20">
        <v>-1935.5254614385001</v>
      </c>
      <c r="G62" s="20">
        <v>-1936.7518941803</v>
      </c>
      <c r="H62" s="20">
        <v>-1934.7189005237001</v>
      </c>
      <c r="I62" s="20">
        <v>-1934.9950782507999</v>
      </c>
      <c r="J62" s="20">
        <v>-1935.9525953442001</v>
      </c>
      <c r="K62" s="20">
        <v>-1936.2049345746</v>
      </c>
      <c r="L62" s="20">
        <v>-1935.5268242868999</v>
      </c>
      <c r="M62" s="20">
        <v>-1936.7527383313</v>
      </c>
      <c r="N62" s="20">
        <f>(M62-L62)/2*27.211324570273</f>
        <v>-16.679372478712807</v>
      </c>
      <c r="O62" s="20">
        <f>(E62-G62-D62+F62)/2*27.211324570273</f>
        <v>0.34779803201373927</v>
      </c>
      <c r="P62" s="20">
        <f>(K62-J62-I62+H62)/2*27.211324570273</f>
        <v>0.32433853548430591</v>
      </c>
      <c r="Q62" s="21">
        <f>(E62+K62-J62-D62-I62+H62-2*C62)*27.211324570273</f>
        <v>-9.1339862657322755</v>
      </c>
      <c r="R62" s="21">
        <f>(M62+E62-G62+K62-J62-L62-D62+F62-I62+H62-2*C62)*27.211324570273</f>
        <v>-9.1198718224295252</v>
      </c>
      <c r="S62" s="20">
        <v>4.4400000000000004</v>
      </c>
      <c r="T62" s="21">
        <f>-Q62/2-S62</f>
        <v>0.12699313286613734</v>
      </c>
      <c r="U62" s="21">
        <f>-R62/2-S62</f>
        <v>0.11993591121476221</v>
      </c>
      <c r="V62" s="24">
        <v>-0.03</v>
      </c>
      <c r="W62" s="20">
        <f t="shared" si="1"/>
        <v>0.15699313286613734</v>
      </c>
      <c r="X62" s="20">
        <f t="shared" si="2"/>
        <v>0.14993591121476221</v>
      </c>
    </row>
    <row r="63" spans="1:24" ht="15" customHeight="1" x14ac:dyDescent="0.2">
      <c r="A63" s="19" t="s">
        <v>65</v>
      </c>
      <c r="B63" s="19" t="s">
        <v>42</v>
      </c>
      <c r="C63" s="20">
        <f t="shared" si="0"/>
        <v>-0.42068146923305594</v>
      </c>
      <c r="D63" s="20">
        <v>-1935.3876499999999</v>
      </c>
      <c r="E63" s="20">
        <v>-1936.5880500000001</v>
      </c>
      <c r="F63" s="20">
        <v>-1935.5270498696</v>
      </c>
      <c r="G63" s="20">
        <v>-1936.7528221698999</v>
      </c>
      <c r="H63" s="20">
        <v>-1934.7189576348001</v>
      </c>
      <c r="I63" s="20">
        <v>-1934.9952923119999</v>
      </c>
      <c r="J63" s="20">
        <v>-1935.9525533440001</v>
      </c>
      <c r="K63" s="20">
        <v>-1936.2050556065999</v>
      </c>
      <c r="L63" s="20">
        <v>-1935.5268187772001</v>
      </c>
      <c r="M63" s="20">
        <v>-1936.7527243427</v>
      </c>
      <c r="N63" s="20">
        <f>(M63-L63)/2*27.211324570273</f>
        <v>-16.679257117661507</v>
      </c>
      <c r="O63" s="20">
        <f>(E63-G63-D63+F63)/2*27.211324570273</f>
        <v>0.34520694927547085</v>
      </c>
      <c r="P63" s="20">
        <f>(K63-J63-I63+H63)/2*27.211324570273</f>
        <v>0.32425578448784115</v>
      </c>
      <c r="Q63" s="21">
        <f>(E63+K63-J63-D63-I63+H63-2*C63)*27.211324570273</f>
        <v>-9.1213624451847188</v>
      </c>
      <c r="R63" s="21">
        <f>(M63+E63-G63+K63-J63-L63-D63+F63-I63+H63-2*C63)*27.211324570273</f>
        <v>-9.1249887677902013</v>
      </c>
      <c r="S63" s="20">
        <v>4.4400000000000004</v>
      </c>
      <c r="T63" s="21">
        <f>-Q63/2-S63</f>
        <v>0.12068122259235903</v>
      </c>
      <c r="U63" s="21">
        <f>-R63/2-S63</f>
        <v>0.12249438389510026</v>
      </c>
      <c r="V63" s="24">
        <v>-0.03</v>
      </c>
      <c r="W63" s="20">
        <f t="shared" si="1"/>
        <v>0.15068122259235903</v>
      </c>
      <c r="X63" s="20">
        <f t="shared" si="2"/>
        <v>0.15249438389510026</v>
      </c>
    </row>
    <row r="64" spans="1:24" ht="15" customHeight="1" x14ac:dyDescent="0.2">
      <c r="A64" s="19" t="s">
        <v>65</v>
      </c>
      <c r="B64" s="19" t="s">
        <v>43</v>
      </c>
      <c r="C64" s="20">
        <f t="shared" si="0"/>
        <v>-0.42068146923305594</v>
      </c>
      <c r="D64" s="20">
        <v>-1934.5507399999999</v>
      </c>
      <c r="E64" s="20">
        <v>-1935.76539</v>
      </c>
      <c r="F64" s="20">
        <v>-1934.688956814</v>
      </c>
      <c r="G64" s="20">
        <v>-1935.9305041475</v>
      </c>
      <c r="H64" s="20">
        <v>-1934.7209083953001</v>
      </c>
      <c r="I64" s="20">
        <v>-1934.9983246874999</v>
      </c>
      <c r="J64" s="20">
        <v>-1935.9548273232999</v>
      </c>
      <c r="K64" s="20">
        <v>-1936.2076905040999</v>
      </c>
      <c r="L64" s="20">
        <v>-1933.2021815196599</v>
      </c>
      <c r="M64" s="20">
        <v>-1934.4445282065501</v>
      </c>
      <c r="N64" s="20">
        <f>(M64-L64)/2*27.211324570273</f>
        <v>-16.902949462886099</v>
      </c>
      <c r="O64" s="20">
        <f>(E64-G64-D64+F64)/2*27.211324570273</f>
        <v>0.36595603596959808</v>
      </c>
      <c r="P64" s="20">
        <f>(K64-J64-I64+H64)/2*27.211324570273</f>
        <v>0.33406134175613306</v>
      </c>
      <c r="Q64" s="21">
        <f>(E64+K64-J64-D64-I64+H64-2*C64)*27.211324570273</f>
        <v>-9.4895127057730893</v>
      </c>
      <c r="R64" s="21">
        <f>(M64+E64-G64+K64-J64-L64-D64+F64-I64+H64-2*C64)*27.211324570273</f>
        <v>-9.5112641703269247</v>
      </c>
      <c r="S64" s="20">
        <v>4.4400000000000004</v>
      </c>
      <c r="T64" s="21">
        <f>-Q64/2-S64</f>
        <v>0.30475635288654424</v>
      </c>
      <c r="U64" s="21">
        <f>-R64/2-S64</f>
        <v>0.31563208516346197</v>
      </c>
      <c r="V64" s="24">
        <v>-0.03</v>
      </c>
      <c r="W64" s="20">
        <f t="shared" si="1"/>
        <v>0.33475635288654426</v>
      </c>
      <c r="X64" s="20">
        <f t="shared" si="2"/>
        <v>0.345632085163462</v>
      </c>
    </row>
    <row r="65" spans="1:24" x14ac:dyDescent="0.2">
      <c r="A65" s="19" t="s">
        <v>66</v>
      </c>
      <c r="B65" s="19" t="s">
        <v>27</v>
      </c>
      <c r="C65" s="20">
        <f t="shared" si="0"/>
        <v>-0.42068146923305594</v>
      </c>
      <c r="D65" s="20">
        <f>-1934.20493</f>
        <v>-1934.2049300000001</v>
      </c>
      <c r="E65" s="20">
        <v>-1935.4043999999999</v>
      </c>
      <c r="F65" s="20">
        <v>-1934.3385119059001</v>
      </c>
      <c r="G65" s="20">
        <v>-1935.5627075222001</v>
      </c>
      <c r="H65" s="20">
        <v>-1934.6974807883</v>
      </c>
      <c r="I65" s="20">
        <v>-1934.9931269638</v>
      </c>
      <c r="J65" s="20">
        <v>-1935.8975307753001</v>
      </c>
      <c r="K65" s="20">
        <v>-1936.1872555687</v>
      </c>
      <c r="L65" s="20">
        <v>-1935.9374469994</v>
      </c>
      <c r="M65" s="20">
        <v>-1937.1562361268</v>
      </c>
      <c r="N65" s="20">
        <f>(M65-L65)/2*27.211324570273</f>
        <v>-16.582433264200425</v>
      </c>
      <c r="O65" s="20">
        <f>(E65-G65-D65+F65)/2*27.211324570273</f>
        <v>0.33640838517241589</v>
      </c>
      <c r="P65" s="20">
        <f>(K65-J65-I65+H65)/2*27.211324570273</f>
        <v>8.0564325114413304E-2</v>
      </c>
      <c r="Q65" s="21">
        <f>(E65+K65-J65-D65-I65+H65-2*C65)*27.211324570273</f>
        <v>-9.5834388320708683</v>
      </c>
      <c r="R65" s="21">
        <f>(M65+E65-G65+K65-J65-L65-D65+F65-I65+H65-2*C65)*27.211324570273</f>
        <v>-9.4363211078333755</v>
      </c>
      <c r="S65" s="20">
        <v>4.4400000000000004</v>
      </c>
      <c r="T65" s="21">
        <f>-Q65/2-S65</f>
        <v>0.35171941603543377</v>
      </c>
      <c r="U65" s="21">
        <f>-R65/2-S65</f>
        <v>0.27816055391668737</v>
      </c>
      <c r="V65" s="24">
        <v>2.7E-2</v>
      </c>
      <c r="W65" s="20">
        <f t="shared" si="1"/>
        <v>0.32471941603543375</v>
      </c>
      <c r="X65" s="20">
        <f t="shared" si="2"/>
        <v>0.25116055391668735</v>
      </c>
    </row>
    <row r="66" spans="1:24" x14ac:dyDescent="0.2">
      <c r="A66" s="19" t="s">
        <v>66</v>
      </c>
      <c r="B66" s="19" t="s">
        <v>145</v>
      </c>
      <c r="C66" s="20">
        <f t="shared" ref="C66:C129" si="3">-11.4473/27.211324570273</f>
        <v>-0.42068146923305594</v>
      </c>
      <c r="D66" s="20">
        <v>-1933.61644</v>
      </c>
      <c r="E66" s="20">
        <v>-1934.81176</v>
      </c>
      <c r="F66" s="20">
        <v>-1933.7583200324</v>
      </c>
      <c r="G66" s="20">
        <v>-1934.9751611725001</v>
      </c>
      <c r="H66" s="20">
        <v>-1934.7005309582</v>
      </c>
      <c r="I66" s="20">
        <v>-1934.9944124916001</v>
      </c>
      <c r="J66" s="20">
        <v>-1935.8993173649001</v>
      </c>
      <c r="K66" s="20">
        <v>-1936.1889086563001</v>
      </c>
      <c r="L66" s="20">
        <v>-1935.3682256952</v>
      </c>
      <c r="M66" s="20">
        <v>-1936.5816971811</v>
      </c>
      <c r="N66" s="20">
        <f>(M66-L66)/2*27.211324570273</f>
        <v>-16.510083229799161</v>
      </c>
      <c r="O66" s="20">
        <f>(E66-G66-D66+F66)/2*27.211324570273</f>
        <v>0.29280936419237269</v>
      </c>
      <c r="P66" s="20">
        <f>(K66-J66-I66+H66)/2*27.211324570273</f>
        <v>5.8371583773843168E-2</v>
      </c>
      <c r="Q66" s="21">
        <f>(E66+K66-J66-D66-I66+H66-2*C66)*27.211324570273</f>
        <v>-9.5148973177920677</v>
      </c>
      <c r="R66" s="21">
        <f>(M66+E66-G66+K66-J66-L66-D66+F66-I66+H66-2*C66)*27.211324570273</f>
        <v>-9.4232045636658928</v>
      </c>
      <c r="S66" s="20">
        <v>4.4400000000000004</v>
      </c>
      <c r="T66" s="21">
        <f>-Q66/2-S66</f>
        <v>0.31744865889603346</v>
      </c>
      <c r="U66" s="21">
        <f>-R66/2-S66</f>
        <v>0.27160228183294599</v>
      </c>
      <c r="V66" s="24">
        <v>2.7E-2</v>
      </c>
      <c r="W66" s="20">
        <f t="shared" si="1"/>
        <v>0.29044865889603344</v>
      </c>
      <c r="X66" s="20">
        <f t="shared" si="2"/>
        <v>0.24460228183294599</v>
      </c>
    </row>
    <row r="67" spans="1:24" x14ac:dyDescent="0.2">
      <c r="A67" s="19" t="s">
        <v>66</v>
      </c>
      <c r="B67" s="19" t="s">
        <v>29</v>
      </c>
      <c r="C67" s="20">
        <f t="shared" si="3"/>
        <v>-0.42068146923305594</v>
      </c>
      <c r="D67" s="20">
        <v>-1934.4652599999999</v>
      </c>
      <c r="E67" s="20">
        <v>-1935.6584800000001</v>
      </c>
      <c r="F67" s="20">
        <v>-1934.6034730731999</v>
      </c>
      <c r="G67" s="20">
        <v>-1935.8197935264</v>
      </c>
      <c r="H67" s="20">
        <v>-1934.6988797426</v>
      </c>
      <c r="I67" s="20">
        <v>-1934.9960002544001</v>
      </c>
      <c r="J67" s="20">
        <v>-1935.8986311976</v>
      </c>
      <c r="K67" s="20">
        <v>-1936.1888899296</v>
      </c>
      <c r="L67" s="20">
        <v>-1936.1871217483999</v>
      </c>
      <c r="M67" s="20">
        <v>-1937.4019676894</v>
      </c>
      <c r="N67" s="20">
        <f>(M67-L67)/2*27.211324570273</f>
        <v>-16.528783601715151</v>
      </c>
      <c r="O67" s="20">
        <f>(E67-G67-D67+F67)/2*27.211324570273</f>
        <v>0.31429696487224013</v>
      </c>
      <c r="P67" s="20">
        <f>(K67-J67-I67+H67)/2*27.211324570273</f>
        <v>9.3359058635770223E-2</v>
      </c>
      <c r="Q67" s="21">
        <f>(E67+K67-J67-D67-I67+H67-2*C67)*27.211324570273</f>
        <v>-9.38777858647261</v>
      </c>
      <c r="R67" s="21">
        <f>(M67+E67-G67+K67-J67-L67-D67+F67-I67+H67-2*C67)*27.211324570273</f>
        <v>-9.3476551564080985</v>
      </c>
      <c r="S67" s="20">
        <v>4.4400000000000004</v>
      </c>
      <c r="T67" s="21">
        <f>-Q67/2-S67</f>
        <v>0.2538892932363046</v>
      </c>
      <c r="U67" s="21">
        <f>-R67/2-S67</f>
        <v>0.23382757820404887</v>
      </c>
      <c r="V67" s="24">
        <v>2.7E-2</v>
      </c>
      <c r="W67" s="20">
        <f t="shared" ref="W67:W130" si="4">ABS(T67-V67)</f>
        <v>0.22688929323630461</v>
      </c>
      <c r="X67" s="20">
        <f t="shared" ref="X67:X130" si="5">ABS(U67-V67)</f>
        <v>0.20682757820404887</v>
      </c>
    </row>
    <row r="68" spans="1:24" x14ac:dyDescent="0.2">
      <c r="A68" s="19" t="s">
        <v>66</v>
      </c>
      <c r="B68" s="19" t="s">
        <v>30</v>
      </c>
      <c r="C68" s="20">
        <f t="shared" si="3"/>
        <v>-0.42068146923305594</v>
      </c>
      <c r="D68" s="20">
        <v>-1934.5310400000001</v>
      </c>
      <c r="E68" s="20">
        <v>-1935.71613</v>
      </c>
      <c r="F68" s="20">
        <v>-1934.6680769469999</v>
      </c>
      <c r="G68" s="20">
        <v>-1935.8765922395</v>
      </c>
      <c r="H68" s="20">
        <v>-1934.6994340278</v>
      </c>
      <c r="I68" s="20">
        <v>-1934.9957567545</v>
      </c>
      <c r="J68" s="20">
        <v>-1935.8989203978999</v>
      </c>
      <c r="K68" s="20">
        <v>-1936.1889782249</v>
      </c>
      <c r="L68" s="20">
        <v>-1936.2736694994001</v>
      </c>
      <c r="M68" s="20">
        <v>-1937.4787724112</v>
      </c>
      <c r="N68" s="20">
        <f>(M68-L68)/2*27.211324570273</f>
        <v>-16.396223236784628</v>
      </c>
      <c r="O68" s="20">
        <f>(E68-G68-D68+F68)/2*27.211324570273</f>
        <v>0.31871661868796719</v>
      </c>
      <c r="P68" s="20">
        <f>(K68-J68-I68+H68)/2*27.211324570273</f>
        <v>8.523810956844835E-2</v>
      </c>
      <c r="Q68" s="21">
        <f>(E68+K68-J68-D68-I68+H68-2*C68)*27.211324570273</f>
        <v>-9.1827924158402645</v>
      </c>
      <c r="R68" s="21">
        <f>(M68+E68-G68+K68-J68-L68-D68+F68-I68+H68-2*C68)*27.211324570273</f>
        <v>-9.0899370170564264</v>
      </c>
      <c r="S68" s="20">
        <v>4.4400000000000004</v>
      </c>
      <c r="T68" s="21">
        <f>-Q68/2-S68</f>
        <v>0.15139620792013186</v>
      </c>
      <c r="U68" s="21">
        <f>-R68/2-S68</f>
        <v>0.10496850852821282</v>
      </c>
      <c r="V68" s="24">
        <v>2.7E-2</v>
      </c>
      <c r="W68" s="20">
        <f t="shared" si="4"/>
        <v>0.12439620792013187</v>
      </c>
      <c r="X68" s="20">
        <f t="shared" si="5"/>
        <v>7.7968508528212827E-2</v>
      </c>
    </row>
    <row r="69" spans="1:24" x14ac:dyDescent="0.2">
      <c r="A69" s="19" t="s">
        <v>66</v>
      </c>
      <c r="B69" s="19" t="s">
        <v>31</v>
      </c>
      <c r="C69" s="20">
        <f t="shared" si="3"/>
        <v>-0.42068146923305594</v>
      </c>
      <c r="D69" s="20">
        <v>-1934.4652599999999</v>
      </c>
      <c r="E69" s="20">
        <v>-1935.6584800000001</v>
      </c>
      <c r="F69" s="20">
        <v>-1934.6034730731999</v>
      </c>
      <c r="G69" s="20">
        <v>-1935.8197935264</v>
      </c>
      <c r="H69" s="20">
        <v>-1934.6988797426</v>
      </c>
      <c r="I69" s="20">
        <v>-1934.9960002544001</v>
      </c>
      <c r="J69" s="20">
        <v>-1935.8986311976</v>
      </c>
      <c r="K69" s="20">
        <v>-1936.1888899296</v>
      </c>
      <c r="L69" s="20">
        <v>-1935.3764089891999</v>
      </c>
      <c r="M69" s="20">
        <v>-1936.5834146520001</v>
      </c>
      <c r="N69" s="20">
        <f>(M69-L69)/2*27.211324570273</f>
        <v>-16.422111424306276</v>
      </c>
      <c r="O69" s="20">
        <f>(E69-G69-D69+F69)/2*27.211324570273</f>
        <v>0.31429696487224013</v>
      </c>
      <c r="P69" s="20">
        <f>(K69-J69-I69+H69)/2*27.211324570273</f>
        <v>9.3359058635770223E-2</v>
      </c>
      <c r="Q69" s="21">
        <f>(E69+K69-J69-D69-I69+H69-2*C69)*27.211324570273</f>
        <v>-9.38777858647261</v>
      </c>
      <c r="R69" s="21">
        <f>(M69+E69-G69+K69-J69-L69-D69+F69-I69+H69-2*C69)*27.211324570273</f>
        <v>-9.1343108016027159</v>
      </c>
      <c r="S69" s="20">
        <v>4.4400000000000004</v>
      </c>
      <c r="T69" s="21">
        <f>-Q69/2-S69</f>
        <v>0.2538892932363046</v>
      </c>
      <c r="U69" s="21">
        <f>-R69/2-S69</f>
        <v>0.12715540080135757</v>
      </c>
      <c r="V69" s="24">
        <v>2.7E-2</v>
      </c>
      <c r="W69" s="20">
        <f t="shared" si="4"/>
        <v>0.22688929323630461</v>
      </c>
      <c r="X69" s="20">
        <f t="shared" si="5"/>
        <v>0.10015540080135757</v>
      </c>
    </row>
    <row r="70" spans="1:24" x14ac:dyDescent="0.2">
      <c r="A70" s="19" t="s">
        <v>66</v>
      </c>
      <c r="B70" s="19" t="s">
        <v>32</v>
      </c>
      <c r="C70" s="20">
        <f t="shared" si="3"/>
        <v>-0.42068146923305594</v>
      </c>
      <c r="D70" s="20">
        <v>-1934.5310400000001</v>
      </c>
      <c r="E70" s="20">
        <v>-1935.71613</v>
      </c>
      <c r="F70" s="20">
        <v>-1934.6680769469999</v>
      </c>
      <c r="G70" s="20">
        <v>-1935.8765922395</v>
      </c>
      <c r="H70" s="20">
        <v>-1934.6994340278</v>
      </c>
      <c r="I70" s="20">
        <v>-1934.9957567545</v>
      </c>
      <c r="J70" s="20">
        <v>-1935.8989203978999</v>
      </c>
      <c r="K70" s="20">
        <v>-1936.1889782249</v>
      </c>
      <c r="L70" s="20">
        <v>-1935.4971470492001</v>
      </c>
      <c r="M70" s="20">
        <v>-1936.694316884</v>
      </c>
      <c r="N70" s="20">
        <f>(M70-L70)/2*27.211324570273</f>
        <v>-16.28828847024117</v>
      </c>
      <c r="O70" s="20">
        <f>(E70-G70-D70+F70)/2*27.211324570273</f>
        <v>0.31871661868796719</v>
      </c>
      <c r="P70" s="20">
        <f>(K70-J70-I70+H70)/2*27.211324570273</f>
        <v>8.523810956844835E-2</v>
      </c>
      <c r="Q70" s="21">
        <f>(E70+K70-J70-D70-I70+H70-2*C70)*27.211324570273</f>
        <v>-9.1827924158402645</v>
      </c>
      <c r="R70" s="21">
        <f>(M70+E70-G70+K70-J70-L70-D70+F70-I70+H70-2*C70)*27.211324570273</f>
        <v>-8.8740674839695082</v>
      </c>
      <c r="S70" s="20">
        <v>4.4400000000000004</v>
      </c>
      <c r="T70" s="21">
        <f>-Q70/2-S70</f>
        <v>0.15139620792013186</v>
      </c>
      <c r="U70" s="21">
        <f>-R70/2-S70</f>
        <v>-2.9662580152463036E-3</v>
      </c>
      <c r="V70" s="24">
        <v>2.7E-2</v>
      </c>
      <c r="W70" s="20">
        <f t="shared" si="4"/>
        <v>0.12439620792013187</v>
      </c>
      <c r="X70" s="20">
        <f t="shared" si="5"/>
        <v>2.9966258015246303E-2</v>
      </c>
    </row>
    <row r="71" spans="1:24" x14ac:dyDescent="0.2">
      <c r="A71" s="19" t="s">
        <v>66</v>
      </c>
      <c r="B71" s="19" t="s">
        <v>33</v>
      </c>
      <c r="C71" s="20">
        <f t="shared" si="3"/>
        <v>-0.42068146923305594</v>
      </c>
      <c r="D71" s="20">
        <v>-1935.36634</v>
      </c>
      <c r="E71" s="20">
        <v>-1936.5398499999999</v>
      </c>
      <c r="F71" s="20">
        <v>-1935.5035940815001</v>
      </c>
      <c r="G71" s="20">
        <v>-1936.700256436</v>
      </c>
      <c r="H71" s="20">
        <v>-1934.6967352815</v>
      </c>
      <c r="I71" s="20">
        <v>-1934.99165079</v>
      </c>
      <c r="J71" s="20">
        <v>-1935.8967515873001</v>
      </c>
      <c r="K71" s="20">
        <v>-1936.185876816</v>
      </c>
      <c r="L71" s="20">
        <v>-1935.5037297585</v>
      </c>
      <c r="M71" s="20">
        <v>-1936.7008726839999</v>
      </c>
      <c r="N71" s="20">
        <f>(M71-L71)/2*27.211324570273</f>
        <v>-16.287922351392982</v>
      </c>
      <c r="O71" s="20">
        <f>(E71-G71-D71+F71)/2*27.211324570273</f>
        <v>0.31500311643409679</v>
      </c>
      <c r="P71" s="20">
        <f>(K71-J71-I71+H71)/2*27.211324570273</f>
        <v>7.8780591496157321E-2</v>
      </c>
      <c r="Q71" s="21">
        <f>(E71+K71-J71-D71-I71+H71-2*C71)*27.211324570273</f>
        <v>-8.8806003134708877</v>
      </c>
      <c r="R71" s="21">
        <f>(M71+E71-G71+K71-J71-L71-D71+F71-I71+H71-2*C71)*27.211324570273</f>
        <v>-8.8936772869192691</v>
      </c>
      <c r="S71" s="20">
        <v>4.4400000000000004</v>
      </c>
      <c r="T71" s="21">
        <f>-Q71/2-S71</f>
        <v>3.0015673544347976E-4</v>
      </c>
      <c r="U71" s="21">
        <f>-R71/2-S71</f>
        <v>6.8386434596341417E-3</v>
      </c>
      <c r="V71" s="24">
        <v>2.7E-2</v>
      </c>
      <c r="W71" s="20">
        <f t="shared" si="4"/>
        <v>2.669984326455652E-2</v>
      </c>
      <c r="X71" s="20">
        <f t="shared" si="5"/>
        <v>2.0161356540365858E-2</v>
      </c>
    </row>
    <row r="72" spans="1:24" ht="15" customHeight="1" x14ac:dyDescent="0.2">
      <c r="A72" s="19" t="s">
        <v>66</v>
      </c>
      <c r="B72" s="19" t="s">
        <v>42</v>
      </c>
      <c r="C72" s="20">
        <f t="shared" si="3"/>
        <v>-0.42068146923305594</v>
      </c>
      <c r="D72" s="20">
        <v>-1935.3674900000001</v>
      </c>
      <c r="E72" s="20">
        <v>-1936.5414599999999</v>
      </c>
      <c r="F72" s="20">
        <v>-1935.5052527047999</v>
      </c>
      <c r="G72" s="20">
        <v>-1936.7021597948999</v>
      </c>
      <c r="H72" s="20">
        <v>-1934.6966148859001</v>
      </c>
      <c r="I72" s="20">
        <v>-1934.9922814490001</v>
      </c>
      <c r="J72" s="20">
        <v>-1935.8967382854</v>
      </c>
      <c r="K72" s="20">
        <v>-1936.1859012027001</v>
      </c>
      <c r="L72" s="20">
        <v>-1935.5037469839999</v>
      </c>
      <c r="M72" s="20">
        <v>-1936.7008575243001</v>
      </c>
      <c r="N72" s="20">
        <f>(M72-L72)/2*27.211324570273</f>
        <v>-16.28748172930144</v>
      </c>
      <c r="O72" s="20">
        <f>(E72-G72-D72+F72)/2*27.211324570273</f>
        <v>0.31207430170687495</v>
      </c>
      <c r="P72" s="20">
        <f>(K72-J72-I72+H72)/2*27.211324570273</f>
        <v>8.8486408376494172E-2</v>
      </c>
      <c r="Q72" s="21">
        <f>(E72+K72-J72-D72-I72+H72-2*C72)*27.211324570273</f>
        <v>-8.8737058890118714</v>
      </c>
      <c r="R72" s="21">
        <f>(M72+E72-G72+K72-J72-L72-D72+F72-I72+H72-2*C72)*27.211324570273</f>
        <v>-8.8792420384423316</v>
      </c>
      <c r="S72" s="20">
        <v>4.4400000000000004</v>
      </c>
      <c r="T72" s="21">
        <f>-Q72/2-S72</f>
        <v>-3.1470554940646878E-3</v>
      </c>
      <c r="U72" s="21">
        <f>-R72/2-S72</f>
        <v>-3.7898077883458114E-4</v>
      </c>
      <c r="V72" s="24">
        <v>2.7E-2</v>
      </c>
      <c r="W72" s="20">
        <f t="shared" si="4"/>
        <v>3.0147055494064687E-2</v>
      </c>
      <c r="X72" s="20">
        <f t="shared" si="5"/>
        <v>2.7378980778834581E-2</v>
      </c>
    </row>
    <row r="73" spans="1:24" ht="15" customHeight="1" x14ac:dyDescent="0.2">
      <c r="A73" s="19" t="s">
        <v>66</v>
      </c>
      <c r="B73" s="19" t="s">
        <v>43</v>
      </c>
      <c r="C73" s="20">
        <f t="shared" si="3"/>
        <v>-0.42068146923305594</v>
      </c>
      <c r="D73" s="20">
        <v>-1934.5310400000001</v>
      </c>
      <c r="E73" s="20">
        <v>-1935.71613</v>
      </c>
      <c r="F73" s="20">
        <v>-1934.6680769469999</v>
      </c>
      <c r="G73" s="20">
        <v>-1935.8765922395</v>
      </c>
      <c r="H73" s="20">
        <v>-1934.6994340278</v>
      </c>
      <c r="I73" s="20">
        <v>-1934.9957567545</v>
      </c>
      <c r="J73" s="20">
        <v>-1935.8989203978999</v>
      </c>
      <c r="K73" s="20">
        <v>-1936.1889782249</v>
      </c>
      <c r="L73" s="20">
        <v>-1933.1793328799799</v>
      </c>
      <c r="M73" s="20">
        <v>-1934.3923284489399</v>
      </c>
      <c r="N73" s="20">
        <f>(M73-L73)/2*27.211324570273</f>
        <v>-16.503608064636332</v>
      </c>
      <c r="O73" s="20">
        <f>(E73-G73-D73+F73)/2*27.211324570273</f>
        <v>0.31871661868796719</v>
      </c>
      <c r="P73" s="20">
        <f>(K73-J73-I73+H73)/2*27.211324570273</f>
        <v>8.523810956844835E-2</v>
      </c>
      <c r="Q73" s="21">
        <f>(E73+K73-J73-D73-I73+H73-2*C73)*27.211324570273</f>
        <v>-9.1827924158402645</v>
      </c>
      <c r="R73" s="21">
        <f>(M73+E73-G73+K73-J73-L73-D73+F73-I73+H73-2*C73)*27.211324570273</f>
        <v>-9.3047066727598313</v>
      </c>
      <c r="S73" s="20">
        <v>4.4400000000000004</v>
      </c>
      <c r="T73" s="21">
        <f>-Q73/2-S73</f>
        <v>0.15139620792013186</v>
      </c>
      <c r="U73" s="21">
        <f>-R73/2-S73</f>
        <v>0.21235333637991527</v>
      </c>
      <c r="V73" s="24">
        <v>2.7E-2</v>
      </c>
      <c r="W73" s="20">
        <f t="shared" si="4"/>
        <v>0.12439620792013187</v>
      </c>
      <c r="X73" s="20">
        <f t="shared" si="5"/>
        <v>0.18535333637991527</v>
      </c>
    </row>
    <row r="74" spans="1:24" x14ac:dyDescent="0.2">
      <c r="A74" s="19" t="s">
        <v>67</v>
      </c>
      <c r="B74" s="19" t="s">
        <v>27</v>
      </c>
      <c r="C74" s="20">
        <f t="shared" si="3"/>
        <v>-0.42068146923305594</v>
      </c>
      <c r="D74" s="20">
        <f>-1311.27809</f>
        <v>-1311.27809</v>
      </c>
      <c r="E74" s="20">
        <v>-1312.4567099999999</v>
      </c>
      <c r="F74" s="20">
        <v>-1311.4174373189001</v>
      </c>
      <c r="G74" s="20">
        <v>-1312.6200332812</v>
      </c>
      <c r="H74" s="20">
        <v>-1311.6551823708</v>
      </c>
      <c r="I74" s="20">
        <v>-1311.7586624973001</v>
      </c>
      <c r="J74" s="20">
        <v>-1312.8335351224</v>
      </c>
      <c r="K74" s="20">
        <v>-1312.9467382457999</v>
      </c>
      <c r="L74" s="20">
        <v>-1312.5773220102999</v>
      </c>
      <c r="M74" s="20">
        <v>-1313.7769235902001</v>
      </c>
      <c r="N74" s="20">
        <f>(M74-L74)/2*27.211324570273</f>
        <v>-16.321373972838554</v>
      </c>
      <c r="O74" s="20">
        <f>(E74-G74-D74+F74)/2*27.211324570273</f>
        <v>0.32620884601534805</v>
      </c>
      <c r="P74" s="20">
        <f>(K74-J74-I74+H74)/2*27.211324570273</f>
        <v>-0.13228781221922042</v>
      </c>
      <c r="Q74" s="21">
        <f>(E74+K74-J74-D74-I74+H74-2*C74)*27.211324570273</f>
        <v>-9.4417869894573379</v>
      </c>
      <c r="R74" s="21">
        <f>(M74+E74-G74+K74-J74-L74-D74+F74-I74+H74-2*C74)*27.211324570273</f>
        <v>-9.360305878091042</v>
      </c>
      <c r="S74" s="20">
        <v>4.4400000000000004</v>
      </c>
      <c r="T74" s="21">
        <f>-Q74/2-S74</f>
        <v>0.28089349472866854</v>
      </c>
      <c r="U74" s="21">
        <f>-R74/2-S74</f>
        <v>0.2401529390455206</v>
      </c>
      <c r="V74" s="24">
        <v>0.16300000000000001</v>
      </c>
      <c r="W74" s="20">
        <f t="shared" si="4"/>
        <v>0.11789349472866853</v>
      </c>
      <c r="X74" s="20">
        <f t="shared" si="5"/>
        <v>7.7152939045520591E-2</v>
      </c>
    </row>
    <row r="75" spans="1:24" x14ac:dyDescent="0.2">
      <c r="A75" s="19" t="s">
        <v>67</v>
      </c>
      <c r="B75" s="19" t="s">
        <v>145</v>
      </c>
      <c r="C75" s="20">
        <f t="shared" si="3"/>
        <v>-0.42068146923305594</v>
      </c>
      <c r="D75" s="20">
        <v>-1310.81052</v>
      </c>
      <c r="E75" s="20">
        <v>-1311.98531</v>
      </c>
      <c r="F75" s="20">
        <v>-1310.9524350767001</v>
      </c>
      <c r="G75" s="20">
        <v>-1312.1506685264001</v>
      </c>
      <c r="H75" s="20">
        <v>-1311.6568202219</v>
      </c>
      <c r="I75" s="20">
        <v>-1311.7595978178999</v>
      </c>
      <c r="J75" s="20">
        <v>-1312.8352589438</v>
      </c>
      <c r="K75" s="20">
        <v>-1312.9478297911</v>
      </c>
      <c r="L75" s="20">
        <v>-1312.1253381541001</v>
      </c>
      <c r="M75" s="20">
        <v>-1313.3219128410001</v>
      </c>
      <c r="N75" s="20">
        <f>(M75-L75)/2*27.211324570273</f>
        <v>-16.280191088904637</v>
      </c>
      <c r="O75" s="20">
        <f>(E75-G75-D75+F75)/2*27.211324570273</f>
        <v>0.31896365941577265</v>
      </c>
      <c r="P75" s="20">
        <f>(K75-J75-I75+H75)/2*27.211324570273</f>
        <v>-0.13324366986334757</v>
      </c>
      <c r="Q75" s="21">
        <f>(E75+K75-J75-D75-I75+H75-2*C75)*27.211324570273</f>
        <v>-9.3394793316385289</v>
      </c>
      <c r="R75" s="21">
        <f>(M75+E75-G75+K75-J75-L75-D75+F75-I75+H75-2*C75)*27.211324570273</f>
        <v>-9.2943421986982351</v>
      </c>
      <c r="S75" s="20">
        <v>4.4400000000000004</v>
      </c>
      <c r="T75" s="21">
        <f>-Q75/2-S75</f>
        <v>0.22973966581926408</v>
      </c>
      <c r="U75" s="21">
        <f>-R75/2-S75</f>
        <v>0.20717109934911715</v>
      </c>
      <c r="V75" s="24">
        <v>0.16300000000000001</v>
      </c>
      <c r="W75" s="20">
        <f t="shared" si="4"/>
        <v>6.6739665819264077E-2</v>
      </c>
      <c r="X75" s="20">
        <f t="shared" si="5"/>
        <v>4.4171099349117143E-2</v>
      </c>
    </row>
    <row r="76" spans="1:24" x14ac:dyDescent="0.2">
      <c r="A76" s="19" t="s">
        <v>67</v>
      </c>
      <c r="B76" s="19" t="s">
        <v>29</v>
      </c>
      <c r="C76" s="20">
        <f t="shared" si="3"/>
        <v>-0.42068146923305594</v>
      </c>
      <c r="D76" s="20">
        <v>-1311.51604</v>
      </c>
      <c r="E76" s="20">
        <v>-1312.69469</v>
      </c>
      <c r="F76" s="20">
        <v>-1311.6571236551999</v>
      </c>
      <c r="G76" s="20">
        <v>-1312.8597431992</v>
      </c>
      <c r="H76" s="20">
        <v>-1311.6563725622</v>
      </c>
      <c r="I76" s="20">
        <v>-1311.7596230628999</v>
      </c>
      <c r="J76" s="20">
        <v>-1312.8347318609999</v>
      </c>
      <c r="K76" s="20">
        <v>-1312.9476461987999</v>
      </c>
      <c r="L76" s="20">
        <v>-1312.8066105718001</v>
      </c>
      <c r="M76" s="20">
        <v>-1314.0068539798001</v>
      </c>
      <c r="N76" s="20">
        <f>(M76-L76)/2*27.211324570273</f>
        <v>-16.33010646920938</v>
      </c>
      <c r="O76" s="20">
        <f>(E76-G76-D76+F76)/2*27.211324570273</f>
        <v>0.32612152079286277</v>
      </c>
      <c r="P76" s="20">
        <f>(K76-J76-I76+H76)/2*27.211324570273</f>
        <v>-0.13148290396261944</v>
      </c>
      <c r="Q76" s="21">
        <f>(E76+K76-J76-D76-I76+H76-2*C76)*27.211324570273</f>
        <v>-9.4409935126791833</v>
      </c>
      <c r="R76" s="21">
        <f>(M76+E76-G76+K76-J76-L76-D76+F76-I76+H76-2*C76)*27.211324570273</f>
        <v>-9.3763357047582705</v>
      </c>
      <c r="S76" s="20">
        <v>4.4400000000000004</v>
      </c>
      <c r="T76" s="21">
        <f>-Q76/2-S76</f>
        <v>0.28049675633959126</v>
      </c>
      <c r="U76" s="21">
        <f>-R76/2-S76</f>
        <v>0.24816785237913486</v>
      </c>
      <c r="V76" s="24">
        <v>0.16300000000000001</v>
      </c>
      <c r="W76" s="20">
        <f t="shared" si="4"/>
        <v>0.11749675633959125</v>
      </c>
      <c r="X76" s="20">
        <f t="shared" si="5"/>
        <v>8.5167852379134851E-2</v>
      </c>
    </row>
    <row r="77" spans="1:24" x14ac:dyDescent="0.2">
      <c r="A77" s="19" t="s">
        <v>67</v>
      </c>
      <c r="B77" s="19" t="s">
        <v>30</v>
      </c>
      <c r="C77" s="20">
        <f t="shared" si="3"/>
        <v>-0.42068146923305594</v>
      </c>
      <c r="D77" s="20">
        <v>-1311.5183199999999</v>
      </c>
      <c r="E77" s="20">
        <v>-1312.6878400000001</v>
      </c>
      <c r="F77" s="20">
        <v>-1311.6585868556001</v>
      </c>
      <c r="G77" s="20">
        <v>-1312.8519974975</v>
      </c>
      <c r="H77" s="20">
        <v>-1311.6566114042</v>
      </c>
      <c r="I77" s="20">
        <v>-1311.7597063063999</v>
      </c>
      <c r="J77" s="20">
        <v>-1312.8350067292999</v>
      </c>
      <c r="K77" s="20">
        <v>-1312.9477063663001</v>
      </c>
      <c r="L77" s="20">
        <v>-1312.8273673014</v>
      </c>
      <c r="M77" s="20">
        <v>-1314.0177248363</v>
      </c>
      <c r="N77" s="20">
        <f>(M77-L77)/2*27.211324570273</f>
        <v>-16.195602618416046</v>
      </c>
      <c r="O77" s="20">
        <f>(E77-G77-D77+F77)/2*27.211324570273</f>
        <v>0.32504800546241724</v>
      </c>
      <c r="P77" s="20">
        <f>(K77-J77-I77+H77)/2*27.211324570273</f>
        <v>-0.13067877802951361</v>
      </c>
      <c r="Q77" s="21">
        <f>(E77+K77-J77-D77-I77+H77-2*C77)*27.211324570273</f>
        <v>-9.1909458674949143</v>
      </c>
      <c r="R77" s="21">
        <f>(M77+E77-G77+K77-J77-L77-D77+F77-I77+H77-2*C77)*27.211324570273</f>
        <v>-9.1078667819724757</v>
      </c>
      <c r="S77" s="20">
        <v>4.4400000000000004</v>
      </c>
      <c r="T77" s="21">
        <f>-Q77/2-S77</f>
        <v>0.15547293374745674</v>
      </c>
      <c r="U77" s="21">
        <f>-R77/2-S77</f>
        <v>0.11393339098623745</v>
      </c>
      <c r="V77" s="24">
        <v>0.16300000000000001</v>
      </c>
      <c r="W77" s="20">
        <f t="shared" si="4"/>
        <v>7.527066252543263E-3</v>
      </c>
      <c r="X77" s="20">
        <f t="shared" si="5"/>
        <v>4.9066609013762558E-2</v>
      </c>
    </row>
    <row r="78" spans="1:24" x14ac:dyDescent="0.2">
      <c r="A78" s="19" t="s">
        <v>67</v>
      </c>
      <c r="B78" s="19" t="s">
        <v>31</v>
      </c>
      <c r="C78" s="20">
        <f t="shared" si="3"/>
        <v>-0.42068146923305594</v>
      </c>
      <c r="D78" s="20">
        <v>-1311.51604</v>
      </c>
      <c r="E78" s="20">
        <v>-1312.69469</v>
      </c>
      <c r="F78" s="20">
        <v>-1311.6571236551999</v>
      </c>
      <c r="G78" s="20">
        <v>-1312.8597431992</v>
      </c>
      <c r="H78" s="20">
        <v>-1311.6563725622</v>
      </c>
      <c r="I78" s="20">
        <v>-1311.7596230628999</v>
      </c>
      <c r="J78" s="20">
        <v>-1312.8347318609999</v>
      </c>
      <c r="K78" s="20">
        <v>-1312.9476461987999</v>
      </c>
      <c r="L78" s="20">
        <v>-1312.1657682442999</v>
      </c>
      <c r="M78" s="20">
        <v>-1313.3580166069</v>
      </c>
      <c r="N78" s="20">
        <f>(M78-L78)/2*27.211324570273</f>
        <v>-16.221328581544462</v>
      </c>
      <c r="O78" s="20">
        <f>(E78-G78-D78+F78)/2*27.211324570273</f>
        <v>0.32612152079286277</v>
      </c>
      <c r="P78" s="20">
        <f>(K78-J78-I78+H78)/2*27.211324570273</f>
        <v>-0.13148290396261944</v>
      </c>
      <c r="Q78" s="21">
        <f>(E78+K78-J78-D78-I78+H78-2*C78)*27.211324570273</f>
        <v>-9.4409935126791833</v>
      </c>
      <c r="R78" s="21">
        <f>(M78+E78-G78+K78-J78-L78-D78+F78-I78+H78-2*C78)*27.211324570273</f>
        <v>-9.1587799294222538</v>
      </c>
      <c r="S78" s="20">
        <v>4.4400000000000004</v>
      </c>
      <c r="T78" s="21">
        <f>-Q78/2-S78</f>
        <v>0.28049675633959126</v>
      </c>
      <c r="U78" s="21">
        <f>-R78/2-S78</f>
        <v>0.13938996471112652</v>
      </c>
      <c r="V78" s="24">
        <v>0.16300000000000001</v>
      </c>
      <c r="W78" s="20">
        <f t="shared" si="4"/>
        <v>0.11749675633959125</v>
      </c>
      <c r="X78" s="20">
        <f t="shared" si="5"/>
        <v>2.3610035288873482E-2</v>
      </c>
    </row>
    <row r="79" spans="1:24" x14ac:dyDescent="0.2">
      <c r="A79" s="19" t="s">
        <v>67</v>
      </c>
      <c r="B79" s="19" t="s">
        <v>32</v>
      </c>
      <c r="C79" s="20">
        <f t="shared" si="3"/>
        <v>-0.42068146923305594</v>
      </c>
      <c r="D79" s="20">
        <v>-1311.5183199999999</v>
      </c>
      <c r="E79" s="20">
        <v>-1312.6878400000001</v>
      </c>
      <c r="F79" s="20">
        <v>-1311.6585868556001</v>
      </c>
      <c r="G79" s="20">
        <v>-1312.8519974975</v>
      </c>
      <c r="H79" s="20">
        <v>-1311.6566114042</v>
      </c>
      <c r="I79" s="20">
        <v>-1311.7597063063999</v>
      </c>
      <c r="J79" s="20">
        <v>-1312.8350067292999</v>
      </c>
      <c r="K79" s="20">
        <v>-1312.9477063663001</v>
      </c>
      <c r="L79" s="20">
        <v>-1312.2131165997</v>
      </c>
      <c r="M79" s="20">
        <v>-1313.3952383681001</v>
      </c>
      <c r="N79" s="20">
        <f>(M79-L79)/2*27.211324570273</f>
        <v>-16.083549560759639</v>
      </c>
      <c r="O79" s="20">
        <f>(E79-G79-D79+F79)/2*27.211324570273</f>
        <v>0.32504800546241724</v>
      </c>
      <c r="P79" s="20">
        <f>(K79-J79-I79+H79)/2*27.211324570273</f>
        <v>-0.13067877802951361</v>
      </c>
      <c r="Q79" s="21">
        <f>(E79+K79-J79-D79-I79+H79-2*C79)*27.211324570273</f>
        <v>-9.1909458674949143</v>
      </c>
      <c r="R79" s="21">
        <f>(M79+E79-G79+K79-J79-L79-D79+F79-I79+H79-2*C79)*27.211324570273</f>
        <v>-8.8837606666596578</v>
      </c>
      <c r="S79" s="20">
        <v>4.4400000000000004</v>
      </c>
      <c r="T79" s="21">
        <f>-Q79/2-S79</f>
        <v>0.15547293374745674</v>
      </c>
      <c r="U79" s="21">
        <f>-R79/2-S79</f>
        <v>1.8803333298285096E-3</v>
      </c>
      <c r="V79" s="24">
        <v>0.16300000000000001</v>
      </c>
      <c r="W79" s="20">
        <f t="shared" si="4"/>
        <v>7.527066252543263E-3</v>
      </c>
      <c r="X79" s="20">
        <f t="shared" si="5"/>
        <v>0.1611196666701715</v>
      </c>
    </row>
    <row r="80" spans="1:24" x14ac:dyDescent="0.2">
      <c r="A80" s="19" t="s">
        <v>67</v>
      </c>
      <c r="B80" s="19" t="s">
        <v>33</v>
      </c>
      <c r="C80" s="20">
        <f t="shared" si="3"/>
        <v>-0.42068146923305594</v>
      </c>
      <c r="D80" s="20">
        <v>-1312.07689</v>
      </c>
      <c r="E80" s="20">
        <v>-1313.2371499999999</v>
      </c>
      <c r="F80" s="20">
        <v>-1312.2155173451999</v>
      </c>
      <c r="G80" s="20">
        <v>-1313.3988870539999</v>
      </c>
      <c r="H80" s="20">
        <v>-1311.6555354853999</v>
      </c>
      <c r="I80" s="20">
        <v>-1311.7574357991</v>
      </c>
      <c r="J80" s="20">
        <v>-1312.8338551151001</v>
      </c>
      <c r="K80" s="20">
        <v>-1312.9451856997</v>
      </c>
      <c r="L80" s="20">
        <v>-1312.2167979185999</v>
      </c>
      <c r="M80" s="20">
        <v>-1313.3989582111999</v>
      </c>
      <c r="N80" s="20">
        <f>(M80-L80)/2*27.211324570273</f>
        <v>-16.084073708013399</v>
      </c>
      <c r="O80" s="20">
        <f>(E80-G80-D80+F80)/2*27.211324570273</f>
        <v>0.31442289344228852</v>
      </c>
      <c r="P80" s="20">
        <f>(K80-J80-I80+H80)/2*27.211324570273</f>
        <v>-0.12830508112117073</v>
      </c>
      <c r="Q80" s="21">
        <f>(E80+K80-J80-D80-I80+H80-2*C80)*27.211324570273</f>
        <v>-8.934221608150219</v>
      </c>
      <c r="R80" s="21">
        <f>(M80+E80-G80+K80-J80-L80-D80+F80-I80+H80-2*C80)*27.211324570273</f>
        <v>-8.9013117913845594</v>
      </c>
      <c r="S80" s="20">
        <v>4.4400000000000004</v>
      </c>
      <c r="T80" s="21">
        <f>-Q80/2-S80</f>
        <v>2.7110804075109129E-2</v>
      </c>
      <c r="U80" s="21">
        <f>-R80/2-S80</f>
        <v>1.0655895692279316E-2</v>
      </c>
      <c r="V80" s="24">
        <v>0.16300000000000001</v>
      </c>
      <c r="W80" s="20">
        <f t="shared" si="4"/>
        <v>0.13588919592489088</v>
      </c>
      <c r="X80" s="20">
        <f t="shared" si="5"/>
        <v>0.15234410430772069</v>
      </c>
    </row>
    <row r="81" spans="1:24" ht="15" customHeight="1" x14ac:dyDescent="0.2">
      <c r="A81" s="19" t="s">
        <v>67</v>
      </c>
      <c r="B81" s="19" t="s">
        <v>42</v>
      </c>
      <c r="C81" s="20">
        <f t="shared" si="3"/>
        <v>-0.42068146923305594</v>
      </c>
      <c r="D81" s="20">
        <v>-1312.0782400000001</v>
      </c>
      <c r="E81" s="20">
        <v>-1313.23722</v>
      </c>
      <c r="F81" s="20">
        <v>-1312.2172436533001</v>
      </c>
      <c r="G81" s="20">
        <v>-1313.3990913202999</v>
      </c>
      <c r="H81" s="20">
        <v>-1311.6555852095</v>
      </c>
      <c r="I81" s="20">
        <v>-1311.7573241977</v>
      </c>
      <c r="J81" s="20">
        <v>-1312.8338653189001</v>
      </c>
      <c r="K81" s="20">
        <v>-1312.9452026925001</v>
      </c>
      <c r="L81" s="20">
        <v>-1312.2168283133999</v>
      </c>
      <c r="M81" s="20">
        <v>-1313.3989688064</v>
      </c>
      <c r="N81" s="20">
        <f>(M81-L81)/2*27.211324570273</f>
        <v>-16.083804321344587</v>
      </c>
      <c r="O81" s="20">
        <f>(E81-G81-D81+F81)/2*27.211324570273</f>
        <v>0.31112975444960533</v>
      </c>
      <c r="P81" s="20">
        <f>(K81-J81-I81+H81)/2*27.211324570273</f>
        <v>-0.13059239023590802</v>
      </c>
      <c r="Q81" s="21">
        <f>(E81+K81-J81-D81-I81+H81-2*C81)*27.211324570273</f>
        <v>-8.9039657309248756</v>
      </c>
      <c r="R81" s="21">
        <f>(M81+E81-G81+K81-J81-L81-D81+F81-I81+H81-2*C81)*27.211324570273</f>
        <v>-8.9119339142741509</v>
      </c>
      <c r="S81" s="20">
        <v>4.4400000000000004</v>
      </c>
      <c r="T81" s="21">
        <f>-Q81/2-S81</f>
        <v>1.1982865462437431E-2</v>
      </c>
      <c r="U81" s="21">
        <f>-R81/2-S81</f>
        <v>1.5966957137075077E-2</v>
      </c>
      <c r="V81" s="24">
        <v>0.16300000000000001</v>
      </c>
      <c r="W81" s="20">
        <f t="shared" si="4"/>
        <v>0.15101713453756258</v>
      </c>
      <c r="X81" s="20">
        <f t="shared" si="5"/>
        <v>0.14703304286292493</v>
      </c>
    </row>
    <row r="82" spans="1:24" ht="15" customHeight="1" x14ac:dyDescent="0.2">
      <c r="A82" s="19" t="s">
        <v>67</v>
      </c>
      <c r="B82" s="19" t="s">
        <v>43</v>
      </c>
      <c r="C82" s="20">
        <f t="shared" si="3"/>
        <v>-0.42068146923305594</v>
      </c>
      <c r="D82" s="20">
        <v>-1311.5183199999999</v>
      </c>
      <c r="E82" s="20">
        <v>-1312.6878400000001</v>
      </c>
      <c r="F82" s="20">
        <v>-1311.6585868556001</v>
      </c>
      <c r="G82" s="20">
        <v>-1312.8519974975</v>
      </c>
      <c r="H82" s="20">
        <v>-1311.6566114042</v>
      </c>
      <c r="I82" s="20">
        <v>-1311.7597063063999</v>
      </c>
      <c r="J82" s="20">
        <v>-1312.8350067292999</v>
      </c>
      <c r="K82" s="20">
        <v>-1312.9477063663001</v>
      </c>
      <c r="L82" s="20">
        <v>-1310.5569310199101</v>
      </c>
      <c r="M82" s="20">
        <v>-1311.75560204511</v>
      </c>
      <c r="N82" s="20">
        <f>(M82-L82)/2*27.211324570273</f>
        <v>-16.308713159848569</v>
      </c>
      <c r="O82" s="20">
        <f>(E82-G82-D82+F82)/2*27.211324570273</f>
        <v>0.32504800546241724</v>
      </c>
      <c r="P82" s="20">
        <f>(K82-J82-I82+H82)/2*27.211324570273</f>
        <v>-0.13067877802951361</v>
      </c>
      <c r="Q82" s="21">
        <f>(E82+K82-J82-D82-I82+H82-2*C82)*27.211324570273</f>
        <v>-9.1909458674949143</v>
      </c>
      <c r="R82" s="21">
        <f>(M82+E82-G82+K82-J82-L82-D82+F82-I82+H82-2*C82)*27.211324570273</f>
        <v>-9.3340878648251433</v>
      </c>
      <c r="S82" s="20">
        <v>4.4400000000000004</v>
      </c>
      <c r="T82" s="21">
        <f>-Q82/2-S82</f>
        <v>0.15547293374745674</v>
      </c>
      <c r="U82" s="21">
        <f>-R82/2-S82</f>
        <v>0.22704393241257126</v>
      </c>
      <c r="V82" s="24">
        <v>0.16300000000000001</v>
      </c>
      <c r="W82" s="20">
        <f t="shared" si="4"/>
        <v>7.527066252543263E-3</v>
      </c>
      <c r="X82" s="20">
        <f t="shared" si="5"/>
        <v>6.4043932412571253E-2</v>
      </c>
    </row>
    <row r="83" spans="1:24" x14ac:dyDescent="0.2">
      <c r="A83" s="19" t="s">
        <v>68</v>
      </c>
      <c r="B83" s="19" t="s">
        <v>27</v>
      </c>
      <c r="C83" s="20">
        <f t="shared" si="3"/>
        <v>-0.42068146923305594</v>
      </c>
      <c r="D83" s="20">
        <f>-1461.63261</f>
        <v>-1461.6326100000001</v>
      </c>
      <c r="E83" s="20">
        <v>-1462.8148200000001</v>
      </c>
      <c r="F83" s="20">
        <v>-1461.7809322771</v>
      </c>
      <c r="G83" s="20">
        <v>-1462.9846337906999</v>
      </c>
      <c r="H83" s="20">
        <v>-1462.0480491951</v>
      </c>
      <c r="I83" s="20">
        <v>-1462.1616764604</v>
      </c>
      <c r="J83" s="20">
        <v>-1463.2295471977</v>
      </c>
      <c r="K83" s="20">
        <v>-1463.3413456082001</v>
      </c>
      <c r="L83" s="20">
        <v>-1463.1045383492999</v>
      </c>
      <c r="M83" s="20">
        <v>-1464.3038079767</v>
      </c>
      <c r="N83" s="20">
        <f>(M83-L83)/2*27.211324570273</f>
        <v>-16.316857539227232</v>
      </c>
      <c r="O83" s="20">
        <f>(E83-G83-D83+F83)/2*27.211324570273</f>
        <v>0.29240627603856212</v>
      </c>
      <c r="P83" s="20">
        <f>(K83-J83-I83+H83)/2*27.211324570273</f>
        <v>2.4882780775940794E-2</v>
      </c>
      <c r="Q83" s="21">
        <f>(E83+K83-J83-D83-I83+H83-2*C83)*27.211324570273</f>
        <v>-9.2251344586751411</v>
      </c>
      <c r="R83" s="21">
        <f>(M83+E83-G83+K83-J83-L83-D83+F83-I83+H83-2*C83)*27.211324570273</f>
        <v>-9.1045369648192693</v>
      </c>
      <c r="S83" s="20">
        <v>4.4400000000000004</v>
      </c>
      <c r="T83" s="21">
        <f>-Q83/2-S83</f>
        <v>0.17256722933757018</v>
      </c>
      <c r="U83" s="21">
        <f>-R83/2-S83</f>
        <v>0.11226848240963427</v>
      </c>
      <c r="V83" s="24">
        <v>1.4999999999999999E-2</v>
      </c>
      <c r="W83" s="20">
        <f t="shared" si="4"/>
        <v>0.15756722933757017</v>
      </c>
      <c r="X83" s="20">
        <f t="shared" si="5"/>
        <v>9.7268482409634274E-2</v>
      </c>
    </row>
    <row r="84" spans="1:24" x14ac:dyDescent="0.2">
      <c r="A84" s="19" t="s">
        <v>68</v>
      </c>
      <c r="B84" s="19" t="s">
        <v>145</v>
      </c>
      <c r="C84" s="20">
        <f t="shared" si="3"/>
        <v>-0.42068146923305594</v>
      </c>
      <c r="D84" s="20">
        <v>-1461.10971</v>
      </c>
      <c r="E84" s="20">
        <v>-1462.28836</v>
      </c>
      <c r="F84" s="20">
        <v>-1461.2606413061001</v>
      </c>
      <c r="G84" s="20">
        <v>-1462.4612043730999</v>
      </c>
      <c r="H84" s="20">
        <v>-1462.0499253222999</v>
      </c>
      <c r="I84" s="20">
        <v>-1462.1632709246001</v>
      </c>
      <c r="J84" s="20">
        <v>-1463.2335063394</v>
      </c>
      <c r="K84" s="20">
        <v>-1463.3442321225</v>
      </c>
      <c r="L84" s="20">
        <v>-1462.5991036508001</v>
      </c>
      <c r="M84" s="20">
        <v>-1463.7972036875999</v>
      </c>
      <c r="N84" s="20">
        <f>(M84-L84)/2*27.211324570273</f>
        <v>-16.300944484507895</v>
      </c>
      <c r="O84" s="20">
        <f>(E84-G84-D84+F84)/2*27.211324570273</f>
        <v>0.29814178923066686</v>
      </c>
      <c r="P84" s="20">
        <f>(K84-J84-I84+H84)/2*27.211324570273</f>
        <v>3.5644375285533721E-2</v>
      </c>
      <c r="Q84" s="21">
        <f>(E84+K84-J84-D84-I84+H84-2*C84)*27.211324570273</f>
        <v>-9.1067389541766897</v>
      </c>
      <c r="R84" s="21">
        <f>(M84+E84-G84+K84-J84-L84-D84+F84-I84+H84-2*C84)*27.211324570273</f>
        <v>-9.0397166399895745</v>
      </c>
      <c r="S84" s="20">
        <v>4.4400000000000004</v>
      </c>
      <c r="T84" s="21">
        <f>-Q84/2-S84</f>
        <v>0.11336947708834444</v>
      </c>
      <c r="U84" s="21">
        <f>-R84/2-S84</f>
        <v>7.9858319994786875E-2</v>
      </c>
      <c r="V84" s="24">
        <v>1.4999999999999999E-2</v>
      </c>
      <c r="W84" s="20">
        <f t="shared" si="4"/>
        <v>9.836947708834444E-2</v>
      </c>
      <c r="X84" s="20">
        <f t="shared" si="5"/>
        <v>6.4858319994786875E-2</v>
      </c>
    </row>
    <row r="85" spans="1:24" x14ac:dyDescent="0.2">
      <c r="A85" s="19" t="s">
        <v>68</v>
      </c>
      <c r="B85" s="19" t="s">
        <v>29</v>
      </c>
      <c r="C85" s="20">
        <f t="shared" si="3"/>
        <v>-0.42068146923305594</v>
      </c>
      <c r="D85" s="20">
        <v>-1461.8836100000001</v>
      </c>
      <c r="E85" s="20">
        <v>-1463.06675</v>
      </c>
      <c r="F85" s="20">
        <v>-1462.0340509253001</v>
      </c>
      <c r="G85" s="20">
        <v>-1463.2398604656</v>
      </c>
      <c r="H85" s="20">
        <v>-1462.0495779833</v>
      </c>
      <c r="I85" s="20">
        <v>-1462.1632589691001</v>
      </c>
      <c r="J85" s="20">
        <v>-1463.2332379386</v>
      </c>
      <c r="K85" s="20">
        <v>-1463.3443080553</v>
      </c>
      <c r="L85" s="20">
        <v>-1463.3469928684001</v>
      </c>
      <c r="M85" s="20">
        <v>-1464.5488888699001</v>
      </c>
      <c r="N85" s="20">
        <f>(M85-L85)/2*27.211324570273</f>
        <v>-16.352591098265151</v>
      </c>
      <c r="O85" s="20">
        <f>(E85-G85-D85+F85)/2*27.211324570273</f>
        <v>0.30843410948187611</v>
      </c>
      <c r="P85" s="20">
        <f>(K85-J85-I85+H85)/2*27.211324570273</f>
        <v>3.5522603247760014E-2</v>
      </c>
      <c r="Q85" s="21">
        <f>(E85+K85-J85-D85-I85+H85-2*C85)*27.211324570273</f>
        <v>-9.2291613455674604</v>
      </c>
      <c r="R85" s="21">
        <f>(M85+E85-G85+K85-J85-L85-D85+F85-I85+H85-2*C85)*27.211324570273</f>
        <v>-9.1226687710648413</v>
      </c>
      <c r="S85" s="20">
        <v>4.4400000000000004</v>
      </c>
      <c r="T85" s="21">
        <f>-Q85/2-S85</f>
        <v>0.1745806727837298</v>
      </c>
      <c r="U85" s="21">
        <f>-R85/2-S85</f>
        <v>0.12133438553242026</v>
      </c>
      <c r="V85" s="24">
        <v>1.4999999999999999E-2</v>
      </c>
      <c r="W85" s="20">
        <f t="shared" si="4"/>
        <v>0.15958067278372978</v>
      </c>
      <c r="X85" s="20">
        <f t="shared" si="5"/>
        <v>0.10633438553242026</v>
      </c>
    </row>
    <row r="86" spans="1:24" x14ac:dyDescent="0.2">
      <c r="A86" s="19" t="s">
        <v>68</v>
      </c>
      <c r="B86" s="19" t="s">
        <v>30</v>
      </c>
      <c r="C86" s="20">
        <f t="shared" si="3"/>
        <v>-0.42068146923305594</v>
      </c>
      <c r="D86" s="20">
        <v>-1461.90274</v>
      </c>
      <c r="E86" s="20">
        <v>-1463.07629</v>
      </c>
      <c r="F86" s="20">
        <v>-1462.0522843844999</v>
      </c>
      <c r="G86" s="20">
        <v>-1463.2484531195</v>
      </c>
      <c r="H86" s="20">
        <v>-1462.0498108050999</v>
      </c>
      <c r="I86" s="20">
        <v>-1462.1632575331</v>
      </c>
      <c r="J86" s="20">
        <v>-1463.2335007694001</v>
      </c>
      <c r="K86" s="20">
        <v>-1463.3444643084999</v>
      </c>
      <c r="L86" s="20">
        <v>-1463.385604325</v>
      </c>
      <c r="M86" s="20">
        <v>-1464.5775806039001</v>
      </c>
      <c r="N86" s="20">
        <f>(M86-L86)/2*27.211324570273</f>
        <v>-16.217626702607468</v>
      </c>
      <c r="O86" s="20">
        <f>(E86-G86-D86+F86)/2*27.211324570273</f>
        <v>0.30774286972905124</v>
      </c>
      <c r="P86" s="20">
        <f>(K86-J86-I86+H86)/2*27.211324570273</f>
        <v>3.378542956651627E-2</v>
      </c>
      <c r="Q86" s="21">
        <f>(E86+K86-J86-D86-I86+H86-2*C86)*27.211324570273</f>
        <v>-8.9716790903102321</v>
      </c>
      <c r="R86" s="21">
        <f>(M86+E86-G86+K86-J86-L86-D86+F86-I86+H86-2*C86)*27.211324570273</f>
        <v>-8.8575968066237998</v>
      </c>
      <c r="S86" s="20">
        <v>4.4400000000000004</v>
      </c>
      <c r="T86" s="21">
        <f>-Q86/2-S86</f>
        <v>4.583954515511568E-2</v>
      </c>
      <c r="U86" s="21">
        <f>-R86/2-S86</f>
        <v>-1.1201596688100501E-2</v>
      </c>
      <c r="V86" s="24">
        <v>1.4999999999999999E-2</v>
      </c>
      <c r="W86" s="20">
        <f t="shared" si="4"/>
        <v>3.083954515511568E-2</v>
      </c>
      <c r="X86" s="20">
        <f t="shared" si="5"/>
        <v>2.6201596688100501E-2</v>
      </c>
    </row>
    <row r="87" spans="1:24" x14ac:dyDescent="0.2">
      <c r="A87" s="19" t="s">
        <v>68</v>
      </c>
      <c r="B87" s="19" t="s">
        <v>31</v>
      </c>
      <c r="C87" s="20">
        <f t="shared" si="3"/>
        <v>-0.42068146923305594</v>
      </c>
      <c r="D87" s="20">
        <v>-1461.8836100000001</v>
      </c>
      <c r="E87" s="20">
        <v>-1463.06675</v>
      </c>
      <c r="F87" s="20">
        <v>-1462.0340509253001</v>
      </c>
      <c r="G87" s="20">
        <v>-1463.2398604656</v>
      </c>
      <c r="H87" s="20">
        <v>-1462.0495779833</v>
      </c>
      <c r="I87" s="20">
        <v>-1462.1632589691001</v>
      </c>
      <c r="J87" s="20">
        <v>-1463.2332379386</v>
      </c>
      <c r="K87" s="20">
        <v>-1463.3443080553</v>
      </c>
      <c r="L87" s="20">
        <v>-1462.6402170164999</v>
      </c>
      <c r="M87" s="20">
        <v>-1463.8338166763999</v>
      </c>
      <c r="N87" s="20">
        <f>(M87-L87)/2*27.211324570273</f>
        <v>-16.239713876252825</v>
      </c>
      <c r="O87" s="20">
        <f>(E87-G87-D87+F87)/2*27.211324570273</f>
        <v>0.30843410948187611</v>
      </c>
      <c r="P87" s="20">
        <f>(K87-J87-I87+H87)/2*27.211324570273</f>
        <v>3.5522603247760014E-2</v>
      </c>
      <c r="Q87" s="21">
        <f>(E87+K87-J87-D87-I87+H87-2*C87)*27.211324570273</f>
        <v>-9.2291613455674604</v>
      </c>
      <c r="R87" s="21">
        <f>(M87+E87-G87+K87-J87-L87-D87+F87-I87+H87-2*C87)*27.211324570273</f>
        <v>-8.8969143270340023</v>
      </c>
      <c r="S87" s="20">
        <v>4.4400000000000004</v>
      </c>
      <c r="T87" s="21">
        <f>-Q87/2-S87</f>
        <v>0.1745806727837298</v>
      </c>
      <c r="U87" s="21">
        <f>-R87/2-S87</f>
        <v>8.4571635170007653E-3</v>
      </c>
      <c r="V87" s="24">
        <v>1.4999999999999999E-2</v>
      </c>
      <c r="W87" s="20">
        <f t="shared" si="4"/>
        <v>0.15958067278372978</v>
      </c>
      <c r="X87" s="20">
        <f t="shared" si="5"/>
        <v>6.5428364829992341E-3</v>
      </c>
    </row>
    <row r="88" spans="1:24" x14ac:dyDescent="0.2">
      <c r="A88" s="19" t="s">
        <v>68</v>
      </c>
      <c r="B88" s="19" t="s">
        <v>32</v>
      </c>
      <c r="C88" s="20">
        <f t="shared" si="3"/>
        <v>-0.42068146923305594</v>
      </c>
      <c r="D88" s="20">
        <v>-1461.90274</v>
      </c>
      <c r="E88" s="20">
        <v>-1463.07629</v>
      </c>
      <c r="F88" s="20">
        <v>-1462.0522843844999</v>
      </c>
      <c r="G88" s="20">
        <v>-1463.2484531195</v>
      </c>
      <c r="H88" s="20">
        <v>-1462.0498108050999</v>
      </c>
      <c r="I88" s="20">
        <v>-1462.1632575331</v>
      </c>
      <c r="J88" s="20">
        <v>-1463.2335007694001</v>
      </c>
      <c r="K88" s="20">
        <v>-1463.3444643084999</v>
      </c>
      <c r="L88" s="20">
        <v>-1462.7064919932</v>
      </c>
      <c r="M88" s="20">
        <v>-1463.8900515861001</v>
      </c>
      <c r="N88" s="20">
        <f>(M88-L88)/2*27.211324570273</f>
        <v>-16.103112115332539</v>
      </c>
      <c r="O88" s="20">
        <f>(E88-G88-D88+F88)/2*27.211324570273</f>
        <v>0.30774286972905124</v>
      </c>
      <c r="P88" s="20">
        <f>(K88-J88-I88+H88)/2*27.211324570273</f>
        <v>3.378542956651627E-2</v>
      </c>
      <c r="Q88" s="21">
        <f>(E88+K88-J88-D88-I88+H88-2*C88)*27.211324570273</f>
        <v>-8.9716790903102321</v>
      </c>
      <c r="R88" s="21">
        <f>(M88+E88-G88+K88-J88-L88-D88+F88-I88+H88-2*C88)*27.211324570273</f>
        <v>-8.628567632073942</v>
      </c>
      <c r="S88" s="20">
        <v>4.4400000000000004</v>
      </c>
      <c r="T88" s="21">
        <f>-Q88/2-S88</f>
        <v>4.583954515511568E-2</v>
      </c>
      <c r="U88" s="21">
        <f>-R88/2-S88</f>
        <v>-0.12571618396302942</v>
      </c>
      <c r="V88" s="24">
        <v>1.4999999999999999E-2</v>
      </c>
      <c r="W88" s="20">
        <f t="shared" si="4"/>
        <v>3.083954515511568E-2</v>
      </c>
      <c r="X88" s="20">
        <f t="shared" si="5"/>
        <v>0.14071618396302943</v>
      </c>
    </row>
    <row r="89" spans="1:24" x14ac:dyDescent="0.2">
      <c r="A89" s="19" t="s">
        <v>68</v>
      </c>
      <c r="B89" s="19" t="s">
        <v>33</v>
      </c>
      <c r="C89" s="20">
        <f t="shared" si="3"/>
        <v>-0.42068146923305594</v>
      </c>
      <c r="D89" s="20">
        <v>-1462.56176</v>
      </c>
      <c r="E89" s="20">
        <v>-1463.72192</v>
      </c>
      <c r="F89" s="20">
        <v>-1462.7098691127001</v>
      </c>
      <c r="G89" s="20">
        <v>-1463.8926083869001</v>
      </c>
      <c r="H89" s="20">
        <v>-1462.0485717217</v>
      </c>
      <c r="I89" s="20">
        <v>-1462.1607804076</v>
      </c>
      <c r="J89" s="20">
        <v>-1463.2319976514</v>
      </c>
      <c r="K89" s="20">
        <v>-1463.3426056172</v>
      </c>
      <c r="L89" s="20">
        <v>-1462.7101327754999</v>
      </c>
      <c r="M89" s="20">
        <v>-1463.8936658642001</v>
      </c>
      <c r="N89" s="20">
        <f>(M89-L89)/2*27.211324570273</f>
        <v>-16.102751508139249</v>
      </c>
      <c r="O89" s="20">
        <f>(E89-G89-D89+F89)/2*27.211324570273</f>
        <v>0.30720597941002409</v>
      </c>
      <c r="P89" s="20">
        <f>(K89-J89-I89+H89)/2*27.211324570273</f>
        <v>2.1778857093447263E-2</v>
      </c>
      <c r="Q89" s="21">
        <f>(E89+K89-J89-D89-I89+H89-2*C89)*27.211324570273</f>
        <v>-8.6313325992646384</v>
      </c>
      <c r="R89" s="21">
        <f>(M89+E89-G89+K89-J89-L89-D89+F89-I89+H89-2*C89)*27.211324570273</f>
        <v>-8.6529333432653726</v>
      </c>
      <c r="S89" s="20">
        <v>4.4400000000000004</v>
      </c>
      <c r="T89" s="21">
        <f>-Q89/2-S89</f>
        <v>-0.12433370036768121</v>
      </c>
      <c r="U89" s="21">
        <f>-R89/2-S89</f>
        <v>-0.11353332836731411</v>
      </c>
      <c r="V89" s="24">
        <v>1.4999999999999999E-2</v>
      </c>
      <c r="W89" s="20">
        <f t="shared" si="4"/>
        <v>0.13933370036768122</v>
      </c>
      <c r="X89" s="20">
        <f t="shared" si="5"/>
        <v>0.12853332836731413</v>
      </c>
    </row>
    <row r="90" spans="1:24" ht="15" customHeight="1" x14ac:dyDescent="0.2">
      <c r="A90" s="19" t="s">
        <v>68</v>
      </c>
      <c r="B90" s="19" t="s">
        <v>42</v>
      </c>
      <c r="C90" s="20">
        <f t="shared" si="3"/>
        <v>-0.42068146923305594</v>
      </c>
      <c r="D90" s="20">
        <v>-1462.5622000000001</v>
      </c>
      <c r="E90" s="20">
        <v>-1463.7225000000001</v>
      </c>
      <c r="F90" s="20">
        <v>-1462.7107085328</v>
      </c>
      <c r="G90" s="20">
        <v>-1463.8928048399</v>
      </c>
      <c r="H90" s="20">
        <v>-1462.0486737529</v>
      </c>
      <c r="I90" s="20">
        <v>-1462.1609254922</v>
      </c>
      <c r="J90" s="20">
        <v>-1463.2320048342999</v>
      </c>
      <c r="K90" s="20">
        <v>-1463.3424459721</v>
      </c>
      <c r="L90" s="20">
        <v>-1462.7101594737001</v>
      </c>
      <c r="M90" s="20">
        <v>-1463.8936473756</v>
      </c>
      <c r="N90" s="20">
        <f>(M90-L90)/2*27.211324570273</f>
        <v>-16.102136711795882</v>
      </c>
      <c r="O90" s="20">
        <f>(E90-G90-D90+F90)/2*27.211324570273</f>
        <v>0.29655319346539394</v>
      </c>
      <c r="P90" s="20">
        <f>(K90-J90-I90+H90)/2*27.211324570273</f>
        <v>2.4634432541730582E-2</v>
      </c>
      <c r="Q90" s="21">
        <f>(E90+K90-J90-D90-I90+H90-2*C90)*27.211324570273</f>
        <v>-8.6294310337982907</v>
      </c>
      <c r="R90" s="21">
        <f>(M90+E90-G90+K90-J90-L90-D90+F90-I90+H90-2*C90)*27.211324570273</f>
        <v>-8.6672981715713302</v>
      </c>
      <c r="S90" s="20">
        <v>4.4400000000000004</v>
      </c>
      <c r="T90" s="21">
        <f>-Q90/2-S90</f>
        <v>-0.12528448310085505</v>
      </c>
      <c r="U90" s="21">
        <f>-R90/2-S90</f>
        <v>-0.10635091421433529</v>
      </c>
      <c r="V90" s="24">
        <v>1.4999999999999999E-2</v>
      </c>
      <c r="W90" s="20">
        <f t="shared" si="4"/>
        <v>0.14028448310085506</v>
      </c>
      <c r="X90" s="20">
        <f t="shared" si="5"/>
        <v>0.12135091421433529</v>
      </c>
    </row>
    <row r="91" spans="1:24" ht="15" customHeight="1" x14ac:dyDescent="0.2">
      <c r="A91" s="19" t="s">
        <v>68</v>
      </c>
      <c r="B91" s="19" t="s">
        <v>43</v>
      </c>
      <c r="C91" s="20">
        <f t="shared" si="3"/>
        <v>-0.42068146923305594</v>
      </c>
      <c r="D91" s="20">
        <v>-1461.90274</v>
      </c>
      <c r="E91" s="20">
        <v>-1463.07629</v>
      </c>
      <c r="F91" s="20">
        <v>-1462.0522843844999</v>
      </c>
      <c r="G91" s="20">
        <v>-1463.2484531195</v>
      </c>
      <c r="H91" s="20">
        <v>-1462.0498108050999</v>
      </c>
      <c r="I91" s="20">
        <v>-1462.1632575331</v>
      </c>
      <c r="J91" s="20">
        <v>-1463.2335007694001</v>
      </c>
      <c r="K91" s="20">
        <v>-1463.3444643084999</v>
      </c>
      <c r="L91" s="20">
        <v>-1460.8877062731899</v>
      </c>
      <c r="M91" s="20">
        <v>-1462.08807384755</v>
      </c>
      <c r="N91" s="20">
        <f>(M91-L91)/2*27.211324570273</f>
        <v>-16.331795834772585</v>
      </c>
      <c r="O91" s="20">
        <f>(E91-G91-D91+F91)/2*27.211324570273</f>
        <v>0.30774286972905124</v>
      </c>
      <c r="P91" s="20">
        <f>(K91-J91-I91+H91)/2*27.211324570273</f>
        <v>3.378542956651627E-2</v>
      </c>
      <c r="Q91" s="21">
        <f>(E91+K91-J91-D91-I91+H91-2*C91)*27.211324570273</f>
        <v>-8.9716790903102321</v>
      </c>
      <c r="R91" s="21">
        <f>(M91+E91-G91+K91-J91-L91-D91+F91-I91+H91-2*C91)*27.211324570273</f>
        <v>-9.0859350709478495</v>
      </c>
      <c r="S91" s="20">
        <v>4.4400000000000004</v>
      </c>
      <c r="T91" s="21">
        <f>-Q91/2-S91</f>
        <v>4.583954515511568E-2</v>
      </c>
      <c r="U91" s="21">
        <f>-R91/2-S91</f>
        <v>0.10296753547392434</v>
      </c>
      <c r="V91" s="24">
        <v>1.4999999999999999E-2</v>
      </c>
      <c r="W91" s="20">
        <f t="shared" si="4"/>
        <v>3.083954515511568E-2</v>
      </c>
      <c r="X91" s="20">
        <f t="shared" si="5"/>
        <v>8.7967535473924344E-2</v>
      </c>
    </row>
    <row r="92" spans="1:24" x14ac:dyDescent="0.2">
      <c r="A92" s="19" t="s">
        <v>69</v>
      </c>
      <c r="B92" s="19" t="s">
        <v>27</v>
      </c>
      <c r="C92" s="20">
        <f t="shared" si="3"/>
        <v>-0.42068146923305594</v>
      </c>
      <c r="D92" s="20">
        <f>-3939.8898</f>
        <v>-3939.8897999999999</v>
      </c>
      <c r="E92" s="20">
        <v>-3941.0571399999999</v>
      </c>
      <c r="F92" s="20">
        <v>-3940.0346562297</v>
      </c>
      <c r="G92" s="20">
        <v>-3941.2242062139999</v>
      </c>
      <c r="H92" s="20">
        <v>-3940.2755284057998</v>
      </c>
      <c r="I92" s="20">
        <v>-3940.3679806478999</v>
      </c>
      <c r="J92" s="20">
        <v>-3941.4397313158001</v>
      </c>
      <c r="K92" s="20">
        <v>-3941.5468955582</v>
      </c>
      <c r="L92" s="20">
        <v>-3941.5577375470998</v>
      </c>
      <c r="M92" s="20">
        <v>-3942.7432701090002</v>
      </c>
      <c r="N92" s="20">
        <f>(M92-L92)/2*27.211324570273</f>
        <v>-16.129955665248779</v>
      </c>
      <c r="O92" s="20">
        <f>(E92-G92-D92+F92)/2*27.211324570273</f>
        <v>0.30218154574308786</v>
      </c>
      <c r="P92" s="20">
        <f>(K92-J92-I92+H92)/2*27.211324570273</f>
        <v>-0.20016650761822627</v>
      </c>
      <c r="Q92" s="21">
        <f>(E92+K92-J92-D92-I92+H92-2*C92)*27.211324570273</f>
        <v>-9.2706006390980491</v>
      </c>
      <c r="R92" s="21">
        <f>(M92+E92-G92+K92-J92-L92-D92+F92-I92+H92-2*C92)*27.211324570273</f>
        <v>-9.1612812542354618</v>
      </c>
      <c r="S92" s="20">
        <v>4.4400000000000004</v>
      </c>
      <c r="T92" s="21">
        <f>-Q92/2-S92</f>
        <v>0.19530031954902416</v>
      </c>
      <c r="U92" s="21">
        <f>-R92/2-S92</f>
        <v>0.14064062711773051</v>
      </c>
      <c r="V92" s="24">
        <v>0.14000000000000001</v>
      </c>
      <c r="W92" s="20">
        <f t="shared" si="4"/>
        <v>5.5300319549024146E-2</v>
      </c>
      <c r="X92" s="20">
        <f t="shared" si="5"/>
        <v>6.4062711773049674E-4</v>
      </c>
    </row>
    <row r="93" spans="1:24" x14ac:dyDescent="0.2">
      <c r="A93" s="19" t="s">
        <v>69</v>
      </c>
      <c r="B93" s="19" t="s">
        <v>145</v>
      </c>
      <c r="C93" s="20">
        <f t="shared" si="3"/>
        <v>-0.42068146923305594</v>
      </c>
      <c r="D93" s="20">
        <v>-3939.4100699999999</v>
      </c>
      <c r="E93" s="20">
        <v>-3940.5731999999998</v>
      </c>
      <c r="F93" s="20">
        <v>-3939.5589581011</v>
      </c>
      <c r="G93" s="20">
        <v>-3940.7439166489999</v>
      </c>
      <c r="H93" s="20">
        <v>-3940.2774515322999</v>
      </c>
      <c r="I93" s="20">
        <v>-3940.3701692827999</v>
      </c>
      <c r="J93" s="20">
        <v>-3941.4429567134998</v>
      </c>
      <c r="K93" s="20">
        <v>-3941.5497468364001</v>
      </c>
      <c r="L93" s="20">
        <v>-3941.0916325652001</v>
      </c>
      <c r="M93" s="20">
        <v>-3942.2740450353999</v>
      </c>
      <c r="N93" s="20">
        <f>(M93-L93)/2*27.211324570273</f>
        <v>-16.087504751272217</v>
      </c>
      <c r="O93" s="20">
        <f>(E93-G93-D93+F93)/2*27.211324570273</f>
        <v>0.29699185090213515</v>
      </c>
      <c r="P93" s="20">
        <f>(K93-J93-I93+H93)/2*27.211324570273</f>
        <v>-0.19146394642886164</v>
      </c>
      <c r="Q93" s="21">
        <f>(E93+K93-J93-D93-I93+H93-2*C93)*27.211324570273</f>
        <v>-9.1386358402769101</v>
      </c>
      <c r="R93" s="21">
        <f>(M93+E93-G93+K93-J93-L93-D93+F93-I93+H93-2*C93)*27.211324570273</f>
        <v>-9.0693536936226362</v>
      </c>
      <c r="S93" s="20">
        <v>4.4400000000000004</v>
      </c>
      <c r="T93" s="21">
        <f>-Q93/2-S93</f>
        <v>0.12931792013845467</v>
      </c>
      <c r="U93" s="21">
        <f>-R93/2-S93</f>
        <v>9.4676846811317716E-2</v>
      </c>
      <c r="V93" s="24">
        <v>0.14000000000000001</v>
      </c>
      <c r="W93" s="20">
        <f t="shared" si="4"/>
        <v>1.0682079861545346E-2</v>
      </c>
      <c r="X93" s="20">
        <f t="shared" si="5"/>
        <v>4.5323153188682297E-2</v>
      </c>
    </row>
    <row r="94" spans="1:24" x14ac:dyDescent="0.2">
      <c r="A94" s="19" t="s">
        <v>69</v>
      </c>
      <c r="B94" s="19" t="s">
        <v>29</v>
      </c>
      <c r="C94" s="20">
        <f t="shared" si="3"/>
        <v>-0.42068146923305594</v>
      </c>
      <c r="D94" s="20">
        <v>-3940.0222199999998</v>
      </c>
      <c r="E94" s="20">
        <v>-3941.1906199999999</v>
      </c>
      <c r="F94" s="20">
        <v>-3940.1690978500001</v>
      </c>
      <c r="G94" s="20">
        <v>-3941.3590755338</v>
      </c>
      <c r="H94" s="20">
        <v>-3940.2769519850999</v>
      </c>
      <c r="I94" s="20">
        <v>-3940.3699501300998</v>
      </c>
      <c r="J94" s="20">
        <v>-3941.4420848350001</v>
      </c>
      <c r="K94" s="20">
        <v>-3941.5494133641</v>
      </c>
      <c r="L94" s="20">
        <v>-3941.6807852372999</v>
      </c>
      <c r="M94" s="20">
        <v>-3942.8673408374002</v>
      </c>
      <c r="N94" s="20">
        <f>(M94-L94)/2*27.211324570273</f>
        <v>-16.143874777502042</v>
      </c>
      <c r="O94" s="20">
        <f>(E94-G94-D94+F94)/2*27.211324570273</f>
        <v>0.29357867867734733</v>
      </c>
      <c r="P94" s="20">
        <f>(K94-J94-I94+H94)/2*27.211324570273</f>
        <v>-0.19497436648155417</v>
      </c>
      <c r="Q94" s="21">
        <f>(E94+K94-J94-D94-I94+H94-2*C94)*27.211324570273</f>
        <v>-9.2890603608706162</v>
      </c>
      <c r="R94" s="21">
        <f>(M94+E94-G94+K94-J94-L94-D94+F94-I94+H94-2*C94)*27.211324570273</f>
        <v>-9.1959409306248734</v>
      </c>
      <c r="S94" s="20">
        <v>4.4400000000000004</v>
      </c>
      <c r="T94" s="21">
        <f>-Q94/2-S94</f>
        <v>0.20453018043530768</v>
      </c>
      <c r="U94" s="21">
        <f>-R94/2-S94</f>
        <v>0.1579704653124363</v>
      </c>
      <c r="V94" s="24">
        <v>0.14000000000000001</v>
      </c>
      <c r="W94" s="20">
        <f t="shared" si="4"/>
        <v>6.4530180435307671E-2</v>
      </c>
      <c r="X94" s="20">
        <f t="shared" si="5"/>
        <v>1.797046531243629E-2</v>
      </c>
    </row>
    <row r="95" spans="1:24" x14ac:dyDescent="0.2">
      <c r="A95" s="19" t="s">
        <v>69</v>
      </c>
      <c r="B95" s="19" t="s">
        <v>30</v>
      </c>
      <c r="C95" s="20">
        <f t="shared" si="3"/>
        <v>-0.42068146923305594</v>
      </c>
      <c r="D95" s="20">
        <v>-3940.1203</v>
      </c>
      <c r="E95" s="20">
        <v>-3941.2799100000002</v>
      </c>
      <c r="F95" s="20">
        <v>-3940.2648143304</v>
      </c>
      <c r="G95" s="20">
        <v>-3941.4452556125002</v>
      </c>
      <c r="H95" s="20">
        <v>-3940.2771978686001</v>
      </c>
      <c r="I95" s="20">
        <v>-3940.3700491817999</v>
      </c>
      <c r="J95" s="20">
        <v>-3941.4427572569002</v>
      </c>
      <c r="K95" s="20">
        <v>-3941.5497027248002</v>
      </c>
      <c r="L95" s="20">
        <v>-3941.7941205038001</v>
      </c>
      <c r="M95" s="20">
        <v>-3942.9706356064999</v>
      </c>
      <c r="N95" s="20">
        <f>(M95-L95)/2*27.211324570273</f>
        <v>-16.007267160696102</v>
      </c>
      <c r="O95" s="20">
        <f>(E95-G95-D95+F95)/2*27.211324570273</f>
        <v>0.28342338921984989</v>
      </c>
      <c r="P95" s="20">
        <f>(K95-J95-I95+H95)/2*27.211324570273</f>
        <v>-0.19176030904485017</v>
      </c>
      <c r="Q95" s="21">
        <f>(E95+K95-J95-D95-I95+H95-2*C95)*27.211324570273</f>
        <v>-9.0434447030282463</v>
      </c>
      <c r="R95" s="21">
        <f>(M95+E95-G95+K95-J95-L95-D95+F95-I95+H95-2*C95)*27.211324570273</f>
        <v>-8.9366081610298345</v>
      </c>
      <c r="S95" s="20">
        <v>4.4400000000000004</v>
      </c>
      <c r="T95" s="21">
        <f>-Q95/2-S95</f>
        <v>8.1722351514122771E-2</v>
      </c>
      <c r="U95" s="21">
        <f>-R95/2-S95</f>
        <v>2.8304080514916841E-2</v>
      </c>
      <c r="V95" s="24">
        <v>0.14000000000000001</v>
      </c>
      <c r="W95" s="20">
        <f t="shared" si="4"/>
        <v>5.8277648485877243E-2</v>
      </c>
      <c r="X95" s="20">
        <f t="shared" si="5"/>
        <v>0.11169591948508317</v>
      </c>
    </row>
    <row r="96" spans="1:24" x14ac:dyDescent="0.2">
      <c r="A96" s="19" t="s">
        <v>69</v>
      </c>
      <c r="B96" s="19" t="s">
        <v>31</v>
      </c>
      <c r="C96" s="20">
        <f t="shared" si="3"/>
        <v>-0.42068146923305594</v>
      </c>
      <c r="D96" s="20">
        <v>-3940.0222199999998</v>
      </c>
      <c r="E96" s="20">
        <v>-3941.1906199999999</v>
      </c>
      <c r="F96" s="20">
        <v>-3940.1690978500001</v>
      </c>
      <c r="G96" s="20">
        <v>-3941.3590755338</v>
      </c>
      <c r="H96" s="20">
        <v>-3940.2769519850999</v>
      </c>
      <c r="I96" s="20">
        <v>-3940.3699501300998</v>
      </c>
      <c r="J96" s="20">
        <v>-3941.4420848350001</v>
      </c>
      <c r="K96" s="20">
        <v>-3941.5494133641</v>
      </c>
      <c r="L96" s="20">
        <v>-3940.8600270159</v>
      </c>
      <c r="M96" s="20">
        <v>-3942.0384222903999</v>
      </c>
      <c r="N96" s="20">
        <f>(M96-L96)/2*27.211324570273</f>
        <v>-16.032848143247211</v>
      </c>
      <c r="O96" s="20">
        <f>(E96-G96-D96+F96)/2*27.211324570273</f>
        <v>0.29357867867734733</v>
      </c>
      <c r="P96" s="20">
        <f>(K96-J96-I96+H96)/2*27.211324570273</f>
        <v>-0.19497436648155417</v>
      </c>
      <c r="Q96" s="21">
        <f>(E96+K96-J96-D96-I96+H96-2*C96)*27.211324570273</f>
        <v>-9.2890603608706162</v>
      </c>
      <c r="R96" s="21">
        <f>(M96+E96-G96+K96-J96-L96-D96+F96-I96+H96-2*C96)*27.211324570273</f>
        <v>-8.9738876621152102</v>
      </c>
      <c r="S96" s="20">
        <v>4.4400000000000004</v>
      </c>
      <c r="T96" s="21">
        <f>-Q96/2-S96</f>
        <v>0.20453018043530768</v>
      </c>
      <c r="U96" s="21">
        <f>-R96/2-S96</f>
        <v>4.694383105760469E-2</v>
      </c>
      <c r="V96" s="24">
        <v>0.14000000000000001</v>
      </c>
      <c r="W96" s="20">
        <f t="shared" si="4"/>
        <v>6.4530180435307671E-2</v>
      </c>
      <c r="X96" s="20">
        <f t="shared" si="5"/>
        <v>9.3056168942395323E-2</v>
      </c>
    </row>
    <row r="97" spans="1:24" x14ac:dyDescent="0.2">
      <c r="A97" s="19" t="s">
        <v>69</v>
      </c>
      <c r="B97" s="19" t="s">
        <v>32</v>
      </c>
      <c r="C97" s="20">
        <f t="shared" si="3"/>
        <v>-0.42068146923305594</v>
      </c>
      <c r="D97" s="20">
        <v>-3940.1203</v>
      </c>
      <c r="E97" s="20">
        <v>-3941.2799100000002</v>
      </c>
      <c r="F97" s="20">
        <v>-3940.2648143304</v>
      </c>
      <c r="G97" s="20">
        <v>-3941.4452556125002</v>
      </c>
      <c r="H97" s="20">
        <v>-3940.2771978686001</v>
      </c>
      <c r="I97" s="20">
        <v>-3940.3700491817999</v>
      </c>
      <c r="J97" s="20">
        <v>-3941.4427572569002</v>
      </c>
      <c r="K97" s="20">
        <v>-3941.5497027248002</v>
      </c>
      <c r="L97" s="20">
        <v>-3941.0061797051999</v>
      </c>
      <c r="M97" s="20">
        <v>-3942.1743575985001</v>
      </c>
      <c r="N97" s="20">
        <f>(M97-L97)/2*27.211324570273</f>
        <v>-15.893833905205467</v>
      </c>
      <c r="O97" s="20">
        <f>(E97-G97-D97+F97)/2*27.211324570273</f>
        <v>0.28342338921984989</v>
      </c>
      <c r="P97" s="20">
        <f>(K97-J97-I97+H97)/2*27.211324570273</f>
        <v>-0.19176030904485017</v>
      </c>
      <c r="Q97" s="21">
        <f>(E97+K97-J97-D97-I97+H97-2*C97)*27.211324570273</f>
        <v>-9.0434447030282463</v>
      </c>
      <c r="R97" s="21">
        <f>(M97+E97-G97+K97-J97-L97-D97+F97-I97+H97-2*C97)*27.211324570273</f>
        <v>-8.70974165004856</v>
      </c>
      <c r="S97" s="20">
        <v>4.4400000000000004</v>
      </c>
      <c r="T97" s="21">
        <f>-Q97/2-S97</f>
        <v>8.1722351514122771E-2</v>
      </c>
      <c r="U97" s="21">
        <f>-R97/2-S97</f>
        <v>-8.5129174975720368E-2</v>
      </c>
      <c r="V97" s="24">
        <v>0.14000000000000001</v>
      </c>
      <c r="W97" s="20">
        <f t="shared" si="4"/>
        <v>5.8277648485877243E-2</v>
      </c>
      <c r="X97" s="20">
        <f t="shared" si="5"/>
        <v>0.22512917497572038</v>
      </c>
    </row>
    <row r="98" spans="1:24" x14ac:dyDescent="0.2">
      <c r="A98" s="19" t="s">
        <v>69</v>
      </c>
      <c r="B98" s="19" t="s">
        <v>33</v>
      </c>
      <c r="C98" s="20">
        <f t="shared" si="3"/>
        <v>-0.42068146923305594</v>
      </c>
      <c r="D98" s="20">
        <v>-3940.8671899999999</v>
      </c>
      <c r="E98" s="20">
        <v>-3942.0291999999999</v>
      </c>
      <c r="F98" s="20">
        <v>-3941.0109089405</v>
      </c>
      <c r="G98" s="20">
        <v>-3942.1953747520001</v>
      </c>
      <c r="H98" s="20">
        <v>-3940.2756713092999</v>
      </c>
      <c r="I98" s="20">
        <v>-3940.3678426872998</v>
      </c>
      <c r="J98" s="20">
        <v>-3941.4628525234002</v>
      </c>
      <c r="K98" s="20">
        <v>-3941.5509552292001</v>
      </c>
      <c r="L98" s="20">
        <v>-3941.0099288647002</v>
      </c>
      <c r="M98" s="20">
        <v>-3942.1949984212001</v>
      </c>
      <c r="N98" s="20">
        <f>(M98-L98)/2*27.211324570273</f>
        <v>-16.123656170134282</v>
      </c>
      <c r="O98" s="20">
        <f>(E98-G98-D98+F98)/2*27.211324570273</f>
        <v>0.30552618760897116</v>
      </c>
      <c r="P98" s="20">
        <f>(K98-J98-I98+H98)/2*27.211324570273</f>
        <v>5.5356979902012486E-2</v>
      </c>
      <c r="Q98" s="21">
        <f>(E98+K98-J98-D98-I98+H98-2*C98)*27.211324570273</f>
        <v>-8.6145173040867817</v>
      </c>
      <c r="R98" s="21">
        <f>(M98+E98-G98+K98-J98-L98-D98+F98-I98+H98-2*C98)*27.211324570273</f>
        <v>-8.6309460052465994</v>
      </c>
      <c r="S98" s="20">
        <v>4.4400000000000004</v>
      </c>
      <c r="T98" s="21">
        <f>-Q98/2-S98</f>
        <v>-0.13274134795660952</v>
      </c>
      <c r="U98" s="21">
        <f>-R98/2-S98</f>
        <v>-0.1245269973767007</v>
      </c>
      <c r="V98" s="24">
        <v>0.14000000000000001</v>
      </c>
      <c r="W98" s="20">
        <f t="shared" si="4"/>
        <v>0.27274134795660954</v>
      </c>
      <c r="X98" s="20">
        <f t="shared" si="5"/>
        <v>0.26452699737670071</v>
      </c>
    </row>
    <row r="99" spans="1:24" ht="15" customHeight="1" x14ac:dyDescent="0.2">
      <c r="A99" s="19" t="s">
        <v>69</v>
      </c>
      <c r="B99" s="19" t="s">
        <v>42</v>
      </c>
      <c r="C99" s="20">
        <f t="shared" si="3"/>
        <v>-0.42068146923305594</v>
      </c>
      <c r="D99" s="20">
        <v>-3940.8656900000001</v>
      </c>
      <c r="E99" s="20">
        <v>-3942.0292199999999</v>
      </c>
      <c r="F99" s="20">
        <v>-3941.0098851359999</v>
      </c>
      <c r="G99" s="20">
        <v>-3942.1953494312002</v>
      </c>
      <c r="H99" s="20">
        <v>-3940.2756457105002</v>
      </c>
      <c r="I99" s="20">
        <v>-3940.3680050536</v>
      </c>
      <c r="J99" s="20">
        <v>-3941.4629053734998</v>
      </c>
      <c r="K99" s="20">
        <v>-3941.5508835597002</v>
      </c>
      <c r="L99" s="20">
        <v>-3941.0099464363998</v>
      </c>
      <c r="M99" s="20">
        <v>-3942.1950082874</v>
      </c>
      <c r="N99" s="20">
        <f>(M99-L99)/2*27.211324570273</f>
        <v>-16.123551331707848</v>
      </c>
      <c r="O99" s="20">
        <f>(E99-G99-D99+F99)/2*27.211324570273</f>
        <v>0.29843061296023282</v>
      </c>
      <c r="P99" s="20">
        <f>(K99-J99-I99+H99)/2*27.211324570273</f>
        <v>5.9608541191415475E-2</v>
      </c>
      <c r="Q99" s="21">
        <f>(E99+K99-J99-D99-I99+H99-2*C99)*27.211324570273</f>
        <v>-8.6473753948493588</v>
      </c>
      <c r="R99" s="21">
        <f>(M99+E99-G99+K99-J99-L99-D99+F99-I99+H99-2*C99)*27.211324570273</f>
        <v>-8.6364243551000275</v>
      </c>
      <c r="S99" s="20">
        <v>4.4400000000000004</v>
      </c>
      <c r="T99" s="21">
        <f>-Q99/2-S99</f>
        <v>-0.11631230257532099</v>
      </c>
      <c r="U99" s="21">
        <f>-R99/2-S99</f>
        <v>-0.12178782244998665</v>
      </c>
      <c r="V99" s="24">
        <v>0.14000000000000001</v>
      </c>
      <c r="W99" s="20">
        <f t="shared" si="4"/>
        <v>0.256312302575321</v>
      </c>
      <c r="X99" s="20">
        <f t="shared" si="5"/>
        <v>0.26178782244998666</v>
      </c>
    </row>
    <row r="100" spans="1:24" ht="15" customHeight="1" x14ac:dyDescent="0.2">
      <c r="A100" s="19" t="s">
        <v>69</v>
      </c>
      <c r="B100" s="19" t="s">
        <v>43</v>
      </c>
      <c r="C100" s="20">
        <f t="shared" si="3"/>
        <v>-0.42068146923305594</v>
      </c>
      <c r="D100" s="20">
        <v>-3940.1203</v>
      </c>
      <c r="E100" s="20">
        <v>-3941.2799100000002</v>
      </c>
      <c r="F100" s="20">
        <v>-3940.2648143304</v>
      </c>
      <c r="G100" s="20">
        <v>-3941.4452556125002</v>
      </c>
      <c r="H100" s="20">
        <v>-3940.2771978686001</v>
      </c>
      <c r="I100" s="20">
        <v>-3940.3700491817999</v>
      </c>
      <c r="J100" s="20">
        <v>-3941.4427572569002</v>
      </c>
      <c r="K100" s="20">
        <v>-3941.5497027248002</v>
      </c>
      <c r="L100" s="20">
        <v>-2487.25239730058</v>
      </c>
      <c r="M100" s="20">
        <v>-2488.3513038772699</v>
      </c>
      <c r="N100" s="20">
        <f>(M100-L100)/2*27.211324570273</f>
        <v>-14.951351765357444</v>
      </c>
      <c r="O100" s="20">
        <f>(E100-G100-D100+F100)/2*27.211324570273</f>
        <v>0.28342338921984989</v>
      </c>
      <c r="P100" s="20">
        <f>(K100-J100-I100+H100)/2*27.211324570273</f>
        <v>-0.19176030904485017</v>
      </c>
      <c r="Q100" s="21">
        <f>(E100+K100-J100-D100-I100+H100-2*C100)*27.211324570273</f>
        <v>-9.0434447030282463</v>
      </c>
      <c r="R100" s="21">
        <f>(M100+E100-G100+K100-J100-L100-D100+F100-I100+H100-2*C100)*27.211324570273</f>
        <v>-6.8247773703772641</v>
      </c>
      <c r="S100" s="20">
        <v>4.4400000000000004</v>
      </c>
      <c r="T100" s="21">
        <f>-Q100/2-S100</f>
        <v>8.1722351514122771E-2</v>
      </c>
      <c r="U100" s="21">
        <f>-R100/2-S100</f>
        <v>-1.0276113148113684</v>
      </c>
      <c r="V100" s="24">
        <v>0.14000000000000001</v>
      </c>
      <c r="W100" s="20">
        <f t="shared" si="4"/>
        <v>5.8277648485877243E-2</v>
      </c>
      <c r="X100" s="20">
        <f t="shared" si="5"/>
        <v>1.1676113148113685</v>
      </c>
    </row>
    <row r="101" spans="1:24" x14ac:dyDescent="0.2">
      <c r="A101" s="19" t="s">
        <v>70</v>
      </c>
      <c r="B101" s="19" t="s">
        <v>27</v>
      </c>
      <c r="C101" s="20">
        <f t="shared" si="3"/>
        <v>-0.42068146923305594</v>
      </c>
      <c r="D101" s="20">
        <f>-1027.02772</f>
        <v>-1027.02772</v>
      </c>
      <c r="E101" s="20">
        <v>-1028.2138</v>
      </c>
      <c r="F101" s="20">
        <v>-1027.1900896787999</v>
      </c>
      <c r="G101" s="20">
        <v>-1028.4000390437</v>
      </c>
      <c r="H101" s="20">
        <v>-1027.3872094010001</v>
      </c>
      <c r="I101" s="20">
        <v>-1027.4140299215001</v>
      </c>
      <c r="J101" s="20">
        <v>-1028.5742333076</v>
      </c>
      <c r="K101" s="20">
        <v>-1028.6040374487</v>
      </c>
      <c r="L101" s="20">
        <v>-1028.2777222100001</v>
      </c>
      <c r="M101" s="20">
        <v>-1029.4835203189</v>
      </c>
      <c r="N101" s="20">
        <f>(M101-L101)/2*27.211324570273</f>
        <v>-16.405681853748263</v>
      </c>
      <c r="O101" s="20">
        <f>(E101-G101-D101+F101)/2*27.211324570273</f>
        <v>0.32475851779097797</v>
      </c>
      <c r="P101" s="20">
        <f>(K101-J101-I101+H101)/2*27.211324570273</f>
        <v>-4.0594134269685313E-2</v>
      </c>
      <c r="Q101" s="21">
        <f>(E101+K101-J101-D101-I101+H101-2*C101)*27.211324570273</f>
        <v>-9.4613961148411452</v>
      </c>
      <c r="R101" s="21">
        <f>(M101+E101-G101+K101-J101-L101-D101+F101-I101+H101-2*C101)*27.211324570273</f>
        <v>-9.3484349404477562</v>
      </c>
      <c r="S101" s="20">
        <v>4.4400000000000004</v>
      </c>
      <c r="T101" s="21">
        <f>-Q101/2-S101</f>
        <v>0.2906980574205722</v>
      </c>
      <c r="U101" s="21">
        <f>-R101/2-S101</f>
        <v>0.23421747022387773</v>
      </c>
      <c r="V101" s="24">
        <v>4.2000000000000003E-2</v>
      </c>
      <c r="W101" s="20">
        <f t="shared" si="4"/>
        <v>0.24869805742057219</v>
      </c>
      <c r="X101" s="20">
        <f t="shared" si="5"/>
        <v>0.19221747022387772</v>
      </c>
    </row>
    <row r="102" spans="1:24" x14ac:dyDescent="0.2">
      <c r="A102" s="19" t="s">
        <v>70</v>
      </c>
      <c r="B102" s="19" t="s">
        <v>145</v>
      </c>
      <c r="C102" s="20">
        <f t="shared" si="3"/>
        <v>-0.42068146923305594</v>
      </c>
      <c r="D102" s="20">
        <v>-1026.55216</v>
      </c>
      <c r="E102" s="20">
        <v>-1027.73414</v>
      </c>
      <c r="F102" s="20">
        <v>-1026.7157029995999</v>
      </c>
      <c r="G102" s="20">
        <v>-1027.9212518152999</v>
      </c>
      <c r="H102" s="20">
        <v>-1027.3878064901</v>
      </c>
      <c r="I102" s="20">
        <v>-1027.4139387318</v>
      </c>
      <c r="J102" s="20">
        <v>-1028.5746684318999</v>
      </c>
      <c r="K102" s="20">
        <v>-1028.6040773319</v>
      </c>
      <c r="L102" s="20">
        <v>-1027.8207059660001</v>
      </c>
      <c r="M102" s="20">
        <v>-1029.0237174782001</v>
      </c>
      <c r="N102" s="20">
        <f>(M102-L102)/2*27.211324570273</f>
        <v>-16.367768360124082</v>
      </c>
      <c r="O102" s="20">
        <f>(E102-G102-D102+F102)/2*27.211324570273</f>
        <v>0.32066934687408621</v>
      </c>
      <c r="P102" s="20">
        <f>(K102-J102-I102+H102)/2*27.211324570273</f>
        <v>-4.4581106255461203E-2</v>
      </c>
      <c r="Q102" s="21">
        <f>(E102+K102-J102-D102-I102+H102-2*C102)*27.211324570273</f>
        <v>-9.3578036280840227</v>
      </c>
      <c r="R102" s="21">
        <f>(M102+E102-G102+K102-J102-L102-D102+F102-I102+H102-2*C102)*27.211324570273</f>
        <v>-9.2887602390109141</v>
      </c>
      <c r="S102" s="20">
        <v>4.4400000000000004</v>
      </c>
      <c r="T102" s="21">
        <f>-Q102/2-S102</f>
        <v>0.23890181404201094</v>
      </c>
      <c r="U102" s="21">
        <f>-R102/2-S102</f>
        <v>0.20438011950545665</v>
      </c>
      <c r="V102" s="24">
        <v>4.2000000000000003E-2</v>
      </c>
      <c r="W102" s="20">
        <f t="shared" si="4"/>
        <v>0.19690181404201093</v>
      </c>
      <c r="X102" s="20">
        <f t="shared" si="5"/>
        <v>0.16238011950545664</v>
      </c>
    </row>
    <row r="103" spans="1:24" x14ac:dyDescent="0.2">
      <c r="A103" s="19" t="s">
        <v>70</v>
      </c>
      <c r="B103" s="19" t="s">
        <v>29</v>
      </c>
      <c r="C103" s="20">
        <f t="shared" si="3"/>
        <v>-0.42068146923305594</v>
      </c>
      <c r="D103" s="20">
        <v>-1027.29252</v>
      </c>
      <c r="E103" s="20">
        <v>-1028.47831</v>
      </c>
      <c r="F103" s="20">
        <v>-1027.4560616197</v>
      </c>
      <c r="G103" s="20">
        <v>-1028.6656520434999</v>
      </c>
      <c r="H103" s="20">
        <v>-1027.3877549929</v>
      </c>
      <c r="I103" s="20">
        <v>-1027.4141996139999</v>
      </c>
      <c r="J103" s="20">
        <v>-1028.5745025870001</v>
      </c>
      <c r="K103" s="20">
        <v>-1028.6041234555</v>
      </c>
      <c r="L103" s="20">
        <v>-1028.5327967141</v>
      </c>
      <c r="M103" s="20">
        <v>-1029.7387214831999</v>
      </c>
      <c r="N103" s="20">
        <f>(M103-L103)/2*27.211324570273</f>
        <v>-16.407405149655343</v>
      </c>
      <c r="O103" s="20">
        <f>(E103-G103-D103+F103)/2*27.211324570273</f>
        <v>0.32382052846472914</v>
      </c>
      <c r="P103" s="20">
        <f>(K103-J103-I103+H103)/2*27.211324570273</f>
        <v>-4.3214949458525928E-2</v>
      </c>
      <c r="Q103" s="21">
        <f>(E103+K103-J103-D103-I103+H103-2*C103)*27.211324570273</f>
        <v>-9.458746461100997</v>
      </c>
      <c r="R103" s="21">
        <f>(M103+E103-G103+K103-J103-L103-D103+F103-I103+H103-2*C103)*27.211324570273</f>
        <v>-9.3589991413044658</v>
      </c>
      <c r="S103" s="20">
        <v>4.4400000000000004</v>
      </c>
      <c r="T103" s="21">
        <f>-Q103/2-S103</f>
        <v>0.28937323055049813</v>
      </c>
      <c r="U103" s="21">
        <f>-R103/2-S103</f>
        <v>0.23949957065223249</v>
      </c>
      <c r="V103" s="24">
        <v>4.2000000000000003E-2</v>
      </c>
      <c r="W103" s="20">
        <f t="shared" si="4"/>
        <v>0.24737323055049812</v>
      </c>
      <c r="X103" s="20">
        <f t="shared" si="5"/>
        <v>0.19749957065223248</v>
      </c>
    </row>
    <row r="104" spans="1:24" x14ac:dyDescent="0.2">
      <c r="A104" s="19" t="s">
        <v>70</v>
      </c>
      <c r="B104" s="19" t="s">
        <v>30</v>
      </c>
      <c r="C104" s="20">
        <f t="shared" si="3"/>
        <v>-0.42068146923305594</v>
      </c>
      <c r="D104" s="20">
        <v>-1027.26055</v>
      </c>
      <c r="E104" s="20">
        <v>-1028.4373599999999</v>
      </c>
      <c r="F104" s="20">
        <v>-1027.4233325081</v>
      </c>
      <c r="G104" s="20">
        <v>-1028.6237970299001</v>
      </c>
      <c r="H104" s="20">
        <v>-1027.3880147422001</v>
      </c>
      <c r="I104" s="20">
        <v>-1027.4143888758999</v>
      </c>
      <c r="J104" s="20">
        <v>-1028.5747736586</v>
      </c>
      <c r="K104" s="20">
        <v>-1028.6042711434</v>
      </c>
      <c r="L104" s="20">
        <v>-1028.5218873763999</v>
      </c>
      <c r="M104" s="20">
        <v>-1029.7179910825</v>
      </c>
      <c r="N104" s="20">
        <f>(M104-L104)/2*27.211324570273</f>
        <v>-16.273783083197785</v>
      </c>
      <c r="O104" s="20">
        <f>(E104-G104-D104+F104)/2*27.211324570273</f>
        <v>0.32183543512929191</v>
      </c>
      <c r="P104" s="20">
        <f>(K104-J104-I104+H104)/2*27.211324570273</f>
        <v>-4.249526026665084E-2</v>
      </c>
      <c r="Q104" s="21">
        <f>(E104+K104-J104-D104-I104+H104-2*C104)*27.211324570273</f>
        <v>-9.212949388080613</v>
      </c>
      <c r="R104" s="21">
        <f>(M104+E104-G104+K104-J104-L104-D104+F104-I104+H104-2*C104)*27.211324570273</f>
        <v>-9.0942858166641027</v>
      </c>
      <c r="S104" s="20">
        <v>4.4400000000000004</v>
      </c>
      <c r="T104" s="21">
        <f>-Q104/2-S104</f>
        <v>0.16647469404030613</v>
      </c>
      <c r="U104" s="21">
        <f>-R104/2-S104</f>
        <v>0.10714290833205098</v>
      </c>
      <c r="V104" s="24">
        <v>4.2000000000000003E-2</v>
      </c>
      <c r="W104" s="20">
        <f t="shared" si="4"/>
        <v>0.12447469404030612</v>
      </c>
      <c r="X104" s="20">
        <f t="shared" si="5"/>
        <v>6.5142908332050969E-2</v>
      </c>
    </row>
    <row r="105" spans="1:24" x14ac:dyDescent="0.2">
      <c r="A105" s="19" t="s">
        <v>70</v>
      </c>
      <c r="B105" s="19" t="s">
        <v>31</v>
      </c>
      <c r="C105" s="20">
        <f t="shared" si="3"/>
        <v>-0.42068146923305594</v>
      </c>
      <c r="D105" s="20">
        <v>-1027.29252</v>
      </c>
      <c r="E105" s="20">
        <v>-1028.47831</v>
      </c>
      <c r="F105" s="20">
        <v>-1027.4560616197</v>
      </c>
      <c r="G105" s="20">
        <v>-1028.6656520434999</v>
      </c>
      <c r="H105" s="20">
        <v>-1027.3877549929</v>
      </c>
      <c r="I105" s="20">
        <v>-1027.4141996139999</v>
      </c>
      <c r="J105" s="20">
        <v>-1028.5745025870001</v>
      </c>
      <c r="K105" s="20">
        <v>-1028.6041234555</v>
      </c>
      <c r="L105" s="20">
        <v>-1027.9032666619</v>
      </c>
      <c r="M105" s="20">
        <v>-1029.1012493551</v>
      </c>
      <c r="N105" s="20">
        <f>(M105-L105)/2*27.211324570273</f>
        <v>-16.299347947116768</v>
      </c>
      <c r="O105" s="20">
        <f>(E105-G105-D105+F105)/2*27.211324570273</f>
        <v>0.32382052846472914</v>
      </c>
      <c r="P105" s="20">
        <f>(K105-J105-I105+H105)/2*27.211324570273</f>
        <v>-4.3214949458525928E-2</v>
      </c>
      <c r="Q105" s="21">
        <f>(E105+K105-J105-D105-I105+H105-2*C105)*27.211324570273</f>
        <v>-9.458746461100997</v>
      </c>
      <c r="R105" s="21">
        <f>(M105+E105-G105+K105-J105-L105-D105+F105-I105+H105-2*C105)*27.211324570273</f>
        <v>-9.142884736227316</v>
      </c>
      <c r="S105" s="20">
        <v>4.4400000000000004</v>
      </c>
      <c r="T105" s="21">
        <f>-Q105/2-S105</f>
        <v>0.28937323055049813</v>
      </c>
      <c r="U105" s="21">
        <f>-R105/2-S105</f>
        <v>0.13144236811365761</v>
      </c>
      <c r="V105" s="24">
        <v>4.2000000000000003E-2</v>
      </c>
      <c r="W105" s="20">
        <f t="shared" si="4"/>
        <v>0.24737323055049812</v>
      </c>
      <c r="X105" s="20">
        <f t="shared" si="5"/>
        <v>8.9442368113657605E-2</v>
      </c>
    </row>
    <row r="106" spans="1:24" x14ac:dyDescent="0.2">
      <c r="A106" s="19" t="s">
        <v>70</v>
      </c>
      <c r="B106" s="19" t="s">
        <v>32</v>
      </c>
      <c r="C106" s="20">
        <f t="shared" si="3"/>
        <v>-0.42068146923305594</v>
      </c>
      <c r="D106" s="20">
        <v>-1027.26055</v>
      </c>
      <c r="E106" s="20">
        <v>-1028.4373599999999</v>
      </c>
      <c r="F106" s="20">
        <v>-1027.4233325081</v>
      </c>
      <c r="G106" s="20">
        <v>-1028.6237970299001</v>
      </c>
      <c r="H106" s="20">
        <v>-1027.3880147422001</v>
      </c>
      <c r="I106" s="20">
        <v>-1027.4143888758999</v>
      </c>
      <c r="J106" s="20">
        <v>-1028.5747736586</v>
      </c>
      <c r="K106" s="20">
        <v>-1028.6042711434</v>
      </c>
      <c r="L106" s="20">
        <v>-1027.9150641229</v>
      </c>
      <c r="M106" s="20">
        <v>-1029.1028828637</v>
      </c>
      <c r="N106" s="20">
        <f>(M106-L106)/2*27.211324570273</f>
        <v>-16.161060643279693</v>
      </c>
      <c r="O106" s="20">
        <f>(E106-G106-D106+F106)/2*27.211324570273</f>
        <v>0.32183543512929191</v>
      </c>
      <c r="P106" s="20">
        <f>(K106-J106-I106+H106)/2*27.211324570273</f>
        <v>-4.249526026665084E-2</v>
      </c>
      <c r="Q106" s="21">
        <f>(E106+K106-J106-D106-I106+H106-2*C106)*27.211324570273</f>
        <v>-9.212949388080613</v>
      </c>
      <c r="R106" s="21">
        <f>(M106+E106-G106+K106-J106-L106-D106+F106-I106+H106-2*C106)*27.211324570273</f>
        <v>-8.8688409368341024</v>
      </c>
      <c r="S106" s="20">
        <v>4.4400000000000004</v>
      </c>
      <c r="T106" s="21">
        <f>-Q106/2-S106</f>
        <v>0.16647469404030613</v>
      </c>
      <c r="U106" s="21">
        <f>-R106/2-S106</f>
        <v>-5.5795315829492154E-3</v>
      </c>
      <c r="V106" s="24">
        <v>4.2000000000000003E-2</v>
      </c>
      <c r="W106" s="20">
        <f t="shared" si="4"/>
        <v>0.12447469404030612</v>
      </c>
      <c r="X106" s="20">
        <f t="shared" si="5"/>
        <v>4.7579531582949218E-2</v>
      </c>
    </row>
    <row r="107" spans="1:24" x14ac:dyDescent="0.2">
      <c r="A107" s="19" t="s">
        <v>70</v>
      </c>
      <c r="B107" s="19" t="s">
        <v>33</v>
      </c>
      <c r="C107" s="20">
        <f t="shared" si="3"/>
        <v>-0.42068146923305594</v>
      </c>
      <c r="D107" s="20">
        <v>-1027.75541</v>
      </c>
      <c r="E107" s="20">
        <v>-1028.9208599999999</v>
      </c>
      <c r="F107" s="20">
        <v>-1027.9160284599</v>
      </c>
      <c r="G107" s="20">
        <v>-1029.103051776</v>
      </c>
      <c r="H107" s="20">
        <v>-1027.3877380516001</v>
      </c>
      <c r="I107" s="20">
        <v>-1027.4139901931001</v>
      </c>
      <c r="J107" s="20">
        <v>-1028.5745673407</v>
      </c>
      <c r="K107" s="20">
        <v>-1028.603689715</v>
      </c>
      <c r="L107" s="20">
        <v>-1027.9158607541001</v>
      </c>
      <c r="M107" s="20">
        <v>-1029.1037256812001</v>
      </c>
      <c r="N107" s="20">
        <f>(M107-L107)/2*27.211324570273</f>
        <v>-16.161689038481004</v>
      </c>
      <c r="O107" s="20">
        <f>(E107-G107-D107+F107)/2*27.211324570273</f>
        <v>0.29351925322849404</v>
      </c>
      <c r="P107" s="20">
        <f>(K107-J107-I107+H107)/2*27.211324570273</f>
        <v>-3.9051418156223934E-2</v>
      </c>
      <c r="Q107" s="21">
        <f>(E107+K107-J107-D107-I107+H107-2*C107)*27.211324570273</f>
        <v>-8.8969410567361447</v>
      </c>
      <c r="R107" s="21">
        <f>(M107+E107-G107+K107-J107-L107-D107+F107-I107+H107-2*C107)*27.211324570273</f>
        <v>-8.9198424068050937</v>
      </c>
      <c r="S107" s="20">
        <v>4.4400000000000004</v>
      </c>
      <c r="T107" s="21">
        <f>-Q107/2-S107</f>
        <v>8.470528368071939E-3</v>
      </c>
      <c r="U107" s="21">
        <f>-R107/2-S107</f>
        <v>1.9921203402546439E-2</v>
      </c>
      <c r="V107" s="24">
        <v>4.2000000000000003E-2</v>
      </c>
      <c r="W107" s="20">
        <f t="shared" si="4"/>
        <v>3.3529471631928064E-2</v>
      </c>
      <c r="X107" s="20">
        <f t="shared" si="5"/>
        <v>2.2078796597453564E-2</v>
      </c>
    </row>
    <row r="108" spans="1:24" ht="15" customHeight="1" x14ac:dyDescent="0.2">
      <c r="A108" s="19" t="s">
        <v>70</v>
      </c>
      <c r="B108" s="19" t="s">
        <v>42</v>
      </c>
      <c r="C108" s="20">
        <f t="shared" si="3"/>
        <v>-0.42068146923305594</v>
      </c>
      <c r="D108" s="20">
        <v>-1027.7554500000001</v>
      </c>
      <c r="E108" s="20">
        <v>-1028.92182</v>
      </c>
      <c r="F108" s="20">
        <v>-1027.9161802215999</v>
      </c>
      <c r="G108" s="20">
        <v>-1029.1041116082999</v>
      </c>
      <c r="H108" s="20">
        <v>-1027.387732098</v>
      </c>
      <c r="I108" s="20">
        <v>-1027.4139823876999</v>
      </c>
      <c r="J108" s="20">
        <v>-1028.5744815203</v>
      </c>
      <c r="K108" s="20">
        <v>-1028.6036402499001</v>
      </c>
      <c r="L108" s="20">
        <v>-1027.9158600282999</v>
      </c>
      <c r="M108" s="20">
        <v>-1029.1037272067999</v>
      </c>
      <c r="N108" s="20">
        <f>(M108-L108)/2*27.211324570273</f>
        <v>-16.161719670269335</v>
      </c>
      <c r="O108" s="20">
        <f>(E108-G108-D108+F108)/2*27.211324570273</f>
        <v>0.29335694584098304</v>
      </c>
      <c r="P108" s="20">
        <f>(K108-J108-I108+H108)/2*27.211324570273</f>
        <v>-3.9571251059262361E-2</v>
      </c>
      <c r="Q108" s="21">
        <f>(E108+K108-J108-D108-I108+H108-2*C108)*27.211324570273</f>
        <v>-8.9230151411393521</v>
      </c>
      <c r="R108" s="21">
        <f>(M108+E108-G108+K108-J108-L108-D108+F108-I108+H108-2*C108)*27.211324570273</f>
        <v>-8.9212679509814183</v>
      </c>
      <c r="S108" s="20">
        <v>4.4400000000000004</v>
      </c>
      <c r="T108" s="21">
        <f>-Q108/2-S108</f>
        <v>2.1507570569675671E-2</v>
      </c>
      <c r="U108" s="21">
        <f>-R108/2-S108</f>
        <v>2.0633975490708778E-2</v>
      </c>
      <c r="V108" s="24">
        <v>4.2000000000000003E-2</v>
      </c>
      <c r="W108" s="20">
        <f t="shared" si="4"/>
        <v>2.0492429430324331E-2</v>
      </c>
      <c r="X108" s="20">
        <f t="shared" si="5"/>
        <v>2.1366024509291225E-2</v>
      </c>
    </row>
    <row r="109" spans="1:24" ht="15" customHeight="1" x14ac:dyDescent="0.2">
      <c r="A109" s="19" t="s">
        <v>70</v>
      </c>
      <c r="B109" s="19" t="s">
        <v>43</v>
      </c>
      <c r="C109" s="20">
        <f t="shared" si="3"/>
        <v>-0.42068146923305594</v>
      </c>
      <c r="D109" s="20">
        <v>-1027.26055</v>
      </c>
      <c r="E109" s="20">
        <v>-1028.4373599999999</v>
      </c>
      <c r="F109" s="20">
        <v>-1027.4233325081</v>
      </c>
      <c r="G109" s="20">
        <v>-1028.6237970299001</v>
      </c>
      <c r="H109" s="20">
        <v>-1027.3880147422001</v>
      </c>
      <c r="I109" s="20">
        <v>-1027.4143888758999</v>
      </c>
      <c r="J109" s="20">
        <v>-1028.5747736586</v>
      </c>
      <c r="K109" s="20">
        <v>-1028.6042711434</v>
      </c>
      <c r="L109" s="20">
        <v>-1026.5332466039299</v>
      </c>
      <c r="M109" s="20">
        <v>-1027.73762879377</v>
      </c>
      <c r="N109" s="20">
        <f>(M109-L109)/2*27.211324570273</f>
        <v>-16.386417337197411</v>
      </c>
      <c r="O109" s="20">
        <f>(E109-G109-D109+F109)/2*27.211324570273</f>
        <v>0.32183543512929191</v>
      </c>
      <c r="P109" s="20">
        <f>(K109-J109-I109+H109)/2*27.211324570273</f>
        <v>-4.249526026665084E-2</v>
      </c>
      <c r="Q109" s="21">
        <f>(E109+K109-J109-D109-I109+H109-2*C109)*27.211324570273</f>
        <v>-9.212949388080613</v>
      </c>
      <c r="R109" s="21">
        <f>(M109+E109-G109+K109-J109-L109-D109+F109-I109+H109-2*C109)*27.211324570273</f>
        <v>-9.3195543246695394</v>
      </c>
      <c r="S109" s="20">
        <v>4.4400000000000004</v>
      </c>
      <c r="T109" s="21">
        <f>-Q109/2-S109</f>
        <v>0.16647469404030613</v>
      </c>
      <c r="U109" s="21">
        <f>-R109/2-S109</f>
        <v>0.21977716233476929</v>
      </c>
      <c r="V109" s="24">
        <v>4.2000000000000003E-2</v>
      </c>
      <c r="W109" s="20">
        <f t="shared" si="4"/>
        <v>0.12447469404030612</v>
      </c>
      <c r="X109" s="20">
        <f t="shared" si="5"/>
        <v>0.17777716233476928</v>
      </c>
    </row>
    <row r="110" spans="1:24" x14ac:dyDescent="0.2">
      <c r="A110" s="19" t="s">
        <v>71</v>
      </c>
      <c r="B110" s="19" t="s">
        <v>27</v>
      </c>
      <c r="C110" s="20">
        <f t="shared" si="3"/>
        <v>-0.42068146923305594</v>
      </c>
      <c r="D110" s="20">
        <f>-953.0326</f>
        <v>-953.0326</v>
      </c>
      <c r="E110" s="20">
        <v>-954.19673</v>
      </c>
      <c r="F110" s="20">
        <v>-953.21397156379999</v>
      </c>
      <c r="G110" s="20">
        <v>-954.40028974970005</v>
      </c>
      <c r="H110" s="20">
        <v>-953.37687619810004</v>
      </c>
      <c r="I110" s="20">
        <v>-953.39545079720006</v>
      </c>
      <c r="J110" s="20">
        <v>-954.54300271429997</v>
      </c>
      <c r="K110" s="20">
        <v>-954.57345945760005</v>
      </c>
      <c r="L110" s="20">
        <v>-954.2182105142</v>
      </c>
      <c r="M110" s="20">
        <v>-955.40110346280005</v>
      </c>
      <c r="N110" s="20">
        <f>(M110-L110)/2*27.211324570273</f>
        <v>-16.094041978121691</v>
      </c>
      <c r="O110" s="20">
        <f>(E110-G110-D110+F110)/2*27.211324570273</f>
        <v>0.30188496407608756</v>
      </c>
      <c r="P110" s="20">
        <f>(K110-J110-I110+H110)/2*27.211324570273</f>
        <v>-0.16166444120928342</v>
      </c>
      <c r="Q110" s="21">
        <f>(E110+K110-J110-D110-I110+H110-2*C110)*27.211324570273</f>
        <v>-9.1062481544104763</v>
      </c>
      <c r="R110" s="21">
        <f>(M110+E110-G110+K110-J110-L110-D110+F110-I110+H110-2*C110)*27.211324570273</f>
        <v>-9.0130429105128691</v>
      </c>
      <c r="S110" s="20">
        <v>4.4400000000000004</v>
      </c>
      <c r="T110" s="21">
        <f>-Q110/2-S110</f>
        <v>0.11312407720523776</v>
      </c>
      <c r="U110" s="21">
        <f>-R110/2-S110</f>
        <v>6.6521455256434159E-2</v>
      </c>
      <c r="V110" s="24">
        <v>-8.9999999999999993E-3</v>
      </c>
      <c r="W110" s="20">
        <f t="shared" si="4"/>
        <v>0.12212407720523775</v>
      </c>
      <c r="X110" s="20">
        <f t="shared" si="5"/>
        <v>7.5521455256434153E-2</v>
      </c>
    </row>
    <row r="111" spans="1:24" x14ac:dyDescent="0.2">
      <c r="A111" s="19" t="s">
        <v>71</v>
      </c>
      <c r="B111" s="19" t="s">
        <v>145</v>
      </c>
      <c r="C111" s="20">
        <f t="shared" si="3"/>
        <v>-0.42068146923305594</v>
      </c>
      <c r="D111" s="20">
        <v>-952.57351000000006</v>
      </c>
      <c r="E111" s="20">
        <v>-953.73667</v>
      </c>
      <c r="F111" s="20">
        <v>-952.75630876740001</v>
      </c>
      <c r="G111" s="20">
        <v>-953.94136435530004</v>
      </c>
      <c r="H111" s="20">
        <v>-953.37758064720003</v>
      </c>
      <c r="I111" s="20">
        <v>-953.39576411600001</v>
      </c>
      <c r="J111" s="20">
        <v>-954.54351849960005</v>
      </c>
      <c r="K111" s="20">
        <v>-954.57370257080004</v>
      </c>
      <c r="L111" s="20">
        <v>-953.77873634069999</v>
      </c>
      <c r="M111" s="20">
        <v>-954.96153589970004</v>
      </c>
      <c r="N111" s="20">
        <f>(M111-L111)/2*27.211324570273</f>
        <v>-16.092771350763005</v>
      </c>
      <c r="O111" s="20">
        <f>(E111-G111-D111+F111)/2*27.211324570273</f>
        <v>0.29790397450295447</v>
      </c>
      <c r="P111" s="20">
        <f>(K111-J111-I111+H111)/2*27.211324570273</f>
        <v>-0.16327614347270286</v>
      </c>
      <c r="Q111" s="21">
        <f>(E111+K111-J111-D111-I111+H111-2*C111)*27.211324570273</f>
        <v>-9.0830765741058261</v>
      </c>
      <c r="R111" s="21">
        <f>(M111+E111-G111+K111-J111-L111-D111+F111-I111+H111-2*C111)*27.211324570273</f>
        <v>-9.0216870394685973</v>
      </c>
      <c r="S111" s="20">
        <v>4.4400000000000004</v>
      </c>
      <c r="T111" s="21">
        <f>-Q111/2-S111</f>
        <v>0.10153828705291268</v>
      </c>
      <c r="U111" s="21">
        <f>-R111/2-S111</f>
        <v>7.0843519734298255E-2</v>
      </c>
      <c r="V111" s="24">
        <v>-8.9999999999999993E-3</v>
      </c>
      <c r="W111" s="20">
        <f t="shared" si="4"/>
        <v>0.11053828705291267</v>
      </c>
      <c r="X111" s="20">
        <f t="shared" si="5"/>
        <v>7.9843519734298249E-2</v>
      </c>
    </row>
    <row r="112" spans="1:24" x14ac:dyDescent="0.2">
      <c r="A112" s="19" t="s">
        <v>71</v>
      </c>
      <c r="B112" s="19" t="s">
        <v>29</v>
      </c>
      <c r="C112" s="20">
        <f t="shared" si="3"/>
        <v>-0.42068146923305594</v>
      </c>
      <c r="D112" s="20">
        <v>-953.29242999999997</v>
      </c>
      <c r="E112" s="20">
        <v>-954.45870000000002</v>
      </c>
      <c r="F112" s="20">
        <v>-953.47576948489996</v>
      </c>
      <c r="G112" s="20">
        <v>-954.66410586179995</v>
      </c>
      <c r="H112" s="20">
        <v>-953.37747654379996</v>
      </c>
      <c r="I112" s="20">
        <v>-953.39593618829997</v>
      </c>
      <c r="J112" s="20">
        <v>-954.54325000079996</v>
      </c>
      <c r="K112" s="20">
        <v>-954.57372311040001</v>
      </c>
      <c r="L112" s="20">
        <v>-954.46899800439996</v>
      </c>
      <c r="M112" s="20">
        <v>-955.65435218539994</v>
      </c>
      <c r="N112" s="20">
        <f>(M112-L112)/2*27.211324570273</f>
        <v>-16.127528674960288</v>
      </c>
      <c r="O112" s="20">
        <f>(E112-G112-D112+F112)/2*27.211324570273</f>
        <v>0.3002276719571611</v>
      </c>
      <c r="P112" s="20">
        <f>(K112-J112-I112+H112)/2*27.211324570273</f>
        <v>-0.16345114902541599</v>
      </c>
      <c r="Q112" s="21">
        <f>(E112+K112-J112-D112-I112+H112-2*C112)*27.211324570273</f>
        <v>-9.168053804624595</v>
      </c>
      <c r="R112" s="21">
        <f>(M112+E112-G112+K112-J112-L112-D112+F112-I112+H112-2*C112)*27.211324570273</f>
        <v>-9.0869043040539914</v>
      </c>
      <c r="S112" s="20">
        <v>4.4400000000000004</v>
      </c>
      <c r="T112" s="21">
        <f>-Q112/2-S112</f>
        <v>0.14402690231229709</v>
      </c>
      <c r="U112" s="21">
        <f>-R112/2-S112</f>
        <v>0.10345215202699531</v>
      </c>
      <c r="V112" s="24">
        <v>-8.9999999999999993E-3</v>
      </c>
      <c r="W112" s="20">
        <f t="shared" si="4"/>
        <v>0.1530269023122971</v>
      </c>
      <c r="X112" s="20">
        <f t="shared" si="5"/>
        <v>0.11245215202699531</v>
      </c>
    </row>
    <row r="113" spans="1:24" x14ac:dyDescent="0.2">
      <c r="A113" s="19" t="s">
        <v>71</v>
      </c>
      <c r="B113" s="19" t="s">
        <v>30</v>
      </c>
      <c r="C113" s="20">
        <f t="shared" si="3"/>
        <v>-0.42068146923305594</v>
      </c>
      <c r="D113" s="20">
        <v>-953.24019999999996</v>
      </c>
      <c r="E113" s="20">
        <v>-954.39751000000001</v>
      </c>
      <c r="F113" s="20">
        <v>-953.42254661929996</v>
      </c>
      <c r="G113" s="20">
        <v>-954.60187309759999</v>
      </c>
      <c r="H113" s="20">
        <v>-953.37775265189998</v>
      </c>
      <c r="I113" s="20">
        <v>-953.39615831250001</v>
      </c>
      <c r="J113" s="20">
        <v>-954.54355710899995</v>
      </c>
      <c r="K113" s="20">
        <v>-954.57389283550003</v>
      </c>
      <c r="L113" s="20">
        <v>-954.43691430080003</v>
      </c>
      <c r="M113" s="20">
        <v>-955.61261211910005</v>
      </c>
      <c r="N113" s="20">
        <f>(M113-L113)/2*27.211324570273</f>
        <v>-15.996147465161886</v>
      </c>
      <c r="O113" s="20">
        <f>(E113-G113-D113+F113)/2*27.211324570273</f>
        <v>0.2995487684574899</v>
      </c>
      <c r="P113" s="20">
        <f>(K113-J113-I113+H113)/2*27.211324570273</f>
        <v>-0.16231644767564035</v>
      </c>
      <c r="Q113" s="21">
        <f>(E113+K113-J113-D113-I113+H113-2*C113)*27.211324570273</f>
        <v>-8.9219709337784412</v>
      </c>
      <c r="R113" s="21">
        <f>(M113+E113-G113+K113-J113-L113-D113+F113-I113+H113-2*C113)*27.211324570273</f>
        <v>-8.8232302887569798</v>
      </c>
      <c r="S113" s="20">
        <v>4.4400000000000004</v>
      </c>
      <c r="T113" s="21">
        <f>-Q113/2-S113</f>
        <v>2.0985466889220206E-2</v>
      </c>
      <c r="U113" s="21">
        <f>-R113/2-S113</f>
        <v>-2.8384855621510496E-2</v>
      </c>
      <c r="V113" s="24">
        <v>-8.9999999999999993E-3</v>
      </c>
      <c r="W113" s="20">
        <f t="shared" si="4"/>
        <v>2.9985466889220207E-2</v>
      </c>
      <c r="X113" s="20">
        <f t="shared" si="5"/>
        <v>1.9384855621510495E-2</v>
      </c>
    </row>
    <row r="114" spans="1:24" x14ac:dyDescent="0.2">
      <c r="A114" s="19" t="s">
        <v>71</v>
      </c>
      <c r="B114" s="19" t="s">
        <v>31</v>
      </c>
      <c r="C114" s="20">
        <f t="shared" si="3"/>
        <v>-0.42068146923305594</v>
      </c>
      <c r="D114" s="20">
        <v>-953.29242999999997</v>
      </c>
      <c r="E114" s="20">
        <v>-954.45870000000002</v>
      </c>
      <c r="F114" s="20">
        <v>-953.47576948489996</v>
      </c>
      <c r="G114" s="20">
        <v>-954.66410586179995</v>
      </c>
      <c r="H114" s="20">
        <v>-953.37747654379996</v>
      </c>
      <c r="I114" s="20">
        <v>-953.39593618829997</v>
      </c>
      <c r="J114" s="20">
        <v>-954.54325000079996</v>
      </c>
      <c r="K114" s="20">
        <v>-954.57372311040001</v>
      </c>
      <c r="L114" s="20">
        <v>-953.8644779773</v>
      </c>
      <c r="M114" s="20">
        <v>-955.04205716319996</v>
      </c>
      <c r="N114" s="20">
        <f>(M114-L114)/2*27.211324570273</f>
        <v>-16.021744717360804</v>
      </c>
      <c r="O114" s="20">
        <f>(E114-G114-D114+F114)/2*27.211324570273</f>
        <v>0.3002276719571611</v>
      </c>
      <c r="P114" s="20">
        <f>(K114-J114-I114+H114)/2*27.211324570273</f>
        <v>-0.16345114902541599</v>
      </c>
      <c r="Q114" s="21">
        <f>(E114+K114-J114-D114-I114+H114-2*C114)*27.211324570273</f>
        <v>-9.168053804624595</v>
      </c>
      <c r="R114" s="21">
        <f>(M114+E114-G114+K114-J114-L114-D114+F114-I114+H114-2*C114)*27.211324570273</f>
        <v>-8.8753363888612142</v>
      </c>
      <c r="S114" s="20">
        <v>4.4400000000000004</v>
      </c>
      <c r="T114" s="21">
        <f>-Q114/2-S114</f>
        <v>0.14402690231229709</v>
      </c>
      <c r="U114" s="21">
        <f>-R114/2-S114</f>
        <v>-2.3318055693932749E-3</v>
      </c>
      <c r="V114" s="24">
        <v>-8.9999999999999993E-3</v>
      </c>
      <c r="W114" s="20">
        <f t="shared" si="4"/>
        <v>0.1530269023122971</v>
      </c>
      <c r="X114" s="20">
        <f t="shared" si="5"/>
        <v>6.6681944306067244E-3</v>
      </c>
    </row>
    <row r="115" spans="1:24" x14ac:dyDescent="0.2">
      <c r="A115" s="19" t="s">
        <v>71</v>
      </c>
      <c r="B115" s="19" t="s">
        <v>32</v>
      </c>
      <c r="C115" s="20">
        <f t="shared" si="3"/>
        <v>-0.42068146923305594</v>
      </c>
      <c r="D115" s="20">
        <v>-953.24019999999996</v>
      </c>
      <c r="E115" s="20">
        <v>-954.39751000000001</v>
      </c>
      <c r="F115" s="20">
        <v>-953.42254661929996</v>
      </c>
      <c r="G115" s="20">
        <v>-954.60187309759999</v>
      </c>
      <c r="H115" s="20">
        <v>-953.37775265189998</v>
      </c>
      <c r="I115" s="20">
        <v>-953.39615831250001</v>
      </c>
      <c r="J115" s="20">
        <v>-954.54355710899995</v>
      </c>
      <c r="K115" s="20">
        <v>-954.57389283550003</v>
      </c>
      <c r="L115" s="20">
        <v>-953.8540878128</v>
      </c>
      <c r="M115" s="20">
        <v>-955.02163514259996</v>
      </c>
      <c r="N115" s="20">
        <f>(M115-L115)/2*27.211324570273</f>
        <v>-15.885254671171126</v>
      </c>
      <c r="O115" s="20">
        <f>(E115-G115-D115+F115)/2*27.211324570273</f>
        <v>0.2995487684574899</v>
      </c>
      <c r="P115" s="20">
        <f>(K115-J115-I115+H115)/2*27.211324570273</f>
        <v>-0.16231644767564035</v>
      </c>
      <c r="Q115" s="21">
        <f>(E115+K115-J115-D115-I115+H115-2*C115)*27.211324570273</f>
        <v>-8.9219709337784412</v>
      </c>
      <c r="R115" s="21">
        <f>(M115+E115-G115+K115-J115-L115-D115+F115-I115+H115-2*C115)*27.211324570273</f>
        <v>-8.6014447007816468</v>
      </c>
      <c r="S115" s="20">
        <v>4.4400000000000004</v>
      </c>
      <c r="T115" s="21">
        <f>-Q115/2-S115</f>
        <v>2.0985466889220206E-2</v>
      </c>
      <c r="U115" s="21">
        <f>-R115/2-S115</f>
        <v>-0.13927764960917699</v>
      </c>
      <c r="V115" s="24">
        <v>-8.9999999999999993E-3</v>
      </c>
      <c r="W115" s="20">
        <f t="shared" si="4"/>
        <v>2.9985466889220207E-2</v>
      </c>
      <c r="X115" s="20">
        <f t="shared" si="5"/>
        <v>0.13027764960917698</v>
      </c>
    </row>
    <row r="116" spans="1:24" x14ac:dyDescent="0.2">
      <c r="A116" s="19" t="s">
        <v>71</v>
      </c>
      <c r="B116" s="19" t="s">
        <v>33</v>
      </c>
      <c r="C116" s="20">
        <f t="shared" si="3"/>
        <v>-0.42068146923305594</v>
      </c>
      <c r="D116" s="20">
        <v>-953.67413999999997</v>
      </c>
      <c r="E116" s="20">
        <v>-954.82081000000005</v>
      </c>
      <c r="F116" s="20">
        <v>-953.85468246940002</v>
      </c>
      <c r="G116" s="20">
        <v>-955.02202050530002</v>
      </c>
      <c r="H116" s="20">
        <v>-953.37742565409997</v>
      </c>
      <c r="I116" s="20">
        <v>-953.3959113802</v>
      </c>
      <c r="J116" s="20">
        <v>-954.54346205750005</v>
      </c>
      <c r="K116" s="20">
        <v>-954.573611153</v>
      </c>
      <c r="L116" s="20">
        <v>-953.85489194230001</v>
      </c>
      <c r="M116" s="20">
        <v>-955.02250311299997</v>
      </c>
      <c r="N116" s="20">
        <f>(M116-L116)/2*27.211324570273</f>
        <v>-15.886123268896473</v>
      </c>
      <c r="O116" s="20">
        <f>(E116-G116-D116+F116)/2*27.211324570273</f>
        <v>0.2812023165513412</v>
      </c>
      <c r="P116" s="20">
        <f>(K116-J116-I116+H116)/2*27.211324570273</f>
        <v>-0.15868786516199743</v>
      </c>
      <c r="Q116" s="21">
        <f>(E116+K116-J116-D116-I116+H116-2*C116)*27.211324570273</f>
        <v>-8.6251852753243572</v>
      </c>
      <c r="R116" s="21">
        <f>(M116+E116-G116+K116-J116-L116-D116+F116-I116+H116-2*C116)*27.211324570273</f>
        <v>-8.6326176350111634</v>
      </c>
      <c r="S116" s="20">
        <v>4.4400000000000004</v>
      </c>
      <c r="T116" s="21">
        <f>-Q116/2-S116</f>
        <v>-0.12740736233782179</v>
      </c>
      <c r="U116" s="21">
        <f>-R116/2-S116</f>
        <v>-0.12369118249441868</v>
      </c>
      <c r="V116" s="24">
        <v>-8.9999999999999993E-3</v>
      </c>
      <c r="W116" s="20">
        <f t="shared" si="4"/>
        <v>0.1184073623378218</v>
      </c>
      <c r="X116" s="20">
        <f t="shared" si="5"/>
        <v>0.11469118249441869</v>
      </c>
    </row>
    <row r="117" spans="1:24" ht="15" customHeight="1" x14ac:dyDescent="0.2">
      <c r="A117" s="19" t="s">
        <v>71</v>
      </c>
      <c r="B117" s="19" t="s">
        <v>42</v>
      </c>
      <c r="C117" s="20">
        <f t="shared" si="3"/>
        <v>-0.42068146923305594</v>
      </c>
      <c r="D117" s="20">
        <v>-953.67449999999997</v>
      </c>
      <c r="E117" s="20">
        <v>-954.82128</v>
      </c>
      <c r="F117" s="20">
        <v>-953.8551840069</v>
      </c>
      <c r="G117" s="20">
        <v>-955.02270861219995</v>
      </c>
      <c r="H117" s="20">
        <v>-953.3774031726</v>
      </c>
      <c r="I117" s="20">
        <v>-953.39590466059997</v>
      </c>
      <c r="J117" s="20">
        <v>-954.54337159639999</v>
      </c>
      <c r="K117" s="20">
        <v>-954.57354527710004</v>
      </c>
      <c r="L117" s="20">
        <v>-953.85489482150001</v>
      </c>
      <c r="M117" s="20">
        <v>-955.02250839980002</v>
      </c>
      <c r="N117" s="20">
        <f>(M117-L117)/2*27.211324570273</f>
        <v>-15.886156025889671</v>
      </c>
      <c r="O117" s="20">
        <f>(E117-G117-D117+F117)/2*27.211324570273</f>
        <v>0.28224409394903216</v>
      </c>
      <c r="P117" s="20">
        <f>(K117-J117-I117+H117)/2*27.211324570273</f>
        <v>-0.15880791200426084</v>
      </c>
      <c r="Q117" s="21">
        <f>(E117+K117-J117-D117-I117+H117-2*C117)*27.211324570273</f>
        <v>-8.6284186147102435</v>
      </c>
      <c r="R117" s="21">
        <f>(M117+E117-G117+K117-J117-L117-D117+F117-I117+H117-2*C117)*27.211324570273</f>
        <v>-8.630839687886704</v>
      </c>
      <c r="S117" s="20">
        <v>4.4400000000000004</v>
      </c>
      <c r="T117" s="21">
        <f>-Q117/2-S117</f>
        <v>-0.12579069264487863</v>
      </c>
      <c r="U117" s="21">
        <f>-R117/2-S117</f>
        <v>-0.12458015605664841</v>
      </c>
      <c r="V117" s="24">
        <v>-8.9999999999999993E-3</v>
      </c>
      <c r="W117" s="20">
        <f t="shared" si="4"/>
        <v>0.11679069264487864</v>
      </c>
      <c r="X117" s="20">
        <f t="shared" si="5"/>
        <v>0.11558015605664841</v>
      </c>
    </row>
    <row r="118" spans="1:24" ht="15" customHeight="1" x14ac:dyDescent="0.2">
      <c r="A118" s="19" t="s">
        <v>71</v>
      </c>
      <c r="B118" s="19" t="s">
        <v>43</v>
      </c>
      <c r="C118" s="20">
        <f t="shared" si="3"/>
        <v>-0.42068146923305594</v>
      </c>
      <c r="D118" s="20">
        <v>-953.24019999999996</v>
      </c>
      <c r="E118" s="20">
        <v>-954.39751000000001</v>
      </c>
      <c r="F118" s="20">
        <v>-953.42254661929996</v>
      </c>
      <c r="G118" s="20">
        <v>-954.60187309759999</v>
      </c>
      <c r="H118" s="20">
        <v>-953.37775265189998</v>
      </c>
      <c r="I118" s="20">
        <v>-953.39615831250001</v>
      </c>
      <c r="J118" s="20">
        <v>-954.54355710899995</v>
      </c>
      <c r="K118" s="20">
        <v>-954.57389283550003</v>
      </c>
      <c r="L118" s="20">
        <v>-952.56604740554405</v>
      </c>
      <c r="M118" s="20">
        <v>-953.75050752494303</v>
      </c>
      <c r="N118" s="20">
        <f>(M118-L118)/2*27.211324570273</f>
        <v>-16.115364374754943</v>
      </c>
      <c r="O118" s="20">
        <f>(E118-G118-D118+F118)/2*27.211324570273</f>
        <v>0.2995487684574899</v>
      </c>
      <c r="P118" s="20">
        <f>(K118-J118-I118+H118)/2*27.211324570273</f>
        <v>-0.16231644767564035</v>
      </c>
      <c r="Q118" s="21">
        <f>(E118+K118-J118-D118-I118+H118-2*C118)*27.211324570273</f>
        <v>-8.9219709337784412</v>
      </c>
      <c r="R118" s="21">
        <f>(M118+E118-G118+K118-J118-L118-D118+F118-I118+H118-2*C118)*27.211324570273</f>
        <v>-9.0616641079492801</v>
      </c>
      <c r="S118" s="20">
        <v>4.4400000000000004</v>
      </c>
      <c r="T118" s="21">
        <f>-Q118/2-S118</f>
        <v>2.0985466889220206E-2</v>
      </c>
      <c r="U118" s="21">
        <f>-R118/2-S118</f>
        <v>9.083205397463967E-2</v>
      </c>
      <c r="V118" s="24">
        <v>-8.9999999999999993E-3</v>
      </c>
      <c r="W118" s="20">
        <f t="shared" si="4"/>
        <v>2.9985466889220207E-2</v>
      </c>
      <c r="X118" s="20">
        <f t="shared" si="5"/>
        <v>9.9832053974639665E-2</v>
      </c>
    </row>
    <row r="119" spans="1:24" x14ac:dyDescent="0.2">
      <c r="A119" s="19" t="s">
        <v>72</v>
      </c>
      <c r="B119" s="19" t="s">
        <v>27</v>
      </c>
      <c r="C119" s="20">
        <f t="shared" si="3"/>
        <v>-0.42068146923305594</v>
      </c>
      <c r="D119" s="20">
        <f>-953.04892</f>
        <v>-953.04891999999995</v>
      </c>
      <c r="E119" s="20">
        <v>-954.20938999999998</v>
      </c>
      <c r="F119" s="20">
        <v>-953.22979511139999</v>
      </c>
      <c r="G119" s="20">
        <v>-954.41238343969997</v>
      </c>
      <c r="H119" s="20">
        <v>-953.39306654300003</v>
      </c>
      <c r="I119" s="20">
        <v>-953.41029873360003</v>
      </c>
      <c r="J119" s="20">
        <v>-954.55582649329995</v>
      </c>
      <c r="K119" s="20">
        <v>-954.58579500789995</v>
      </c>
      <c r="L119" s="20">
        <v>-954.23411804390003</v>
      </c>
      <c r="M119" s="20">
        <v>-955.41324854330003</v>
      </c>
      <c r="N119" s="20">
        <f>(M119-L119)/2*27.211324570273</f>
        <v>-16.042851364940788</v>
      </c>
      <c r="O119" s="20">
        <f>(E119-G119-D119+F119)/2*27.211324570273</f>
        <v>0.30093450516074866</v>
      </c>
      <c r="P119" s="20">
        <f>(K119-J119-I119+H119)/2*27.211324570273</f>
        <v>-0.17328612309810934</v>
      </c>
      <c r="Q119" s="21">
        <f>(E119+K119-J119-D119-I119+H119-2*C119)*27.211324570273</f>
        <v>-9.0298980702587066</v>
      </c>
      <c r="R119" s="21">
        <f>(M119+E119-G119+K119-J119-L119-D119+F119-I119+H119-2*C119)*27.211324570273</f>
        <v>-8.9358059657593873</v>
      </c>
      <c r="S119" s="20">
        <v>4.4400000000000004</v>
      </c>
      <c r="T119" s="21">
        <f>-Q119/2-S119</f>
        <v>7.4949035129352914E-2</v>
      </c>
      <c r="U119" s="21">
        <f>-R119/2-S119</f>
        <v>2.7902982879693283E-2</v>
      </c>
      <c r="V119" s="24">
        <v>-0.04</v>
      </c>
      <c r="W119" s="20">
        <f t="shared" si="4"/>
        <v>0.11494903512935292</v>
      </c>
      <c r="X119" s="20">
        <f t="shared" si="5"/>
        <v>6.7902982879693291E-2</v>
      </c>
    </row>
    <row r="120" spans="1:24" x14ac:dyDescent="0.2">
      <c r="A120" s="19" t="s">
        <v>72</v>
      </c>
      <c r="B120" s="19" t="s">
        <v>145</v>
      </c>
      <c r="C120" s="20">
        <f t="shared" si="3"/>
        <v>-0.42068146923305594</v>
      </c>
      <c r="D120" s="20">
        <v>-952.58947999999998</v>
      </c>
      <c r="E120" s="20">
        <v>-953.74958000000004</v>
      </c>
      <c r="F120" s="20">
        <v>-952.77134713980001</v>
      </c>
      <c r="G120" s="20">
        <v>-953.95302443569994</v>
      </c>
      <c r="H120" s="20">
        <v>-953.39371264060003</v>
      </c>
      <c r="I120" s="20">
        <v>-953.41046021880004</v>
      </c>
      <c r="J120" s="20">
        <v>-954.55627685039997</v>
      </c>
      <c r="K120" s="20">
        <v>-954.58581790970004</v>
      </c>
      <c r="L120" s="20">
        <v>-953.79386601270005</v>
      </c>
      <c r="M120" s="20">
        <v>-954.97322034399997</v>
      </c>
      <c r="N120" s="20">
        <f>(M120-L120)/2*27.211324570273</f>
        <v>-16.045896746179686</v>
      </c>
      <c r="O120" s="20">
        <f>(E120-G120-D120+F120)/2*27.211324570273</f>
        <v>0.29357340104014767</v>
      </c>
      <c r="P120" s="20">
        <f>(K120-J120-I120+H120)/2*27.211324570273</f>
        <v>-0.174063783298712</v>
      </c>
      <c r="Q120" s="21">
        <f>(E120+K120-J120-D120-I120+H120-2*C120)*27.211324570273</f>
        <v>-9.0213852005726753</v>
      </c>
      <c r="R120" s="21">
        <f>(M120+E120-G120+K120-J120-L120-D120+F120-I120+H120-2*C120)*27.211324570273</f>
        <v>-8.9581742568795928</v>
      </c>
      <c r="S120" s="20">
        <v>4.4400000000000004</v>
      </c>
      <c r="T120" s="21">
        <f>-Q120/2-S120</f>
        <v>7.0692600286337282E-2</v>
      </c>
      <c r="U120" s="21">
        <f>-R120/2-S120</f>
        <v>3.9087128439796004E-2</v>
      </c>
      <c r="V120" s="24">
        <v>-0.04</v>
      </c>
      <c r="W120" s="20">
        <f t="shared" si="4"/>
        <v>0.11069260028633729</v>
      </c>
      <c r="X120" s="20">
        <f t="shared" si="5"/>
        <v>7.9087128439796012E-2</v>
      </c>
    </row>
    <row r="121" spans="1:24" x14ac:dyDescent="0.2">
      <c r="A121" s="19" t="s">
        <v>72</v>
      </c>
      <c r="B121" s="19" t="s">
        <v>29</v>
      </c>
      <c r="C121" s="20">
        <f t="shared" si="3"/>
        <v>-0.42068146923305594</v>
      </c>
      <c r="D121" s="20">
        <v>-953.30848000000003</v>
      </c>
      <c r="E121" s="20">
        <v>-954.47172999999998</v>
      </c>
      <c r="F121" s="20">
        <v>-953.49093267590001</v>
      </c>
      <c r="G121" s="20">
        <v>-954.67604566770001</v>
      </c>
      <c r="H121" s="20">
        <v>-953.39362172419999</v>
      </c>
      <c r="I121" s="20">
        <v>-953.41063852950003</v>
      </c>
      <c r="J121" s="20">
        <v>-954.55608374329995</v>
      </c>
      <c r="K121" s="20">
        <v>-954.58589358339998</v>
      </c>
      <c r="L121" s="20">
        <v>-954.48449503050006</v>
      </c>
      <c r="M121" s="20">
        <v>-955.66659473549998</v>
      </c>
      <c r="N121" s="20">
        <f>(M121-L121)/2*27.211324570273</f>
        <v>-16.083249373588501</v>
      </c>
      <c r="O121" s="20">
        <f>(E121-G121-D121+F121)/2*27.211324570273</f>
        <v>0.29746048297417255</v>
      </c>
      <c r="P121" s="20">
        <f>(K121-J121-I121+H121)/2*27.211324570273</f>
        <v>-0.17405771109057586</v>
      </c>
      <c r="Q121" s="21">
        <f>(E121+K121-J121-D121-I121+H121-2*C121)*27.211324570273</f>
        <v>-9.1070887285529007</v>
      </c>
      <c r="R121" s="21">
        <f>(M121+E121-G121+K121-J121-L121-D121+F121-I121+H121-2*C121)*27.211324570273</f>
        <v>-9.025093203406712</v>
      </c>
      <c r="S121" s="20">
        <v>4.4400000000000004</v>
      </c>
      <c r="T121" s="21">
        <f>-Q121/2-S121</f>
        <v>0.11354436427644998</v>
      </c>
      <c r="U121" s="21">
        <f>-R121/2-S121</f>
        <v>7.2546601703355584E-2</v>
      </c>
      <c r="V121" s="24">
        <v>-0.04</v>
      </c>
      <c r="W121" s="20">
        <f t="shared" si="4"/>
        <v>0.15354436427644999</v>
      </c>
      <c r="X121" s="20">
        <f t="shared" si="5"/>
        <v>0.11254660170335559</v>
      </c>
    </row>
    <row r="122" spans="1:24" x14ac:dyDescent="0.2">
      <c r="A122" s="19" t="s">
        <v>72</v>
      </c>
      <c r="B122" s="19" t="s">
        <v>30</v>
      </c>
      <c r="C122" s="20">
        <f t="shared" si="3"/>
        <v>-0.42068146923305594</v>
      </c>
      <c r="D122" s="20">
        <v>-953.25617</v>
      </c>
      <c r="E122" s="20">
        <v>-954.41039999999998</v>
      </c>
      <c r="F122" s="20">
        <v>-953.43765124289996</v>
      </c>
      <c r="G122" s="20">
        <v>-954.61370727680003</v>
      </c>
      <c r="H122" s="20">
        <v>-953.39387841070004</v>
      </c>
      <c r="I122" s="20">
        <v>-953.41084631959995</v>
      </c>
      <c r="J122" s="20">
        <v>-954.55636372799995</v>
      </c>
      <c r="K122" s="20">
        <v>-954.58605455990005</v>
      </c>
      <c r="L122" s="20">
        <v>-954.45237533989996</v>
      </c>
      <c r="M122" s="20">
        <v>-955.6247695257</v>
      </c>
      <c r="N122" s="20">
        <f>(M122-L122)/2*27.211324570273</f>
        <v>-15.951199357052978</v>
      </c>
      <c r="O122" s="20">
        <f>(E122-G122-D122+F122)/2*27.211324570273</f>
        <v>0.2969576462684772</v>
      </c>
      <c r="P122" s="20">
        <f>(K122-J122-I122+H122)/2*27.211324570273</f>
        <v>-0.17310379362028655</v>
      </c>
      <c r="Q122" s="21">
        <f>(E122+K122-J122-D122-I122+H122-2*C122)*27.211324570273</f>
        <v>-8.8597347459863443</v>
      </c>
      <c r="R122" s="21">
        <f>(M122+E122-G122+K122-J122-L122-D122+F122-I122+H122-2*C122)*27.211324570273</f>
        <v>-8.7600910088126689</v>
      </c>
      <c r="S122" s="20">
        <v>4.4400000000000004</v>
      </c>
      <c r="T122" s="21">
        <f>-Q122/2-S122</f>
        <v>-1.0132627006828265E-2</v>
      </c>
      <c r="U122" s="21">
        <f>-R122/2-S122</f>
        <v>-5.9954495593665946E-2</v>
      </c>
      <c r="V122" s="24">
        <v>-0.04</v>
      </c>
      <c r="W122" s="20">
        <f t="shared" si="4"/>
        <v>2.9867372993171735E-2</v>
      </c>
      <c r="X122" s="20">
        <f t="shared" si="5"/>
        <v>1.9954495593665945E-2</v>
      </c>
    </row>
    <row r="123" spans="1:24" x14ac:dyDescent="0.2">
      <c r="A123" s="19" t="s">
        <v>72</v>
      </c>
      <c r="B123" s="19" t="s">
        <v>31</v>
      </c>
      <c r="C123" s="20">
        <f t="shared" si="3"/>
        <v>-0.42068146923305594</v>
      </c>
      <c r="D123" s="20">
        <v>-953.30848000000003</v>
      </c>
      <c r="E123" s="20">
        <v>-954.47172999999998</v>
      </c>
      <c r="F123" s="20">
        <v>-953.49093267590001</v>
      </c>
      <c r="G123" s="20">
        <v>-954.67604566770001</v>
      </c>
      <c r="H123" s="20">
        <v>-953.39362172419999</v>
      </c>
      <c r="I123" s="20">
        <v>-953.41063852950003</v>
      </c>
      <c r="J123" s="20">
        <v>-954.55608374329995</v>
      </c>
      <c r="K123" s="20">
        <v>-954.58589358339998</v>
      </c>
      <c r="L123" s="20">
        <v>-953.88006167200001</v>
      </c>
      <c r="M123" s="20">
        <v>-955.05435017349998</v>
      </c>
      <c r="N123" s="20">
        <f>(M123-L123)/2*27.211324570273</f>
        <v>-15.976972776727637</v>
      </c>
      <c r="O123" s="20">
        <f>(E123-G123-D123+F123)/2*27.211324570273</f>
        <v>0.29746048297417255</v>
      </c>
      <c r="P123" s="20">
        <f>(K123-J123-I123+H123)/2*27.211324570273</f>
        <v>-0.17405771109057586</v>
      </c>
      <c r="Q123" s="21">
        <f>(E123+K123-J123-D123-I123+H123-2*C123)*27.211324570273</f>
        <v>-9.1070887285529007</v>
      </c>
      <c r="R123" s="21">
        <f>(M123+E123-G123+K123-J123-L123-D123+F123-I123+H123-2*C123)*27.211324570273</f>
        <v>-8.8125400096880817</v>
      </c>
      <c r="S123" s="20">
        <v>4.4400000000000004</v>
      </c>
      <c r="T123" s="21">
        <f>-Q123/2-S123</f>
        <v>0.11354436427644998</v>
      </c>
      <c r="U123" s="21">
        <f>-R123/2-S123</f>
        <v>-3.3729995155959536E-2</v>
      </c>
      <c r="V123" s="24">
        <v>-0.04</v>
      </c>
      <c r="W123" s="20">
        <f t="shared" si="4"/>
        <v>0.15354436427644999</v>
      </c>
      <c r="X123" s="20">
        <f t="shared" si="5"/>
        <v>6.2700048440404652E-3</v>
      </c>
    </row>
    <row r="124" spans="1:24" x14ac:dyDescent="0.2">
      <c r="A124" s="19" t="s">
        <v>72</v>
      </c>
      <c r="B124" s="19" t="s">
        <v>32</v>
      </c>
      <c r="C124" s="20">
        <f t="shared" si="3"/>
        <v>-0.42068146923305594</v>
      </c>
      <c r="D124" s="20">
        <v>-953.25617</v>
      </c>
      <c r="E124" s="20">
        <v>-954.41039999999998</v>
      </c>
      <c r="F124" s="20">
        <v>-953.43765124289996</v>
      </c>
      <c r="G124" s="20">
        <v>-954.61370727680003</v>
      </c>
      <c r="H124" s="20">
        <v>-953.39387841070004</v>
      </c>
      <c r="I124" s="20">
        <v>-953.41084631959995</v>
      </c>
      <c r="J124" s="20">
        <v>-954.55636372799995</v>
      </c>
      <c r="K124" s="20">
        <v>-954.58605455990005</v>
      </c>
      <c r="L124" s="20">
        <v>-953.86976597099999</v>
      </c>
      <c r="M124" s="20">
        <v>-955.03397707680006</v>
      </c>
      <c r="N124" s="20">
        <f>(M124-L124)/2*27.211324570273</f>
        <v>-15.839863134120986</v>
      </c>
      <c r="O124" s="20">
        <f>(E124-G124-D124+F124)/2*27.211324570273</f>
        <v>0.2969576462684772</v>
      </c>
      <c r="P124" s="20">
        <f>(K124-J124-I124+H124)/2*27.211324570273</f>
        <v>-0.17310379362028655</v>
      </c>
      <c r="Q124" s="21">
        <f>(E124+K124-J124-D124-I124+H124-2*C124)*27.211324570273</f>
        <v>-8.8597347459863443</v>
      </c>
      <c r="R124" s="21">
        <f>(M124+E124-G124+K124-J124-L124-D124+F124-I124+H124-2*C124)*27.211324570273</f>
        <v>-8.5374185629424968</v>
      </c>
      <c r="S124" s="20">
        <v>4.4400000000000004</v>
      </c>
      <c r="T124" s="21">
        <f>-Q124/2-S124</f>
        <v>-1.0132627006828265E-2</v>
      </c>
      <c r="U124" s="21">
        <f>-R124/2-S124</f>
        <v>-0.171290718528752</v>
      </c>
      <c r="V124" s="24">
        <v>-0.04</v>
      </c>
      <c r="W124" s="20">
        <f t="shared" si="4"/>
        <v>2.9867372993171735E-2</v>
      </c>
      <c r="X124" s="20">
        <f t="shared" si="5"/>
        <v>0.13129071852875199</v>
      </c>
    </row>
    <row r="125" spans="1:24" x14ac:dyDescent="0.2">
      <c r="A125" s="19" t="s">
        <v>72</v>
      </c>
      <c r="B125" s="19" t="s">
        <v>33</v>
      </c>
      <c r="C125" s="20">
        <f t="shared" si="3"/>
        <v>-0.42068146923305594</v>
      </c>
      <c r="D125" s="20">
        <v>-953.69106999999997</v>
      </c>
      <c r="E125" s="20">
        <v>-954.83416</v>
      </c>
      <c r="F125" s="20">
        <v>-953.87026015230003</v>
      </c>
      <c r="G125" s="20">
        <v>-955.03460350260002</v>
      </c>
      <c r="H125" s="20">
        <v>-953.39354555279999</v>
      </c>
      <c r="I125" s="20">
        <v>-953.41052503569995</v>
      </c>
      <c r="J125" s="20">
        <v>-954.55654256759999</v>
      </c>
      <c r="K125" s="20">
        <v>-954.58584060340002</v>
      </c>
      <c r="L125" s="20">
        <v>-953.87058061499999</v>
      </c>
      <c r="M125" s="20">
        <v>-955.03485837339997</v>
      </c>
      <c r="N125" s="20">
        <f>(M125-L125)/2*27.211324570273</f>
        <v>-15.840769986885819</v>
      </c>
      <c r="O125" s="20">
        <f>(E125-G125-D125+F125)/2*27.211324570273</f>
        <v>0.28916590660892866</v>
      </c>
      <c r="P125" s="20">
        <f>(K125-J125-I125+H125)/2*27.211324570273</f>
        <v>-0.16760207059993221</v>
      </c>
      <c r="Q125" s="21">
        <f>(E125+K125-J125-D125-I125+H125-2*C125)*27.211324570273</f>
        <v>-8.5455971442340228</v>
      </c>
      <c r="R125" s="21">
        <f>(M125+E125-G125+K125-J125-L125-D125+F125-I125+H125-2*C125)*27.211324570273</f>
        <v>-8.5438123017567378</v>
      </c>
      <c r="S125" s="20">
        <v>4.4400000000000004</v>
      </c>
      <c r="T125" s="21">
        <f>-Q125/2-S125</f>
        <v>-0.16720142788298897</v>
      </c>
      <c r="U125" s="21">
        <f>-R125/2-S125</f>
        <v>-0.1680938491216315</v>
      </c>
      <c r="V125" s="24">
        <v>-0.04</v>
      </c>
      <c r="W125" s="20">
        <f t="shared" si="4"/>
        <v>0.12720142788298897</v>
      </c>
      <c r="X125" s="20">
        <f t="shared" si="5"/>
        <v>0.12809384912163149</v>
      </c>
    </row>
    <row r="126" spans="1:24" ht="15" customHeight="1" x14ac:dyDescent="0.2">
      <c r="A126" s="19" t="s">
        <v>72</v>
      </c>
      <c r="B126" s="19" t="s">
        <v>42</v>
      </c>
      <c r="C126" s="20">
        <f t="shared" si="3"/>
        <v>-0.42068146923305594</v>
      </c>
      <c r="D126" s="20">
        <v>-953.69152999999994</v>
      </c>
      <c r="E126" s="20">
        <v>-954.83466999999996</v>
      </c>
      <c r="F126" s="20">
        <v>-953.87095079660003</v>
      </c>
      <c r="G126" s="20">
        <v>-955.03519156790003</v>
      </c>
      <c r="H126" s="20">
        <v>-953.39354146180006</v>
      </c>
      <c r="I126" s="20">
        <v>-953.41050470790003</v>
      </c>
      <c r="J126" s="20">
        <v>-954.55639660999998</v>
      </c>
      <c r="K126" s="20">
        <v>-954.58574697209997</v>
      </c>
      <c r="L126" s="20">
        <v>-953.87058125420003</v>
      </c>
      <c r="M126" s="20">
        <v>-955.03487330350004</v>
      </c>
      <c r="N126" s="20">
        <f>(M126-L126)/2*27.211324570273</f>
        <v>-15.840964424045323</v>
      </c>
      <c r="O126" s="20">
        <f>(E126-G126-D126+F126)/2*27.211324570273</f>
        <v>0.28708996826348904</v>
      </c>
      <c r="P126" s="20">
        <f>(K126-J126-I126+H126)/2*27.211324570273</f>
        <v>-0.16853491698299486</v>
      </c>
      <c r="Q126" s="21">
        <f>(E126+K126-J126-D126-I126+H126-2*C126)*27.211324570273</f>
        <v>-8.5488234032283206</v>
      </c>
      <c r="R126" s="21">
        <f>(M126+E126-G126+K126-J126-L126-D126+F126-I126+H126-2*C126)*27.211324570273</f>
        <v>-8.5502187455296585</v>
      </c>
      <c r="S126" s="20">
        <v>4.4400000000000004</v>
      </c>
      <c r="T126" s="21">
        <f>-Q126/2-S126</f>
        <v>-0.1655882983858401</v>
      </c>
      <c r="U126" s="21">
        <f>-R126/2-S126</f>
        <v>-0.16489062723517112</v>
      </c>
      <c r="V126" s="24">
        <v>-0.04</v>
      </c>
      <c r="W126" s="20">
        <f t="shared" si="4"/>
        <v>0.1255882983858401</v>
      </c>
      <c r="X126" s="20">
        <f t="shared" si="5"/>
        <v>0.12489062723517111</v>
      </c>
    </row>
    <row r="127" spans="1:24" ht="15" customHeight="1" x14ac:dyDescent="0.2">
      <c r="A127" s="19" t="s">
        <v>72</v>
      </c>
      <c r="B127" s="19" t="s">
        <v>43</v>
      </c>
      <c r="C127" s="20">
        <f t="shared" si="3"/>
        <v>-0.42068146923305594</v>
      </c>
      <c r="D127" s="20">
        <v>-953.25617</v>
      </c>
      <c r="E127" s="20">
        <v>-954.41039999999998</v>
      </c>
      <c r="F127" s="20">
        <v>-953.43765124289996</v>
      </c>
      <c r="G127" s="20">
        <v>-954.61370727680003</v>
      </c>
      <c r="H127" s="20">
        <v>-953.39387841070004</v>
      </c>
      <c r="I127" s="20">
        <v>-953.41084631959995</v>
      </c>
      <c r="J127" s="20">
        <v>-954.55636372799995</v>
      </c>
      <c r="K127" s="20">
        <v>-954.58605455990005</v>
      </c>
      <c r="L127" s="20">
        <v>-952.58056630956798</v>
      </c>
      <c r="M127" s="20">
        <v>-953.76125279090297</v>
      </c>
      <c r="N127" s="20">
        <f>(M127-L127)/2*27.211324570273</f>
        <v>-16.064021529669962</v>
      </c>
      <c r="O127" s="20">
        <f>(E127-G127-D127+F127)/2*27.211324570273</f>
        <v>0.2969576462684772</v>
      </c>
      <c r="P127" s="20">
        <f>(K127-J127-I127+H127)/2*27.211324570273</f>
        <v>-0.17310379362028655</v>
      </c>
      <c r="Q127" s="21">
        <f>(E127+K127-J127-D127-I127+H127-2*C127)*27.211324570273</f>
        <v>-8.8597347459863443</v>
      </c>
      <c r="R127" s="21">
        <f>(M127+E127-G127+K127-J127-L127-D127+F127-I127+H127-2*C127)*27.211324570273</f>
        <v>-8.985735354046632</v>
      </c>
      <c r="S127" s="20">
        <v>4.4400000000000004</v>
      </c>
      <c r="T127" s="21">
        <f>-Q127/2-S127</f>
        <v>-1.0132627006828265E-2</v>
      </c>
      <c r="U127" s="21">
        <f>-R127/2-S127</f>
        <v>5.2867677023315629E-2</v>
      </c>
      <c r="V127" s="24">
        <v>-0.04</v>
      </c>
      <c r="W127" s="20">
        <f t="shared" si="4"/>
        <v>2.9867372993171735E-2</v>
      </c>
      <c r="X127" s="20">
        <f t="shared" si="5"/>
        <v>9.2867677023315637E-2</v>
      </c>
    </row>
    <row r="128" spans="1:24" x14ac:dyDescent="0.2">
      <c r="A128" s="19" t="s">
        <v>73</v>
      </c>
      <c r="B128" s="19" t="s">
        <v>27</v>
      </c>
      <c r="C128" s="20">
        <f t="shared" si="3"/>
        <v>-0.42068146923305594</v>
      </c>
      <c r="D128" s="20">
        <f>-988.9411</f>
        <v>-988.94110000000001</v>
      </c>
      <c r="E128" s="20">
        <v>-990.11051999999995</v>
      </c>
      <c r="F128" s="20">
        <v>-989.10020066319998</v>
      </c>
      <c r="G128" s="20">
        <v>-990.2922149794</v>
      </c>
      <c r="H128" s="20">
        <v>-989.2789815845</v>
      </c>
      <c r="I128" s="20">
        <v>-989.30520217089997</v>
      </c>
      <c r="J128" s="20">
        <v>-990.45305492969999</v>
      </c>
      <c r="K128" s="20">
        <v>-990.48260264210001</v>
      </c>
      <c r="L128" s="20">
        <v>-990.14575901859996</v>
      </c>
      <c r="M128" s="20">
        <v>-991.33340648529997</v>
      </c>
      <c r="N128" s="20">
        <f>(M128-L128)/2*27.211324570273</f>
        <v>-16.158730345718286</v>
      </c>
      <c r="O128" s="20">
        <f>(E128-G128-D128+F128)/2*27.211324570273</f>
        <v>0.30741063578174582</v>
      </c>
      <c r="P128" s="20">
        <f>(K128-J128-I128+H128)/2*27.211324570273</f>
        <v>-4.5267752736705233E-2</v>
      </c>
      <c r="Q128" s="21">
        <f>(E128+K128-J128-D128-I128+H128-2*C128)*27.211324570273</f>
        <v>-9.017402684437485</v>
      </c>
      <c r="R128" s="21">
        <f>(M128+E128-G128+K128-J128-L128-D128+F128-I128+H128-2*C128)*27.211324570273</f>
        <v>-8.898574925346491</v>
      </c>
      <c r="S128" s="20">
        <v>4.4400000000000004</v>
      </c>
      <c r="T128" s="21">
        <f>-Q128/2-S128</f>
        <v>6.8701342218742134E-2</v>
      </c>
      <c r="U128" s="21">
        <f>-R128/2-S128</f>
        <v>9.2874626732450949E-3</v>
      </c>
      <c r="V128" s="24">
        <v>-8.4000000000000005E-2</v>
      </c>
      <c r="W128" s="20">
        <f t="shared" si="4"/>
        <v>0.15270134221874215</v>
      </c>
      <c r="X128" s="20">
        <f t="shared" si="5"/>
        <v>9.32874626732451E-2</v>
      </c>
    </row>
    <row r="129" spans="1:24" x14ac:dyDescent="0.2">
      <c r="A129" s="19" t="s">
        <v>73</v>
      </c>
      <c r="B129" s="19" t="s">
        <v>145</v>
      </c>
      <c r="C129" s="20">
        <f t="shared" si="3"/>
        <v>-0.42068146923305594</v>
      </c>
      <c r="D129" s="20">
        <v>-988.48267999999996</v>
      </c>
      <c r="E129" s="20">
        <v>-989.65120999999999</v>
      </c>
      <c r="F129" s="20">
        <v>-988.64249078110004</v>
      </c>
      <c r="G129" s="20">
        <v>-989.83374512429998</v>
      </c>
      <c r="H129" s="20">
        <v>-989.27992622919999</v>
      </c>
      <c r="I129" s="20">
        <v>-989.30537661530002</v>
      </c>
      <c r="J129" s="20">
        <v>-990.45347676760002</v>
      </c>
      <c r="K129" s="20">
        <v>-990.48253695560004</v>
      </c>
      <c r="L129" s="20">
        <v>-989.70574582469999</v>
      </c>
      <c r="M129" s="20">
        <v>-990.8941044805</v>
      </c>
      <c r="N129" s="20">
        <f>(M129-L129)/2*27.211324570273</f>
        <v>-16.168406544433786</v>
      </c>
      <c r="O129" s="20">
        <f>(E129-G129-D129+F129)/2*27.211324570273</f>
        <v>0.3091797392295319</v>
      </c>
      <c r="P129" s="20">
        <f>(K129-J129-I129+H129)/2*27.211324570273</f>
        <v>-4.9113745567422609E-2</v>
      </c>
      <c r="Q129" s="21">
        <f>(E129+K129-J129-D129-I129+H129-2*C129)*27.211324570273</f>
        <v>-9.0008765912399316</v>
      </c>
      <c r="R129" s="21">
        <f>(M129+E129-G129+K129-J129-L129-D129+F129-I129+H129-2*C129)*27.211324570273</f>
        <v>-8.9220811015464481</v>
      </c>
      <c r="S129" s="20">
        <v>4.4400000000000004</v>
      </c>
      <c r="T129" s="21">
        <f>-Q129/2-S129</f>
        <v>6.0438295619965388E-2</v>
      </c>
      <c r="U129" s="21">
        <f>-R129/2-S129</f>
        <v>2.1040550773223643E-2</v>
      </c>
      <c r="V129" s="24">
        <v>-8.4000000000000005E-2</v>
      </c>
      <c r="W129" s="20">
        <f t="shared" si="4"/>
        <v>0.14443829561996541</v>
      </c>
      <c r="X129" s="20">
        <f t="shared" si="5"/>
        <v>0.10504055077322365</v>
      </c>
    </row>
    <row r="130" spans="1:24" x14ac:dyDescent="0.2">
      <c r="A130" s="19" t="s">
        <v>73</v>
      </c>
      <c r="B130" s="19" t="s">
        <v>29</v>
      </c>
      <c r="C130" s="20">
        <f t="shared" ref="C130:C193" si="6">-11.4473/27.211324570273</f>
        <v>-0.42068146923305594</v>
      </c>
      <c r="D130" s="20">
        <v>-989.18821000000003</v>
      </c>
      <c r="E130" s="20">
        <v>-990.36077999999998</v>
      </c>
      <c r="F130" s="20">
        <v>-989.34854021260003</v>
      </c>
      <c r="G130" s="20">
        <v>-990.54360120089996</v>
      </c>
      <c r="H130" s="20">
        <v>-989.27989467340001</v>
      </c>
      <c r="I130" s="20">
        <v>-989.30566640020004</v>
      </c>
      <c r="J130" s="20">
        <v>-990.45326216119997</v>
      </c>
      <c r="K130" s="20">
        <v>-990.48266583839995</v>
      </c>
      <c r="L130" s="20">
        <v>-990.38422280329996</v>
      </c>
      <c r="M130" s="20">
        <v>-991.57525085270004</v>
      </c>
      <c r="N130" s="20">
        <f>(M130-L130)/2*27.211324570273</f>
        <v>-16.204725412262285</v>
      </c>
      <c r="O130" s="20">
        <f>(E130-G130-D130+F130)/2*27.211324570273</f>
        <v>0.30600479126845964</v>
      </c>
      <c r="P130" s="20">
        <f>(K130-J130-I130+H130)/2*27.211324570273</f>
        <v>-4.9415090578077248E-2</v>
      </c>
      <c r="Q130" s="21">
        <f>(E130+K130-J130-D130-I130+H130-2*C130)*27.211324570273</f>
        <v>-9.1114130325198222</v>
      </c>
      <c r="R130" s="21">
        <f>(M130+E130-G130+K130-J130-L130-D130+F130-I130+H130-2*C130)*27.211324570273</f>
        <v>-9.0016714231438044</v>
      </c>
      <c r="S130" s="20">
        <v>4.4400000000000004</v>
      </c>
      <c r="T130" s="21">
        <f>-Q130/2-S130</f>
        <v>0.11570651625991069</v>
      </c>
      <c r="U130" s="21">
        <f>-R130/2-S130</f>
        <v>6.0835711571901818E-2</v>
      </c>
      <c r="V130" s="24">
        <v>-8.4000000000000005E-2</v>
      </c>
      <c r="W130" s="20">
        <f t="shared" si="4"/>
        <v>0.1997065162599107</v>
      </c>
      <c r="X130" s="20">
        <f t="shared" si="5"/>
        <v>0.14483571157190184</v>
      </c>
    </row>
    <row r="131" spans="1:24" x14ac:dyDescent="0.2">
      <c r="A131" s="19" t="s">
        <v>73</v>
      </c>
      <c r="B131" s="19" t="s">
        <v>30</v>
      </c>
      <c r="C131" s="20">
        <f t="shared" si="6"/>
        <v>-0.42068146923305594</v>
      </c>
      <c r="D131" s="20">
        <v>-989.15930000000003</v>
      </c>
      <c r="E131" s="20">
        <v>-990.32289000000003</v>
      </c>
      <c r="F131" s="20">
        <v>-989.31878946669997</v>
      </c>
      <c r="G131" s="20">
        <v>-990.50467280939995</v>
      </c>
      <c r="H131" s="20">
        <v>-989.28013617550005</v>
      </c>
      <c r="I131" s="20">
        <v>-989.30583782689996</v>
      </c>
      <c r="J131" s="20">
        <v>-990.45352085900004</v>
      </c>
      <c r="K131" s="20">
        <v>-990.48278818569997</v>
      </c>
      <c r="L131" s="20">
        <v>-990.37466562199995</v>
      </c>
      <c r="M131" s="20">
        <v>-991.55586444289997</v>
      </c>
      <c r="N131" s="20">
        <f>(M131-L131)/2*27.211324570273</f>
        <v>-16.07099224876713</v>
      </c>
      <c r="O131" s="20">
        <f>(E131-G131-D131+F131)/2*27.211324570273</f>
        <v>0.30331569198276304</v>
      </c>
      <c r="P131" s="20">
        <f>(K131-J131-I131+H131)/2*27.211324570273</f>
        <v>-4.8513373950578503E-2</v>
      </c>
      <c r="Q131" s="21">
        <f>(E131+K131-J131-D131-I131+H131-2*C131)*27.211324570273</f>
        <v>-8.8652519046220029</v>
      </c>
      <c r="R131" s="21">
        <f>(M131+E131-G131+K131-J131-L131-D131+F131-I131+H131-2*C131)*27.211324570273</f>
        <v>-8.7377798614760813</v>
      </c>
      <c r="S131" s="20">
        <v>4.4400000000000004</v>
      </c>
      <c r="T131" s="21">
        <f>-Q131/2-S131</f>
        <v>-7.3740476889989637E-3</v>
      </c>
      <c r="U131" s="21">
        <f>-R131/2-S131</f>
        <v>-7.111006926195973E-2</v>
      </c>
      <c r="V131" s="24">
        <v>-8.4000000000000005E-2</v>
      </c>
      <c r="W131" s="20">
        <f t="shared" ref="W131:W194" si="7">ABS(T131-V131)</f>
        <v>7.6625952311001042E-2</v>
      </c>
      <c r="X131" s="20">
        <f t="shared" ref="X131:X194" si="8">ABS(U131-V131)</f>
        <v>1.2889930738040276E-2</v>
      </c>
    </row>
    <row r="132" spans="1:24" x14ac:dyDescent="0.2">
      <c r="A132" s="19" t="s">
        <v>73</v>
      </c>
      <c r="B132" s="19" t="s">
        <v>31</v>
      </c>
      <c r="C132" s="20">
        <f t="shared" si="6"/>
        <v>-0.42068146923305594</v>
      </c>
      <c r="D132" s="20">
        <v>-989.18821000000003</v>
      </c>
      <c r="E132" s="20">
        <v>-990.36077999999998</v>
      </c>
      <c r="F132" s="20">
        <v>-989.34854021260003</v>
      </c>
      <c r="G132" s="20">
        <v>-990.54360120089996</v>
      </c>
      <c r="H132" s="20">
        <v>-989.27989467340001</v>
      </c>
      <c r="I132" s="20">
        <v>-989.30566640020004</v>
      </c>
      <c r="J132" s="20">
        <v>-990.45326216119997</v>
      </c>
      <c r="K132" s="20">
        <v>-990.48266583839995</v>
      </c>
      <c r="L132" s="20">
        <v>-989.78168847389998</v>
      </c>
      <c r="M132" s="20">
        <v>-990.96482781079999</v>
      </c>
      <c r="N132" s="20">
        <f>(M132-L132)/2*27.211324570273</f>
        <v>-16.097394254121909</v>
      </c>
      <c r="O132" s="20">
        <f>(E132-G132-D132+F132)/2*27.211324570273</f>
        <v>0.30600479126845964</v>
      </c>
      <c r="P132" s="20">
        <f>(K132-J132-I132+H132)/2*27.211324570273</f>
        <v>-4.9415090578077248E-2</v>
      </c>
      <c r="Q132" s="21">
        <f>(E132+K132-J132-D132-I132+H132-2*C132)*27.211324570273</f>
        <v>-9.1114130325198222</v>
      </c>
      <c r="R132" s="21">
        <f>(M132+E132-G132+K132-J132-L132-D132+F132-I132+H132-2*C132)*27.211324570273</f>
        <v>-8.7870091068630494</v>
      </c>
      <c r="S132" s="20">
        <v>4.4400000000000004</v>
      </c>
      <c r="T132" s="21">
        <f>-Q132/2-S132</f>
        <v>0.11570651625991069</v>
      </c>
      <c r="U132" s="21">
        <f>-R132/2-S132</f>
        <v>-4.6495446568475707E-2</v>
      </c>
      <c r="V132" s="24">
        <v>-8.4000000000000005E-2</v>
      </c>
      <c r="W132" s="20">
        <f t="shared" si="7"/>
        <v>0.1997065162599107</v>
      </c>
      <c r="X132" s="20">
        <f t="shared" si="8"/>
        <v>3.7504553431524298E-2</v>
      </c>
    </row>
    <row r="133" spans="1:24" x14ac:dyDescent="0.2">
      <c r="A133" s="19" t="s">
        <v>73</v>
      </c>
      <c r="B133" s="19" t="s">
        <v>32</v>
      </c>
      <c r="C133" s="20">
        <f t="shared" si="6"/>
        <v>-0.42068146923305594</v>
      </c>
      <c r="D133" s="20">
        <v>-989.15930000000003</v>
      </c>
      <c r="E133" s="20">
        <v>-990.32289000000003</v>
      </c>
      <c r="F133" s="20">
        <v>-989.31878946669997</v>
      </c>
      <c r="G133" s="20">
        <v>-990.50467280939995</v>
      </c>
      <c r="H133" s="20">
        <v>-989.28013617550005</v>
      </c>
      <c r="I133" s="20">
        <v>-989.30583782689996</v>
      </c>
      <c r="J133" s="20">
        <v>-990.45352085900004</v>
      </c>
      <c r="K133" s="20">
        <v>-990.48278818569997</v>
      </c>
      <c r="L133" s="20">
        <v>-989.79371141080003</v>
      </c>
      <c r="M133" s="20">
        <v>-990.9666250578</v>
      </c>
      <c r="N133" s="20">
        <f>(M133-L133)/2*27.211324570273</f>
        <v>-15.958266970709438</v>
      </c>
      <c r="O133" s="20">
        <f>(E133-G133-D133+F133)/2*27.211324570273</f>
        <v>0.30331569198276304</v>
      </c>
      <c r="P133" s="20">
        <f>(K133-J133-I133+H133)/2*27.211324570273</f>
        <v>-4.8513373950578503E-2</v>
      </c>
      <c r="Q133" s="21">
        <f>(E133+K133-J133-D133-I133+H133-2*C133)*27.211324570273</f>
        <v>-8.8652519046220029</v>
      </c>
      <c r="R133" s="21">
        <f>(M133+E133-G133+K133-J133-L133-D133+F133-I133+H133-2*C133)*27.211324570273</f>
        <v>-8.5123293053606961</v>
      </c>
      <c r="S133" s="20">
        <v>4.4400000000000004</v>
      </c>
      <c r="T133" s="21">
        <f>-Q133/2-S133</f>
        <v>-7.3740476889989637E-3</v>
      </c>
      <c r="U133" s="21">
        <f>-R133/2-S133</f>
        <v>-0.18383534731965234</v>
      </c>
      <c r="V133" s="24">
        <v>-8.4000000000000005E-2</v>
      </c>
      <c r="W133" s="20">
        <f t="shared" si="7"/>
        <v>7.6625952311001042E-2</v>
      </c>
      <c r="X133" s="20">
        <f t="shared" si="8"/>
        <v>9.9835347319652337E-2</v>
      </c>
    </row>
    <row r="134" spans="1:24" x14ac:dyDescent="0.2">
      <c r="A134" s="19" t="s">
        <v>73</v>
      </c>
      <c r="B134" s="19" t="s">
        <v>33</v>
      </c>
      <c r="C134" s="20">
        <f t="shared" si="6"/>
        <v>-0.42068146923305594</v>
      </c>
      <c r="D134" s="20">
        <v>-989.63674000000003</v>
      </c>
      <c r="E134" s="20">
        <v>-990.78875000000005</v>
      </c>
      <c r="F134" s="20">
        <v>-989.79437674830001</v>
      </c>
      <c r="G134" s="20">
        <v>-990.96641669669998</v>
      </c>
      <c r="H134" s="20">
        <v>-989.27987258049995</v>
      </c>
      <c r="I134" s="20">
        <v>-989.30559902530001</v>
      </c>
      <c r="J134" s="20">
        <v>-990.45317048660002</v>
      </c>
      <c r="K134" s="20">
        <v>-990.48230795890004</v>
      </c>
      <c r="L134" s="20">
        <v>-989.79447440599995</v>
      </c>
      <c r="M134" s="20">
        <v>-990.96743449869996</v>
      </c>
      <c r="N134" s="20">
        <f>(M134-L134)/2*27.211324570273</f>
        <v>-15.958898895218729</v>
      </c>
      <c r="O134" s="20">
        <f>(E134-G134-D134+F134)/2*27.211324570273</f>
        <v>0.27252071351845081</v>
      </c>
      <c r="P134" s="20">
        <f>(K134-J134-I134+H134)/2*27.211324570273</f>
        <v>-4.6409288209834559E-2</v>
      </c>
      <c r="Q134" s="21">
        <f>(E134+K134-J134-D134-I134+H134-2*C134)*27.211324570273</f>
        <v>-8.5459365946234627</v>
      </c>
      <c r="R134" s="21">
        <f>(M134+E134-G134+K134-J134-L134-D134+F134-I134+H134-2*C134)*27.211324570273</f>
        <v>-8.5709749398171304</v>
      </c>
      <c r="S134" s="20">
        <v>4.4400000000000004</v>
      </c>
      <c r="T134" s="21">
        <f>-Q134/2-S134</f>
        <v>-0.16703170268826906</v>
      </c>
      <c r="U134" s="21">
        <f>-R134/2-S134</f>
        <v>-0.15451253009143517</v>
      </c>
      <c r="V134" s="24">
        <v>-8.4000000000000005E-2</v>
      </c>
      <c r="W134" s="20">
        <f t="shared" si="7"/>
        <v>8.3031702688269052E-2</v>
      </c>
      <c r="X134" s="20">
        <f t="shared" si="8"/>
        <v>7.0512530091435169E-2</v>
      </c>
    </row>
    <row r="135" spans="1:24" ht="15" customHeight="1" x14ac:dyDescent="0.2">
      <c r="A135" s="19" t="s">
        <v>73</v>
      </c>
      <c r="B135" s="19" t="s">
        <v>42</v>
      </c>
      <c r="C135" s="20">
        <f t="shared" si="6"/>
        <v>-0.42068146923305594</v>
      </c>
      <c r="D135" s="20">
        <v>-989.63702999999998</v>
      </c>
      <c r="E135" s="20">
        <v>-990.78977999999995</v>
      </c>
      <c r="F135" s="20">
        <v>-989.79484396860005</v>
      </c>
      <c r="G135" s="20">
        <v>-990.96792625219996</v>
      </c>
      <c r="H135" s="20">
        <v>-989.27985002310004</v>
      </c>
      <c r="I135" s="20">
        <v>-989.30556084629995</v>
      </c>
      <c r="J135" s="20">
        <v>-990.45324521680004</v>
      </c>
      <c r="K135" s="20">
        <v>-990.48234953680003</v>
      </c>
      <c r="L135" s="20">
        <v>-989.79447534090002</v>
      </c>
      <c r="M135" s="20">
        <v>-990.96743956980004</v>
      </c>
      <c r="N135" s="20">
        <f>(M135-L135)/2*27.211324570273</f>
        <v>-15.958955170959136</v>
      </c>
      <c r="O135" s="20">
        <f>(E135-G135-D135+F135)/2*27.211324570273</f>
        <v>0.2766341841464241</v>
      </c>
      <c r="P135" s="20">
        <f>(K135-J135-I135+H135)/2*27.211324570273</f>
        <v>-4.6170771427473334E-2</v>
      </c>
      <c r="Q135" s="21">
        <f>(E135+K135-J135-D135-I135+H135-2*C135)*27.211324570273</f>
        <v>-8.5655959412393994</v>
      </c>
      <c r="R135" s="21">
        <f>(M135+E135-G135+K135-J135-L135-D135+F135-I135+H135-2*C135)*27.211324570273</f>
        <v>-8.5623835164772775</v>
      </c>
      <c r="S135" s="20">
        <v>4.4400000000000004</v>
      </c>
      <c r="T135" s="21">
        <f>-Q135/2-S135</f>
        <v>-0.1572020293803007</v>
      </c>
      <c r="U135" s="21">
        <f>-R135/2-S135</f>
        <v>-0.15880824176136166</v>
      </c>
      <c r="V135" s="24">
        <v>-8.4000000000000005E-2</v>
      </c>
      <c r="W135" s="20">
        <f t="shared" si="7"/>
        <v>7.3202029380300696E-2</v>
      </c>
      <c r="X135" s="20">
        <f t="shared" si="8"/>
        <v>7.4808241761361652E-2</v>
      </c>
    </row>
    <row r="136" spans="1:24" ht="15" customHeight="1" x14ac:dyDescent="0.2">
      <c r="A136" s="19" t="s">
        <v>73</v>
      </c>
      <c r="B136" s="19" t="s">
        <v>43</v>
      </c>
      <c r="C136" s="20">
        <f t="shared" si="6"/>
        <v>-0.42068146923305594</v>
      </c>
      <c r="D136" s="20">
        <v>-989.15930000000003</v>
      </c>
      <c r="E136" s="20">
        <v>-990.32289000000003</v>
      </c>
      <c r="F136" s="20">
        <v>-989.31878946669997</v>
      </c>
      <c r="G136" s="20">
        <v>-990.50467280939995</v>
      </c>
      <c r="H136" s="20">
        <v>-989.28013617550005</v>
      </c>
      <c r="I136" s="20">
        <v>-989.30583782689996</v>
      </c>
      <c r="J136" s="20">
        <v>-990.45352085900004</v>
      </c>
      <c r="K136" s="20">
        <v>-990.48278818569997</v>
      </c>
      <c r="L136" s="20">
        <v>-988.47442010051304</v>
      </c>
      <c r="M136" s="20">
        <v>-989.66480060831304</v>
      </c>
      <c r="N136" s="20">
        <f>(M136-L136)/2*27.211324570273</f>
        <v>-16.195915179936101</v>
      </c>
      <c r="O136" s="20">
        <f>(E136-G136-D136+F136)/2*27.211324570273</f>
        <v>0.30331569198276304</v>
      </c>
      <c r="P136" s="20">
        <f>(K136-J136-I136+H136)/2*27.211324570273</f>
        <v>-4.8513373950578503E-2</v>
      </c>
      <c r="Q136" s="21">
        <f>(E136+K136-J136-D136-I136+H136-2*C136)*27.211324570273</f>
        <v>-8.8652519046220029</v>
      </c>
      <c r="R136" s="21">
        <f>(M136+E136-G136+K136-J136-L136-D136+F136-I136+H136-2*C136)*27.211324570273</f>
        <v>-8.9876257238140216</v>
      </c>
      <c r="S136" s="20">
        <v>4.4400000000000004</v>
      </c>
      <c r="T136" s="21">
        <f>-Q136/2-S136</f>
        <v>-7.3740476889989637E-3</v>
      </c>
      <c r="U136" s="21">
        <f>-R136/2-S136</f>
        <v>5.3812861907010401E-2</v>
      </c>
      <c r="V136" s="24">
        <v>-8.4000000000000005E-2</v>
      </c>
      <c r="W136" s="20">
        <f t="shared" si="7"/>
        <v>7.6625952311001042E-2</v>
      </c>
      <c r="X136" s="20">
        <f t="shared" si="8"/>
        <v>0.13781286190701042</v>
      </c>
    </row>
    <row r="137" spans="1:24" x14ac:dyDescent="0.2">
      <c r="A137" s="19" t="s">
        <v>74</v>
      </c>
      <c r="B137" s="19" t="s">
        <v>27</v>
      </c>
      <c r="C137" s="20">
        <f t="shared" si="6"/>
        <v>-0.42068146923305594</v>
      </c>
      <c r="D137" s="20">
        <f>-988.92759</f>
        <v>-988.92759000000001</v>
      </c>
      <c r="E137" s="20">
        <v>-990.10699999999997</v>
      </c>
      <c r="F137" s="20">
        <v>-989.08641852369999</v>
      </c>
      <c r="G137" s="20">
        <v>-990.28975628950002</v>
      </c>
      <c r="H137" s="20">
        <v>-989.26469314049996</v>
      </c>
      <c r="I137" s="20">
        <v>-989.29822041919999</v>
      </c>
      <c r="J137" s="20">
        <v>-990.4503798408</v>
      </c>
      <c r="K137" s="20">
        <v>-990.48217725639995</v>
      </c>
      <c r="L137" s="20">
        <v>-990.13210463489997</v>
      </c>
      <c r="M137" s="20">
        <v>-991.33019111739998</v>
      </c>
      <c r="N137" s="20">
        <f>(M137-L137)/2*27.211324570273</f>
        <v>-16.300760069282138</v>
      </c>
      <c r="O137" s="20">
        <f>(E137-G137-D137+F137)/2*27.211324570273</f>
        <v>0.32555310071355587</v>
      </c>
      <c r="P137" s="20">
        <f>(K137-J137-I137+H137)/2*27.211324570273</f>
        <v>2.3535933139225106E-2</v>
      </c>
      <c r="Q137" s="21">
        <f>(E137+K137-J137-D137-I137+H137-2*C137)*27.211324570273</f>
        <v>-9.1516364451492791</v>
      </c>
      <c r="R137" s="21">
        <f>(M137+E137-G137+K137-J137-L137-D137+F137-I137+H137-2*C137)*27.211324570273</f>
        <v>-9.0087420708587107</v>
      </c>
      <c r="S137" s="20">
        <v>4.4400000000000004</v>
      </c>
      <c r="T137" s="21">
        <f>-Q137/2-S137</f>
        <v>0.13581822257463916</v>
      </c>
      <c r="U137" s="21">
        <f>-R137/2-S137</f>
        <v>6.4371035429354961E-2</v>
      </c>
      <c r="V137" s="24">
        <v>0.2</v>
      </c>
      <c r="W137" s="20">
        <f t="shared" si="7"/>
        <v>6.4181777425360853E-2</v>
      </c>
      <c r="X137" s="20">
        <f t="shared" si="8"/>
        <v>0.13562896457064505</v>
      </c>
    </row>
    <row r="138" spans="1:24" x14ac:dyDescent="0.2">
      <c r="A138" s="19" t="s">
        <v>74</v>
      </c>
      <c r="B138" s="19" t="s">
        <v>145</v>
      </c>
      <c r="C138" s="20">
        <f t="shared" si="6"/>
        <v>-0.42068146923305594</v>
      </c>
      <c r="D138" s="20">
        <v>-988.46907999999996</v>
      </c>
      <c r="E138" s="20">
        <v>-989.64656000000002</v>
      </c>
      <c r="F138" s="20">
        <v>-988.62824363360005</v>
      </c>
      <c r="G138" s="20">
        <v>-989.82980917420002</v>
      </c>
      <c r="H138" s="20">
        <v>-989.26562444540002</v>
      </c>
      <c r="I138" s="20">
        <v>-989.29820218880002</v>
      </c>
      <c r="J138" s="20">
        <v>-990.45085734179997</v>
      </c>
      <c r="K138" s="20">
        <v>-990.4820719155</v>
      </c>
      <c r="L138" s="20">
        <v>-989.69149164179998</v>
      </c>
      <c r="M138" s="20">
        <v>-990.88958598340002</v>
      </c>
      <c r="N138" s="20">
        <f>(M138-L138)/2*27.211324570273</f>
        <v>-16.30086699754311</v>
      </c>
      <c r="O138" s="20">
        <f>(E138-G138-D138+F138)/2*27.211324570273</f>
        <v>0.3276997313573568</v>
      </c>
      <c r="P138" s="20">
        <f>(K138-J138-I138+H138)/2*27.211324570273</f>
        <v>1.854682657513583E-2</v>
      </c>
      <c r="Q138" s="21">
        <f>(E138+K138-J138-D138-I138+H138-2*C138)*27.211324570273</f>
        <v>-9.1090968018594953</v>
      </c>
      <c r="R138" s="21">
        <f>(M138+E138-G138+K138-J138-L138-D138+F138-I138+H138-2*C138)*27.211324570273</f>
        <v>-9.0146408792181436</v>
      </c>
      <c r="S138" s="20">
        <v>4.4400000000000004</v>
      </c>
      <c r="T138" s="21">
        <f>-Q138/2-S138</f>
        <v>0.11454840092974727</v>
      </c>
      <c r="U138" s="21">
        <f>-R138/2-S138</f>
        <v>6.7320439609071414E-2</v>
      </c>
      <c r="V138" s="24">
        <v>0.2</v>
      </c>
      <c r="W138" s="20">
        <f t="shared" si="7"/>
        <v>8.5451599070252737E-2</v>
      </c>
      <c r="X138" s="20">
        <f t="shared" si="8"/>
        <v>0.1326795603909286</v>
      </c>
    </row>
    <row r="139" spans="1:24" x14ac:dyDescent="0.2">
      <c r="A139" s="19" t="s">
        <v>74</v>
      </c>
      <c r="B139" s="19" t="s">
        <v>29</v>
      </c>
      <c r="C139" s="20">
        <f t="shared" si="6"/>
        <v>-0.42068146923305594</v>
      </c>
      <c r="D139" s="20">
        <v>-989.17443000000003</v>
      </c>
      <c r="E139" s="20">
        <v>-990.35626999999999</v>
      </c>
      <c r="F139" s="20">
        <v>-989.33421693210005</v>
      </c>
      <c r="G139" s="20">
        <v>-990.53999211610005</v>
      </c>
      <c r="H139" s="20">
        <v>-989.26558354470001</v>
      </c>
      <c r="I139" s="20">
        <v>-989.29866634689995</v>
      </c>
      <c r="J139" s="20">
        <v>-990.45064885349996</v>
      </c>
      <c r="K139" s="20">
        <v>-990.4822468438</v>
      </c>
      <c r="L139" s="20">
        <v>-990.37008132599999</v>
      </c>
      <c r="M139" s="20">
        <v>-991.57089842209996</v>
      </c>
      <c r="N139" s="20">
        <f>(M139-L139)/2*27.211324570273</f>
        <v>-16.337911875754465</v>
      </c>
      <c r="O139" s="20">
        <f>(E139-G139-D139+F139)/2*27.211324570273</f>
        <v>0.32565403023712142</v>
      </c>
      <c r="P139" s="20">
        <f>(K139-J139-I139+H139)/2*27.211324570273</f>
        <v>2.0201849266988529E-2</v>
      </c>
      <c r="Q139" s="21">
        <f>(E139+K139-J139-D139-I139+H139-2*C139)*27.211324570273</f>
        <v>-9.2244281315934344</v>
      </c>
      <c r="R139" s="21">
        <f>(M139+E139-G139+K139-J139-L139-D139+F139-I139+H139-2*C139)*27.211324570273</f>
        <v>-9.0895119924976129</v>
      </c>
      <c r="S139" s="20">
        <v>4.4400000000000004</v>
      </c>
      <c r="T139" s="21">
        <f>-Q139/2-S139</f>
        <v>0.17221406579671683</v>
      </c>
      <c r="U139" s="21">
        <f>-R139/2-S139</f>
        <v>0.10475599624880605</v>
      </c>
      <c r="V139" s="24">
        <v>0.2</v>
      </c>
      <c r="W139" s="20">
        <f t="shared" si="7"/>
        <v>2.778593420328318E-2</v>
      </c>
      <c r="X139" s="20">
        <f t="shared" si="8"/>
        <v>9.5244003751193962E-2</v>
      </c>
    </row>
    <row r="140" spans="1:24" x14ac:dyDescent="0.2">
      <c r="A140" s="19" t="s">
        <v>74</v>
      </c>
      <c r="B140" s="19" t="s">
        <v>30</v>
      </c>
      <c r="C140" s="20">
        <f t="shared" si="6"/>
        <v>-0.42068146923305594</v>
      </c>
      <c r="D140" s="20">
        <v>-989.14547000000005</v>
      </c>
      <c r="E140" s="20">
        <v>-990.31827999999996</v>
      </c>
      <c r="F140" s="20">
        <v>-989.30436825419997</v>
      </c>
      <c r="G140" s="20">
        <v>-990.5010109822</v>
      </c>
      <c r="H140" s="20">
        <v>-989.26584549029997</v>
      </c>
      <c r="I140" s="20">
        <v>-989.2988401586</v>
      </c>
      <c r="J140" s="20">
        <v>-990.45087669400004</v>
      </c>
      <c r="K140" s="20">
        <v>-990.48237392980002</v>
      </c>
      <c r="L140" s="20">
        <v>-990.36046466050004</v>
      </c>
      <c r="M140" s="20">
        <v>-991.55148958589996</v>
      </c>
      <c r="N140" s="20">
        <f>(M140-L140)/2*27.211324570273</f>
        <v>-16.204682908171144</v>
      </c>
      <c r="O140" s="20">
        <f>(E140-G140-D140+F140)/2*27.211324570273</f>
        <v>0.32426004850309248</v>
      </c>
      <c r="P140" s="20">
        <f>(K140-J140-I140+H140)/2*27.211324570273</f>
        <v>2.0373560890595888E-2</v>
      </c>
      <c r="Q140" s="21">
        <f>(E140+K140-J140-D140-I140+H140-2*C140)*27.211324570273</f>
        <v>-8.9783664474752261</v>
      </c>
      <c r="R140" s="21">
        <f>(M140+E140-G140+K140-J140-L140-D140+F140-I140+H140-2*C140)*27.211324570273</f>
        <v>-8.8254985975580027</v>
      </c>
      <c r="S140" s="20">
        <v>4.4400000000000004</v>
      </c>
      <c r="T140" s="21">
        <f>-Q140/2-S140</f>
        <v>4.9183223737612636E-2</v>
      </c>
      <c r="U140" s="21">
        <f>-R140/2-S140</f>
        <v>-2.7250701220999041E-2</v>
      </c>
      <c r="V140" s="24">
        <v>0.2</v>
      </c>
      <c r="W140" s="20">
        <f t="shared" si="7"/>
        <v>0.15081677626238738</v>
      </c>
      <c r="X140" s="20">
        <f t="shared" si="8"/>
        <v>0.22725070122099905</v>
      </c>
    </row>
    <row r="141" spans="1:24" x14ac:dyDescent="0.2">
      <c r="A141" s="19" t="s">
        <v>74</v>
      </c>
      <c r="B141" s="19" t="s">
        <v>31</v>
      </c>
      <c r="C141" s="20">
        <f t="shared" si="6"/>
        <v>-0.42068146923305594</v>
      </c>
      <c r="D141" s="20">
        <v>-989.17443000000003</v>
      </c>
      <c r="E141" s="20">
        <v>-990.35626999999999</v>
      </c>
      <c r="F141" s="20">
        <v>-989.33421693210005</v>
      </c>
      <c r="G141" s="20">
        <v>-990.53999211610005</v>
      </c>
      <c r="H141" s="20">
        <v>-989.26558354470001</v>
      </c>
      <c r="I141" s="20">
        <v>-989.29866634689995</v>
      </c>
      <c r="J141" s="20">
        <v>-990.45064885349996</v>
      </c>
      <c r="K141" s="20">
        <v>-990.4822468438</v>
      </c>
      <c r="L141" s="20">
        <v>-989.76775074090006</v>
      </c>
      <c r="M141" s="20">
        <v>-990.96057187559995</v>
      </c>
      <c r="N141" s="20">
        <f>(M141-L141)/2*27.211324570273</f>
        <v>-16.229121525300123</v>
      </c>
      <c r="O141" s="20">
        <f>(E141-G141-D141+F141)/2*27.211324570273</f>
        <v>0.32565403023712142</v>
      </c>
      <c r="P141" s="20">
        <f>(K141-J141-I141+H141)/2*27.211324570273</f>
        <v>2.0201849266988529E-2</v>
      </c>
      <c r="Q141" s="21">
        <f>(E141+K141-J141-D141-I141+H141-2*C141)*27.211324570273</f>
        <v>-9.2244281315934344</v>
      </c>
      <c r="R141" s="21">
        <f>(M141+E141-G141+K141-J141-L141-D141+F141-I141+H141-2*C141)*27.211324570273</f>
        <v>-8.8719312915920288</v>
      </c>
      <c r="S141" s="20">
        <v>4.4400000000000004</v>
      </c>
      <c r="T141" s="21">
        <f>-Q141/2-S141</f>
        <v>0.17221406579671683</v>
      </c>
      <c r="U141" s="21">
        <f>-R141/2-S141</f>
        <v>-4.0343542039860125E-3</v>
      </c>
      <c r="V141" s="24">
        <v>0.2</v>
      </c>
      <c r="W141" s="20">
        <f t="shared" si="7"/>
        <v>2.778593420328318E-2</v>
      </c>
      <c r="X141" s="20">
        <f t="shared" si="8"/>
        <v>0.20403435420398602</v>
      </c>
    </row>
    <row r="142" spans="1:24" x14ac:dyDescent="0.2">
      <c r="A142" s="19" t="s">
        <v>74</v>
      </c>
      <c r="B142" s="19" t="s">
        <v>32</v>
      </c>
      <c r="C142" s="20">
        <f t="shared" si="6"/>
        <v>-0.42068146923305594</v>
      </c>
      <c r="D142" s="20">
        <v>-989.14547000000005</v>
      </c>
      <c r="E142" s="20">
        <v>-990.31827999999996</v>
      </c>
      <c r="F142" s="20">
        <v>-989.30436825419997</v>
      </c>
      <c r="G142" s="20">
        <v>-990.5010109822</v>
      </c>
      <c r="H142" s="20">
        <v>-989.26584549029997</v>
      </c>
      <c r="I142" s="20">
        <v>-989.2988401586</v>
      </c>
      <c r="J142" s="20">
        <v>-990.45087669400004</v>
      </c>
      <c r="K142" s="20">
        <v>-990.48237392980002</v>
      </c>
      <c r="L142" s="20">
        <v>-989.77973066519996</v>
      </c>
      <c r="M142" s="20">
        <v>-990.96230070429999</v>
      </c>
      <c r="N142" s="20">
        <f>(M142-L142)/2*27.211324570273</f>
        <v>-16.08964858051565</v>
      </c>
      <c r="O142" s="20">
        <f>(E142-G142-D142+F142)/2*27.211324570273</f>
        <v>0.32426004850309248</v>
      </c>
      <c r="P142" s="20">
        <f>(K142-J142-I142+H142)/2*27.211324570273</f>
        <v>2.0373560890595888E-2</v>
      </c>
      <c r="Q142" s="21">
        <f>(E142+K142-J142-D142-I142+H142-2*C142)*27.211324570273</f>
        <v>-8.9783664474752261</v>
      </c>
      <c r="R142" s="21">
        <f>(M142+E142-G142+K142-J142-L142-D142+F142-I142+H142-2*C142)*27.211324570273</f>
        <v>-8.5954299422470175</v>
      </c>
      <c r="S142" s="20">
        <v>4.4400000000000004</v>
      </c>
      <c r="T142" s="21">
        <f>-Q142/2-S142</f>
        <v>4.9183223737612636E-2</v>
      </c>
      <c r="U142" s="21">
        <f>-R142/2-S142</f>
        <v>-0.14228502887649164</v>
      </c>
      <c r="V142" s="24">
        <v>0.2</v>
      </c>
      <c r="W142" s="20">
        <f t="shared" si="7"/>
        <v>0.15081677626238738</v>
      </c>
      <c r="X142" s="20">
        <f t="shared" si="8"/>
        <v>0.34228502887649165</v>
      </c>
    </row>
    <row r="143" spans="1:24" x14ac:dyDescent="0.2">
      <c r="A143" s="19" t="s">
        <v>74</v>
      </c>
      <c r="B143" s="19" t="s">
        <v>33</v>
      </c>
      <c r="C143" s="20">
        <f t="shared" si="6"/>
        <v>-0.42068146923305594</v>
      </c>
      <c r="D143" s="20">
        <v>-989.62347999999997</v>
      </c>
      <c r="E143" s="20">
        <v>-990.78368999999998</v>
      </c>
      <c r="F143" s="20">
        <v>-989.78043368939996</v>
      </c>
      <c r="G143" s="20">
        <v>-990.96222189380001</v>
      </c>
      <c r="H143" s="20">
        <v>-989.26562687349997</v>
      </c>
      <c r="I143" s="20">
        <v>-989.29866158139998</v>
      </c>
      <c r="J143" s="20">
        <v>-990.45050922680002</v>
      </c>
      <c r="K143" s="20">
        <v>-990.4818953624</v>
      </c>
      <c r="L143" s="20">
        <v>-989.78048291920004</v>
      </c>
      <c r="M143" s="20">
        <v>-990.96310395700004</v>
      </c>
      <c r="N143" s="20">
        <f>(M143-L143)/2*27.211324570273</f>
        <v>-16.090342451604503</v>
      </c>
      <c r="O143" s="20">
        <f>(E143-G143-D143+F143)/2*27.211324570273</f>
        <v>0.29358576178663742</v>
      </c>
      <c r="P143" s="20">
        <f>(K143-J143-I143+H143)/2*27.211324570273</f>
        <v>2.2429917966994704E-2</v>
      </c>
      <c r="Q143" s="21">
        <f>(E143+K143-J143-D143-I143+H143-2*C143)*27.211324570273</f>
        <v>-8.6313910437457153</v>
      </c>
      <c r="R143" s="21">
        <f>(M143+E143-G143+K143-J143-L143-D143+F143-I143+H143-2*C143)*27.211324570273</f>
        <v>-8.6540535437079296</v>
      </c>
      <c r="S143" s="20">
        <v>4.4400000000000004</v>
      </c>
      <c r="T143" s="21">
        <f>-Q143/2-S143</f>
        <v>-0.12430447812714274</v>
      </c>
      <c r="U143" s="21">
        <f>-R143/2-S143</f>
        <v>-0.11297322814603561</v>
      </c>
      <c r="V143" s="24">
        <v>0.2</v>
      </c>
      <c r="W143" s="20">
        <f t="shared" si="7"/>
        <v>0.32430447812714275</v>
      </c>
      <c r="X143" s="20">
        <f t="shared" si="8"/>
        <v>0.31297322814603562</v>
      </c>
    </row>
    <row r="144" spans="1:24" ht="15" customHeight="1" x14ac:dyDescent="0.2">
      <c r="A144" s="19" t="s">
        <v>74</v>
      </c>
      <c r="B144" s="19" t="s">
        <v>42</v>
      </c>
      <c r="C144" s="20">
        <f t="shared" si="6"/>
        <v>-0.42068146923305594</v>
      </c>
      <c r="D144" s="20">
        <v>-989.62352999999996</v>
      </c>
      <c r="E144" s="20">
        <v>-990.78432999999995</v>
      </c>
      <c r="F144" s="20">
        <v>-989.78063910469996</v>
      </c>
      <c r="G144" s="20">
        <v>-990.96348765150003</v>
      </c>
      <c r="H144" s="20">
        <v>-989.2655851623</v>
      </c>
      <c r="I144" s="20">
        <v>-989.29862627190005</v>
      </c>
      <c r="J144" s="20">
        <v>-990.4505581331</v>
      </c>
      <c r="K144" s="20">
        <v>-990.48201069560002</v>
      </c>
      <c r="L144" s="20">
        <v>-989.78048510639996</v>
      </c>
      <c r="M144" s="20">
        <v>-990.9631044834</v>
      </c>
      <c r="N144" s="20">
        <f>(M144-L144)/2*27.211324570273</f>
        <v>-16.090319855321031</v>
      </c>
      <c r="O144" s="20">
        <f>(E144-G144-D144+F144)/2*27.211324570273</f>
        <v>0.29998508163989973</v>
      </c>
      <c r="P144" s="20">
        <f>(K144-J144-I144+H144)/2*27.211324570273</f>
        <v>2.1613235367006114E-2</v>
      </c>
      <c r="Q144" s="21">
        <f>(E144+K144-J144-D144-I144+H144-2*C144)*27.211324570273</f>
        <v>-8.6490790904356487</v>
      </c>
      <c r="R144" s="21">
        <f>(M144+E144-G144+K144-J144-L144-D144+F144-I144+H144-2*C144)*27.211324570273</f>
        <v>-8.6428430766282496</v>
      </c>
      <c r="S144" s="20">
        <v>4.4400000000000004</v>
      </c>
      <c r="T144" s="21">
        <f>-Q144/2-S144</f>
        <v>-0.11546045478217604</v>
      </c>
      <c r="U144" s="21">
        <f>-R144/2-S144</f>
        <v>-0.1185784616858756</v>
      </c>
      <c r="V144" s="24">
        <v>0.2</v>
      </c>
      <c r="W144" s="20">
        <f t="shared" si="7"/>
        <v>0.31546045478217605</v>
      </c>
      <c r="X144" s="20">
        <f t="shared" si="8"/>
        <v>0.31857846168587561</v>
      </c>
    </row>
    <row r="145" spans="1:24" ht="15" customHeight="1" x14ac:dyDescent="0.2">
      <c r="A145" s="19" t="s">
        <v>74</v>
      </c>
      <c r="B145" s="19" t="s">
        <v>43</v>
      </c>
      <c r="C145" s="20">
        <f t="shared" si="6"/>
        <v>-0.42068146923305594</v>
      </c>
      <c r="D145" s="20">
        <v>-989.14547000000005</v>
      </c>
      <c r="E145" s="20">
        <v>-990.31827999999996</v>
      </c>
      <c r="F145" s="20">
        <v>-989.30436825419997</v>
      </c>
      <c r="G145" s="20">
        <v>-990.5010109822</v>
      </c>
      <c r="H145" s="20">
        <v>-989.26584549029997</v>
      </c>
      <c r="I145" s="20">
        <v>-989.2988401586</v>
      </c>
      <c r="J145" s="20">
        <v>-990.45087669400004</v>
      </c>
      <c r="K145" s="20">
        <v>-990.48237392980002</v>
      </c>
      <c r="L145" s="20">
        <v>-988.46040030169797</v>
      </c>
      <c r="M145" s="20">
        <v>-989.66075518952596</v>
      </c>
      <c r="N145" s="20">
        <f>(M145-L145)/2*27.211324570273</f>
        <v>-16.331623226100461</v>
      </c>
      <c r="O145" s="20">
        <f>(E145-G145-D145+F145)/2*27.211324570273</f>
        <v>0.32426004850309248</v>
      </c>
      <c r="P145" s="20">
        <f>(K145-J145-I145+H145)/2*27.211324570273</f>
        <v>2.0373560890595888E-2</v>
      </c>
      <c r="Q145" s="21">
        <f>(E145+K145-J145-D145-I145+H145-2*C145)*27.211324570273</f>
        <v>-8.9783664474752261</v>
      </c>
      <c r="R145" s="21">
        <f>(M145+E145-G145+K145-J145-L145-D145+F145-I145+H145-2*C145)*27.211324570273</f>
        <v>-9.0793792334104513</v>
      </c>
      <c r="S145" s="20">
        <v>4.4400000000000004</v>
      </c>
      <c r="T145" s="21">
        <f>-Q145/2-S145</f>
        <v>4.9183223737612636E-2</v>
      </c>
      <c r="U145" s="21">
        <f>-R145/2-S145</f>
        <v>9.9689616705225248E-2</v>
      </c>
      <c r="V145" s="24">
        <v>0.2</v>
      </c>
      <c r="W145" s="20">
        <f t="shared" si="7"/>
        <v>0.15081677626238738</v>
      </c>
      <c r="X145" s="20">
        <f t="shared" si="8"/>
        <v>0.10031038329477476</v>
      </c>
    </row>
    <row r="146" spans="1:24" x14ac:dyDescent="0.2">
      <c r="A146" s="19" t="s">
        <v>75</v>
      </c>
      <c r="B146" s="19" t="s">
        <v>27</v>
      </c>
      <c r="C146" s="20">
        <f t="shared" si="6"/>
        <v>-0.42068146923305594</v>
      </c>
      <c r="D146" s="20">
        <f>-1157.74256</f>
        <v>-1157.7425599999999</v>
      </c>
      <c r="E146" s="20">
        <v>-1158.9474</v>
      </c>
      <c r="F146" s="20">
        <v>-1157.8383303014</v>
      </c>
      <c r="G146" s="20">
        <v>-1159.0673894362999</v>
      </c>
      <c r="H146" s="20">
        <v>-1158.0509886696</v>
      </c>
      <c r="I146" s="20">
        <v>-1158.1471220215999</v>
      </c>
      <c r="J146" s="20">
        <v>-1159.2609352777999</v>
      </c>
      <c r="K146" s="20">
        <v>-1159.3749558453001</v>
      </c>
      <c r="L146" s="20">
        <v>-1158.8425645599</v>
      </c>
      <c r="M146" s="20">
        <v>-1160.0686739673999</v>
      </c>
      <c r="N146" s="20">
        <f>(M146-L146)/2*27.211324570273</f>
        <v>-16.682030523073291</v>
      </c>
      <c r="O146" s="20">
        <f>(E146-G146-D146+F146)/2*27.211324570273</f>
        <v>0.32951737028477235</v>
      </c>
      <c r="P146" s="20">
        <f>(K146-J146-I146+H146)/2*27.211324570273</f>
        <v>-0.24336741331711828</v>
      </c>
      <c r="Q146" s="21">
        <f>(E146+K146-J146-D146-I146+H146-2*C146)*27.211324570273</f>
        <v>-10.377427121884782</v>
      </c>
      <c r="R146" s="21">
        <f>(M146+E146-G146+K146-J146-L146-D146+F146-I146+H146-2*C146)*27.211324570273</f>
        <v>-10.297161132217461</v>
      </c>
      <c r="S146" s="20">
        <v>4.4400000000000004</v>
      </c>
      <c r="T146" s="21">
        <f>-Q146/2-S146</f>
        <v>0.74871356094239072</v>
      </c>
      <c r="U146" s="21">
        <f>-R146/2-S146</f>
        <v>0.7085805661087301</v>
      </c>
      <c r="V146" s="24">
        <v>0.55000000000000004</v>
      </c>
      <c r="W146" s="20">
        <f t="shared" si="7"/>
        <v>0.19871356094239068</v>
      </c>
      <c r="X146" s="20">
        <f t="shared" si="8"/>
        <v>0.15858056610873006</v>
      </c>
    </row>
    <row r="147" spans="1:24" x14ac:dyDescent="0.2">
      <c r="A147" s="19" t="s">
        <v>75</v>
      </c>
      <c r="B147" s="19" t="s">
        <v>145</v>
      </c>
      <c r="C147" s="20">
        <f t="shared" si="6"/>
        <v>-0.42068146923305594</v>
      </c>
      <c r="D147" s="20">
        <v>-1157.3556799999999</v>
      </c>
      <c r="E147" s="20">
        <v>-1158.55873</v>
      </c>
      <c r="F147" s="20">
        <v>-1157.4536263898999</v>
      </c>
      <c r="G147" s="20">
        <v>-1158.6809918304</v>
      </c>
      <c r="H147" s="20">
        <v>-1158.0525174934</v>
      </c>
      <c r="I147" s="20">
        <v>-1158.1480466347</v>
      </c>
      <c r="J147" s="20">
        <v>-1159.262474652</v>
      </c>
      <c r="K147" s="20">
        <v>-1159.3759614403</v>
      </c>
      <c r="L147" s="20">
        <v>-1158.4671639385999</v>
      </c>
      <c r="M147" s="20">
        <v>-1159.6930888966999</v>
      </c>
      <c r="N147" s="20">
        <f>(M147-L147)/2*27.211324570273</f>
        <v>-16.679520966828644</v>
      </c>
      <c r="O147" s="20">
        <f>(E147-G147-D147+F147)/2*27.211324570273</f>
        <v>0.33082767175738659</v>
      </c>
      <c r="P147" s="20">
        <f>(K147-J147-I147+H147)/2*27.211324570273</f>
        <v>-0.24432568051773418</v>
      </c>
      <c r="Q147" s="21">
        <f>(E147+K147-J147-D147-I147+H147-2*C147)*27.211324570273</f>
        <v>-10.330635385304459</v>
      </c>
      <c r="R147" s="21">
        <f>(M147+E147-G147+K147-J147-L147-D147+F147-I147+H147-2*C147)*27.211324570273</f>
        <v>-10.291437951171797</v>
      </c>
      <c r="S147" s="20">
        <v>4.4400000000000004</v>
      </c>
      <c r="T147" s="21">
        <f>-Q147/2-S147</f>
        <v>0.72531769265222934</v>
      </c>
      <c r="U147" s="21">
        <f>-R147/2-S147</f>
        <v>0.70571897558589836</v>
      </c>
      <c r="V147" s="24">
        <v>0.55000000000000004</v>
      </c>
      <c r="W147" s="20">
        <f t="shared" si="7"/>
        <v>0.1753176926522293</v>
      </c>
      <c r="X147" s="20">
        <f t="shared" si="8"/>
        <v>0.15571897558589831</v>
      </c>
    </row>
    <row r="148" spans="1:24" x14ac:dyDescent="0.2">
      <c r="A148" s="19" t="s">
        <v>75</v>
      </c>
      <c r="B148" s="19" t="s">
        <v>29</v>
      </c>
      <c r="C148" s="20">
        <f t="shared" si="6"/>
        <v>-0.42068146923305594</v>
      </c>
      <c r="D148" s="20">
        <v>-1157.92236</v>
      </c>
      <c r="E148" s="20">
        <v>-1159.1313299999999</v>
      </c>
      <c r="F148" s="20">
        <v>-1158.0200028111001</v>
      </c>
      <c r="G148" s="20">
        <v>-1159.2532681207001</v>
      </c>
      <c r="H148" s="20">
        <v>-1158.0522041521999</v>
      </c>
      <c r="I148" s="20">
        <v>-1158.1480320465</v>
      </c>
      <c r="J148" s="20">
        <v>-1159.262035447</v>
      </c>
      <c r="K148" s="20">
        <v>-1159.3757841859999</v>
      </c>
      <c r="L148" s="20">
        <v>-1159.0160908319001</v>
      </c>
      <c r="M148" s="20">
        <v>-1160.2467304124</v>
      </c>
      <c r="N148" s="20">
        <f>(M148-L148)/2*27.211324570273</f>
        <v>-16.743666527003459</v>
      </c>
      <c r="O148" s="20">
        <f>(E148-G148-D148+F148)/2*27.211324570273</f>
        <v>0.33055377753206966</v>
      </c>
      <c r="P148" s="20">
        <f>(K148-J148-I148+H148)/2*27.211324570273</f>
        <v>-0.24382496084988195</v>
      </c>
      <c r="Q148" s="21">
        <f>(E148+K148-J148-D148-I148+H148-2*C148)*27.211324570273</f>
        <v>-10.49072498742022</v>
      </c>
      <c r="R148" s="21">
        <f>(M148+E148-G148+K148-J148-L148-D148+F148-I148+H148-2*C148)*27.211324570273</f>
        <v>-10.419275420642544</v>
      </c>
      <c r="S148" s="20">
        <v>4.4400000000000004</v>
      </c>
      <c r="T148" s="21">
        <f>-Q148/2-S148</f>
        <v>0.80536249371010982</v>
      </c>
      <c r="U148" s="21">
        <f>-R148/2-S148</f>
        <v>0.76963771032127148</v>
      </c>
      <c r="V148" s="24">
        <v>0.55000000000000004</v>
      </c>
      <c r="W148" s="20">
        <f t="shared" si="7"/>
        <v>0.25536249371010977</v>
      </c>
      <c r="X148" s="20">
        <f t="shared" si="8"/>
        <v>0.21963771032127144</v>
      </c>
    </row>
    <row r="149" spans="1:24" x14ac:dyDescent="0.2">
      <c r="A149" s="19" t="s">
        <v>75</v>
      </c>
      <c r="B149" s="19" t="s">
        <v>30</v>
      </c>
      <c r="C149" s="20">
        <f t="shared" si="6"/>
        <v>-0.42068146923305594</v>
      </c>
      <c r="D149" s="20">
        <v>-1157.9455</v>
      </c>
      <c r="E149" s="20">
        <v>-1159.1450600000001</v>
      </c>
      <c r="F149" s="20">
        <v>-1158.0424508792</v>
      </c>
      <c r="G149" s="20">
        <v>-1159.2661975778999</v>
      </c>
      <c r="H149" s="20">
        <v>-1158.0523476619001</v>
      </c>
      <c r="I149" s="20">
        <v>-1158.1480606699999</v>
      </c>
      <c r="J149" s="20">
        <v>-1159.2622442684999</v>
      </c>
      <c r="K149" s="20">
        <v>-1159.3757917454</v>
      </c>
      <c r="L149" s="20">
        <v>-1159.0536033287999</v>
      </c>
      <c r="M149" s="20">
        <v>-1160.2741249395001</v>
      </c>
      <c r="N149" s="20">
        <f>(M149-L149)/2*27.211324570273</f>
        <v>-16.606004846897612</v>
      </c>
      <c r="O149" s="20">
        <f>(E149-G149-D149+F149)/2*27.211324570273</f>
        <v>0.32907605430251241</v>
      </c>
      <c r="P149" s="20">
        <f>(K149-J149-I149+H149)/2*27.211324570273</f>
        <v>-0.24264975952997594</v>
      </c>
      <c r="Q149" s="21">
        <f>(E149+K149-J149-D149-I149+H149-2*C149)*27.211324570273</f>
        <v>-10.232316020583349</v>
      </c>
      <c r="R149" s="21">
        <f>(M149+E149-G149+K149-J149-L149-D149+F149-I149+H149-2*C149)*27.211324570273</f>
        <v>-10.144557104256339</v>
      </c>
      <c r="S149" s="20">
        <v>4.4400000000000004</v>
      </c>
      <c r="T149" s="21">
        <f>-Q149/2-S149</f>
        <v>0.67615801029167422</v>
      </c>
      <c r="U149" s="21">
        <f>-R149/2-S149</f>
        <v>0.6322785521281693</v>
      </c>
      <c r="V149" s="24">
        <v>0.55000000000000004</v>
      </c>
      <c r="W149" s="20">
        <f t="shared" si="7"/>
        <v>0.12615801029167417</v>
      </c>
      <c r="X149" s="20">
        <f t="shared" si="8"/>
        <v>8.2278552128169258E-2</v>
      </c>
    </row>
    <row r="150" spans="1:24" x14ac:dyDescent="0.2">
      <c r="A150" s="19" t="s">
        <v>75</v>
      </c>
      <c r="B150" s="19" t="s">
        <v>31</v>
      </c>
      <c r="C150" s="20">
        <f t="shared" si="6"/>
        <v>-0.42068146923305594</v>
      </c>
      <c r="D150" s="20">
        <v>-1157.92236</v>
      </c>
      <c r="E150" s="20">
        <v>-1159.1313299999999</v>
      </c>
      <c r="F150" s="20">
        <v>-1158.0200028111001</v>
      </c>
      <c r="G150" s="20">
        <v>-1159.2532681207001</v>
      </c>
      <c r="H150" s="20">
        <v>-1158.0522041521999</v>
      </c>
      <c r="I150" s="20">
        <v>-1158.1480320465</v>
      </c>
      <c r="J150" s="20">
        <v>-1159.262035447</v>
      </c>
      <c r="K150" s="20">
        <v>-1159.3757841859999</v>
      </c>
      <c r="L150" s="20">
        <v>-1158.4888239991001</v>
      </c>
      <c r="M150" s="20">
        <v>-1159.7118199135</v>
      </c>
      <c r="N150" s="20">
        <f>(M150-L150)/2*27.211324570273</f>
        <v>-16.639669387426974</v>
      </c>
      <c r="O150" s="20">
        <f>(E150-G150-D150+F150)/2*27.211324570273</f>
        <v>0.33055377753206966</v>
      </c>
      <c r="P150" s="20">
        <f>(K150-J150-I150+H150)/2*27.211324570273</f>
        <v>-0.24382496084988195</v>
      </c>
      <c r="Q150" s="21">
        <f>(E150+K150-J150-D150-I150+H150-2*C150)*27.211324570273</f>
        <v>-10.49072498742022</v>
      </c>
      <c r="R150" s="21">
        <f>(M150+E150-G150+K150-J150-L150-D150+F150-I150+H150-2*C150)*27.211324570273</f>
        <v>-10.211281141489573</v>
      </c>
      <c r="S150" s="20">
        <v>4.4400000000000004</v>
      </c>
      <c r="T150" s="21">
        <f>-Q150/2-S150</f>
        <v>0.80536249371010982</v>
      </c>
      <c r="U150" s="21">
        <f>-R150/2-S150</f>
        <v>0.66564057074478633</v>
      </c>
      <c r="V150" s="24">
        <v>0.55000000000000004</v>
      </c>
      <c r="W150" s="20">
        <f t="shared" si="7"/>
        <v>0.25536249371010977</v>
      </c>
      <c r="X150" s="20">
        <f t="shared" si="8"/>
        <v>0.11564057074478629</v>
      </c>
    </row>
    <row r="151" spans="1:24" x14ac:dyDescent="0.2">
      <c r="A151" s="19" t="s">
        <v>75</v>
      </c>
      <c r="B151" s="19" t="s">
        <v>32</v>
      </c>
      <c r="C151" s="20">
        <f t="shared" si="6"/>
        <v>-0.42068146923305594</v>
      </c>
      <c r="D151" s="20">
        <v>-1157.9455</v>
      </c>
      <c r="E151" s="20">
        <v>-1159.1450600000001</v>
      </c>
      <c r="F151" s="20">
        <v>-1158.0424508792</v>
      </c>
      <c r="G151" s="20">
        <v>-1159.2661975778999</v>
      </c>
      <c r="H151" s="20">
        <v>-1158.0523476619001</v>
      </c>
      <c r="I151" s="20">
        <v>-1158.1480606699999</v>
      </c>
      <c r="J151" s="20">
        <v>-1159.2622442684999</v>
      </c>
      <c r="K151" s="20">
        <v>-1159.3757917454</v>
      </c>
      <c r="L151" s="20">
        <v>-1158.5470441697</v>
      </c>
      <c r="M151" s="20">
        <v>-1159.7597463781001</v>
      </c>
      <c r="N151" s="20">
        <f>(M151-L151)/2*27.211324570273</f>
        <v>-16.499616699930442</v>
      </c>
      <c r="O151" s="20">
        <f>(E151-G151-D151+F151)/2*27.211324570273</f>
        <v>0.32907605430251241</v>
      </c>
      <c r="P151" s="20">
        <f>(K151-J151-I151+H151)/2*27.211324570273</f>
        <v>-0.24264975952997594</v>
      </c>
      <c r="Q151" s="21">
        <f>(E151+K151-J151-D151-I151+H151-2*C151)*27.211324570273</f>
        <v>-10.232316020583349</v>
      </c>
      <c r="R151" s="21">
        <f>(M151+E151-G151+K151-J151-L151-D151+F151-I151+H151-2*C151)*27.211324570273</f>
        <v>-9.931780810321996</v>
      </c>
      <c r="S151" s="20">
        <v>4.4400000000000004</v>
      </c>
      <c r="T151" s="21">
        <f>-Q151/2-S151</f>
        <v>0.67615801029167422</v>
      </c>
      <c r="U151" s="21">
        <f>-R151/2-S151</f>
        <v>0.52589040516099761</v>
      </c>
      <c r="V151" s="24">
        <v>0.55000000000000004</v>
      </c>
      <c r="W151" s="20">
        <f t="shared" si="7"/>
        <v>0.12615801029167417</v>
      </c>
      <c r="X151" s="20">
        <f t="shared" si="8"/>
        <v>2.4109594839002435E-2</v>
      </c>
    </row>
    <row r="152" spans="1:24" x14ac:dyDescent="0.2">
      <c r="A152" s="19" t="s">
        <v>75</v>
      </c>
      <c r="B152" s="19" t="s">
        <v>33</v>
      </c>
      <c r="C152" s="20">
        <f t="shared" si="6"/>
        <v>-0.42068146923305594</v>
      </c>
      <c r="D152" s="20">
        <v>-1158.45245</v>
      </c>
      <c r="E152" s="20">
        <v>-1159.6430600000001</v>
      </c>
      <c r="F152" s="20">
        <v>-1158.5491035431</v>
      </c>
      <c r="G152" s="20">
        <v>-1159.7632515483999</v>
      </c>
      <c r="H152" s="20">
        <v>-1158.0511453484</v>
      </c>
      <c r="I152" s="20">
        <v>-1158.1460236979001</v>
      </c>
      <c r="J152" s="20">
        <v>-1159.2612264948</v>
      </c>
      <c r="K152" s="20">
        <v>-1159.373494814</v>
      </c>
      <c r="L152" s="20">
        <v>-1158.5504398036001</v>
      </c>
      <c r="M152" s="20">
        <v>-1159.7632306800001</v>
      </c>
      <c r="N152" s="20">
        <f>(M152-L152)/2*27.211324570273</f>
        <v>-16.500823086793794</v>
      </c>
      <c r="O152" s="20">
        <f>(E152-G152-D152+F152)/2*27.211324570273</f>
        <v>0.32025015097442094</v>
      </c>
      <c r="P152" s="20">
        <f>(K152-J152-I152+H152)/2*27.211324570273</f>
        <v>-0.23660205488606162</v>
      </c>
      <c r="Q152" s="21">
        <f>(E152+K152-J152-D152-I152+H152-2*C152)*27.211324570273</f>
        <v>-9.9766792563939326</v>
      </c>
      <c r="R152" s="21">
        <f>(M152+E152-G152+K152-J152-L152-D152+F152-I152+H152-2*C152)*27.211324570273</f>
        <v>-9.9397499813984975</v>
      </c>
      <c r="S152" s="20">
        <v>4.4400000000000004</v>
      </c>
      <c r="T152" s="21">
        <f>-Q152/2-S152</f>
        <v>0.54833962819696591</v>
      </c>
      <c r="U152" s="21">
        <f>-R152/2-S152</f>
        <v>0.52987499069924837</v>
      </c>
      <c r="V152" s="24">
        <v>0.55000000000000004</v>
      </c>
      <c r="W152" s="20">
        <f t="shared" si="7"/>
        <v>1.660371803034133E-3</v>
      </c>
      <c r="X152" s="20">
        <f t="shared" si="8"/>
        <v>2.0125009300751673E-2</v>
      </c>
    </row>
    <row r="153" spans="1:24" ht="15" customHeight="1" x14ac:dyDescent="0.2">
      <c r="A153" s="19" t="s">
        <v>75</v>
      </c>
      <c r="B153" s="19" t="s">
        <v>42</v>
      </c>
      <c r="C153" s="20">
        <f t="shared" si="6"/>
        <v>-0.42068146923305594</v>
      </c>
      <c r="D153" s="20">
        <v>-1158.45462</v>
      </c>
      <c r="E153" s="20">
        <v>-1159.64357</v>
      </c>
      <c r="F153" s="20">
        <v>-1158.5514031268999</v>
      </c>
      <c r="G153" s="20">
        <v>-1159.7639825399001</v>
      </c>
      <c r="H153" s="20">
        <v>-1158.0511721809</v>
      </c>
      <c r="I153" s="20">
        <v>-1158.1461423477001</v>
      </c>
      <c r="J153" s="20">
        <v>-1159.2612130737</v>
      </c>
      <c r="K153" s="20">
        <v>-1159.3734641126</v>
      </c>
      <c r="L153" s="20">
        <v>-1158.5504418442999</v>
      </c>
      <c r="M153" s="20">
        <v>-1159.7632337140999</v>
      </c>
      <c r="N153" s="20">
        <f>(M153-L153)/2*27.211324570273</f>
        <v>-16.500836602657458</v>
      </c>
      <c r="O153" s="20">
        <f>(E153-G153-D153+F153)/2*27.211324570273</f>
        <v>0.32149381327684318</v>
      </c>
      <c r="P153" s="20">
        <f>(K153-J153-I153+H153)/2*27.211324570273</f>
        <v>-0.23511770978449681</v>
      </c>
      <c r="Q153" s="21">
        <f>(E153+K153-J153-D153-I153+H153-2*C153)*27.211324570273</f>
        <v>-9.9285397673944527</v>
      </c>
      <c r="R153" s="21">
        <f>(M153+E153-G153+K153-J153-L153-D153+F153-I153+H153-2*C153)*27.211324570273</f>
        <v>-9.9343209983302252</v>
      </c>
      <c r="S153" s="20">
        <v>4.4400000000000004</v>
      </c>
      <c r="T153" s="21">
        <f>-Q153/2-S153</f>
        <v>0.52426988369722594</v>
      </c>
      <c r="U153" s="21">
        <f>-R153/2-S153</f>
        <v>0.52716049916511221</v>
      </c>
      <c r="V153" s="24">
        <v>0.55000000000000004</v>
      </c>
      <c r="W153" s="20">
        <f t="shared" si="7"/>
        <v>2.5730116302774109E-2</v>
      </c>
      <c r="X153" s="20">
        <f t="shared" si="8"/>
        <v>2.2839500834887838E-2</v>
      </c>
    </row>
    <row r="154" spans="1:24" ht="15" customHeight="1" x14ac:dyDescent="0.2">
      <c r="A154" s="19" t="s">
        <v>75</v>
      </c>
      <c r="B154" s="19" t="s">
        <v>43</v>
      </c>
      <c r="C154" s="20">
        <f t="shared" si="6"/>
        <v>-0.42068146923305594</v>
      </c>
      <c r="D154" s="20">
        <v>-1157.9455</v>
      </c>
      <c r="E154" s="20">
        <v>-1159.1450600000001</v>
      </c>
      <c r="F154" s="20">
        <v>-1158.0424508792</v>
      </c>
      <c r="G154" s="20">
        <v>-1159.2661975778999</v>
      </c>
      <c r="H154" s="20">
        <v>-1158.0523476619001</v>
      </c>
      <c r="I154" s="20">
        <v>-1158.1480606699999</v>
      </c>
      <c r="J154" s="20">
        <v>-1159.2622442684999</v>
      </c>
      <c r="K154" s="20">
        <v>-1159.3757917454</v>
      </c>
      <c r="L154" s="20">
        <v>-1157.13091525038</v>
      </c>
      <c r="M154" s="20">
        <v>-1158.35652242215</v>
      </c>
      <c r="N154" s="20">
        <f>(M154-L154)/2*27.211324570273</f>
        <v>-16.675197273343624</v>
      </c>
      <c r="O154" s="20">
        <f>(E154-G154-D154+F154)/2*27.211324570273</f>
        <v>0.32907605430251241</v>
      </c>
      <c r="P154" s="20">
        <f>(K154-J154-I154+H154)/2*27.211324570273</f>
        <v>-0.24264975952997594</v>
      </c>
      <c r="Q154" s="21">
        <f>(E154+K154-J154-D154-I154+H154-2*C154)*27.211324570273</f>
        <v>-10.232316020583349</v>
      </c>
      <c r="R154" s="21">
        <f>(M154+E154-G154+K154-J154-L154-D154+F154-I154+H154-2*C154)*27.211324570273</f>
        <v>-10.282941957148363</v>
      </c>
      <c r="S154" s="20">
        <v>4.4400000000000004</v>
      </c>
      <c r="T154" s="21">
        <f>-Q154/2-S154</f>
        <v>0.67615801029167422</v>
      </c>
      <c r="U154" s="21">
        <f>-R154/2-S154</f>
        <v>0.70147097857418128</v>
      </c>
      <c r="V154" s="24">
        <v>0.55000000000000004</v>
      </c>
      <c r="W154" s="20">
        <f t="shared" si="7"/>
        <v>0.12615801029167417</v>
      </c>
      <c r="X154" s="20">
        <f t="shared" si="8"/>
        <v>0.15147097857418124</v>
      </c>
    </row>
    <row r="155" spans="1:24" x14ac:dyDescent="0.2">
      <c r="A155" s="19" t="s">
        <v>76</v>
      </c>
      <c r="B155" s="19" t="s">
        <v>27</v>
      </c>
      <c r="C155" s="20">
        <f t="shared" si="6"/>
        <v>-0.42068146923305594</v>
      </c>
      <c r="D155" s="20">
        <f>-805.01915</f>
        <v>-805.01914999999997</v>
      </c>
      <c r="E155" s="20">
        <v>-806.21141</v>
      </c>
      <c r="F155" s="20">
        <v>-805.2297073702</v>
      </c>
      <c r="G155" s="20">
        <v>-806.44486061910004</v>
      </c>
      <c r="H155" s="20">
        <v>-805.34374731299999</v>
      </c>
      <c r="I155" s="20">
        <v>-805.35311341780005</v>
      </c>
      <c r="J155" s="20">
        <v>-806.53871980550002</v>
      </c>
      <c r="K155" s="20">
        <v>-806.55529857049999</v>
      </c>
      <c r="L155" s="20">
        <v>-806.07603128139999</v>
      </c>
      <c r="M155" s="20">
        <v>-807.28720199780003</v>
      </c>
      <c r="N155" s="20">
        <f>(M155-L155)/2*27.211324570273</f>
        <v>-16.478779736985693</v>
      </c>
      <c r="O155" s="20">
        <f>(E155-G155-D155+F155)/2*27.211324570273</f>
        <v>0.31147781314303302</v>
      </c>
      <c r="P155" s="20">
        <f>(K155-J155-I155+H155)/2*27.211324570273</f>
        <v>-9.8133018857442675E-2</v>
      </c>
      <c r="Q155" s="21">
        <f>(E155+K155-J155-D155-I155+H155-2*C155)*27.211324570273</f>
        <v>-9.7446398698694683</v>
      </c>
      <c r="R155" s="21">
        <f>(M155+E155-G155+K155-J155-L155-D155+F155-I155+H155-2*C155)*27.211324570273</f>
        <v>-9.6362698854002051</v>
      </c>
      <c r="S155" s="20">
        <v>4.4400000000000004</v>
      </c>
      <c r="T155" s="21">
        <f>-Q155/2-S155</f>
        <v>0.43231993493473375</v>
      </c>
      <c r="U155" s="21">
        <f>-R155/2-S155</f>
        <v>0.37813494270010217</v>
      </c>
      <c r="V155" s="24">
        <v>0.33300000000000002</v>
      </c>
      <c r="W155" s="20">
        <f t="shared" si="7"/>
        <v>9.9319934934733733E-2</v>
      </c>
      <c r="X155" s="20">
        <f t="shared" si="8"/>
        <v>4.5134942700102154E-2</v>
      </c>
    </row>
    <row r="156" spans="1:24" x14ac:dyDescent="0.2">
      <c r="A156" s="19" t="s">
        <v>76</v>
      </c>
      <c r="B156" s="19" t="s">
        <v>145</v>
      </c>
      <c r="C156" s="20">
        <f t="shared" si="6"/>
        <v>-0.42068146923305594</v>
      </c>
      <c r="D156" s="20">
        <v>-804.59580000000005</v>
      </c>
      <c r="E156" s="20">
        <v>-805.78548000000001</v>
      </c>
      <c r="F156" s="20">
        <v>-804.8082399699</v>
      </c>
      <c r="G156" s="20">
        <v>-806.02153135879996</v>
      </c>
      <c r="H156" s="20">
        <v>-805.34410115059995</v>
      </c>
      <c r="I156" s="20">
        <v>-805.35328909949999</v>
      </c>
      <c r="J156" s="20">
        <v>-806.54074216159995</v>
      </c>
      <c r="K156" s="20">
        <v>-806.55697940230004</v>
      </c>
      <c r="L156" s="20">
        <v>-805.67157952770003</v>
      </c>
      <c r="M156" s="20">
        <v>-806.88278264079997</v>
      </c>
      <c r="N156" s="20">
        <f>(M156-L156)/2*27.211324570273</f>
        <v>-16.479220515543791</v>
      </c>
      <c r="O156" s="20">
        <f>(E156-G156-D156+F156)/2*27.211324570273</f>
        <v>0.32124858345652973</v>
      </c>
      <c r="P156" s="20">
        <f>(K156-J156-I156+H156)/2*27.211324570273</f>
        <v>-9.5910283580973837E-2</v>
      </c>
      <c r="Q156" s="21">
        <f>(E156+K156-J156-D156-I156+H156-2*C156)*27.211324570273</f>
        <v>-9.6699891819199575</v>
      </c>
      <c r="R156" s="21">
        <f>(M156+E156-G156+K156-J156-L156-D156+F156-I156+H156-2*C156)*27.211324570273</f>
        <v>-9.613164431339559</v>
      </c>
      <c r="S156" s="20">
        <v>4.4400000000000004</v>
      </c>
      <c r="T156" s="21">
        <f>-Q156/2-S156</f>
        <v>0.39499459095997835</v>
      </c>
      <c r="U156" s="21">
        <f>-R156/2-S156</f>
        <v>0.36658221566977911</v>
      </c>
      <c r="V156" s="24">
        <v>0.33300000000000002</v>
      </c>
      <c r="W156" s="20">
        <f t="shared" si="7"/>
        <v>6.1994590959978335E-2</v>
      </c>
      <c r="X156" s="20">
        <f t="shared" si="8"/>
        <v>3.3582215669779092E-2</v>
      </c>
    </row>
    <row r="157" spans="1:24" x14ac:dyDescent="0.2">
      <c r="A157" s="19" t="s">
        <v>76</v>
      </c>
      <c r="B157" s="19" t="s">
        <v>29</v>
      </c>
      <c r="C157" s="20">
        <f t="shared" si="6"/>
        <v>-0.42068146923305594</v>
      </c>
      <c r="D157" s="20">
        <v>-805.27557999999999</v>
      </c>
      <c r="E157" s="20">
        <v>-806.47126000000003</v>
      </c>
      <c r="F157" s="20">
        <v>-805.48868903519997</v>
      </c>
      <c r="G157" s="20">
        <v>-806.70839474679997</v>
      </c>
      <c r="H157" s="20">
        <v>-805.34395013699998</v>
      </c>
      <c r="I157" s="20">
        <v>-805.35314806760005</v>
      </c>
      <c r="J157" s="20">
        <v>-806.54058139059998</v>
      </c>
      <c r="K157" s="20">
        <v>-806.55690782340002</v>
      </c>
      <c r="L157" s="20">
        <v>-806.32249199729995</v>
      </c>
      <c r="M157" s="20">
        <v>-807.53902122570003</v>
      </c>
      <c r="N157" s="20">
        <f>(M157-L157)/2*27.211324570273</f>
        <v>-16.551685841609135</v>
      </c>
      <c r="O157" s="20">
        <f>(E157-G157-D157+F157)/2*27.211324570273</f>
        <v>0.32688571818915779</v>
      </c>
      <c r="P157" s="20">
        <f>(K157-J157-I157+H157)/2*27.211324570273</f>
        <v>-9.6987993531720967E-2</v>
      </c>
      <c r="Q157" s="21">
        <f>(E157+K157-J157-D157-I157+H157-2*C157)*27.211324570273</f>
        <v>-9.8354125492485096</v>
      </c>
      <c r="R157" s="21">
        <f>(M157+E157-G157+K157-J157-L157-D157+F157-I157+H157-2*C157)*27.211324570273</f>
        <v>-9.748976233903397</v>
      </c>
      <c r="S157" s="20">
        <v>4.4400000000000004</v>
      </c>
      <c r="T157" s="21">
        <f>-Q157/2-S157</f>
        <v>0.47770627462425441</v>
      </c>
      <c r="U157" s="21">
        <f>-R157/2-S157</f>
        <v>0.43448811695169809</v>
      </c>
      <c r="V157" s="24">
        <v>0.33300000000000002</v>
      </c>
      <c r="W157" s="20">
        <f t="shared" si="7"/>
        <v>0.14470627462425439</v>
      </c>
      <c r="X157" s="20">
        <f t="shared" si="8"/>
        <v>0.10148811695169807</v>
      </c>
    </row>
    <row r="158" spans="1:24" x14ac:dyDescent="0.2">
      <c r="A158" s="19" t="s">
        <v>76</v>
      </c>
      <c r="B158" s="19" t="s">
        <v>30</v>
      </c>
      <c r="C158" s="20">
        <f t="shared" si="6"/>
        <v>-0.42068146923305594</v>
      </c>
      <c r="D158" s="20">
        <v>-805.18276000000003</v>
      </c>
      <c r="E158" s="20">
        <v>-806.36931000000004</v>
      </c>
      <c r="F158" s="20">
        <v>-805.39457908659995</v>
      </c>
      <c r="G158" s="20">
        <v>-806.60506352289997</v>
      </c>
      <c r="H158" s="20">
        <v>-805.34426359370002</v>
      </c>
      <c r="I158" s="20">
        <v>-805.35338455800002</v>
      </c>
      <c r="J158" s="20">
        <v>-806.54093273870001</v>
      </c>
      <c r="K158" s="20">
        <v>-806.55721028230005</v>
      </c>
      <c r="L158" s="20">
        <v>-806.24977053400005</v>
      </c>
      <c r="M158" s="20">
        <v>-807.45639866650004</v>
      </c>
      <c r="N158" s="20">
        <f>(M158-L158)/2*27.211324570273</f>
        <v>-16.416974874539751</v>
      </c>
      <c r="O158" s="20">
        <f>(E158-G158-D158+F158)/2*27.211324570273</f>
        <v>0.32564385728304834</v>
      </c>
      <c r="P158" s="20">
        <f>(K158-J158-I158+H158)/2*27.211324570273</f>
        <v>-9.7370001073204579E-2</v>
      </c>
      <c r="Q158" s="21">
        <f>(E158+K158-J158-D158-I158+H158-2*C158)*27.211324570273</f>
        <v>-9.5877371710041395</v>
      </c>
      <c r="R158" s="21">
        <f>(M158+E158-G158+K158-J158-L158-D158+F158-I158+H158-2*C158)*27.211324570273</f>
        <v>-9.4828020366629087</v>
      </c>
      <c r="S158" s="20">
        <v>4.4400000000000004</v>
      </c>
      <c r="T158" s="21">
        <f>-Q158/2-S158</f>
        <v>0.35386858550206934</v>
      </c>
      <c r="U158" s="21">
        <f>-R158/2-S158</f>
        <v>0.30140101833145394</v>
      </c>
      <c r="V158" s="24">
        <v>0.33300000000000002</v>
      </c>
      <c r="W158" s="20">
        <f t="shared" si="7"/>
        <v>2.0868585502069326E-2</v>
      </c>
      <c r="X158" s="20">
        <f t="shared" si="8"/>
        <v>3.1598981668546078E-2</v>
      </c>
    </row>
    <row r="159" spans="1:24" x14ac:dyDescent="0.2">
      <c r="A159" s="19" t="s">
        <v>76</v>
      </c>
      <c r="B159" s="19" t="s">
        <v>31</v>
      </c>
      <c r="C159" s="20">
        <f t="shared" si="6"/>
        <v>-0.42068146923305594</v>
      </c>
      <c r="D159" s="20">
        <v>-805.27557999999999</v>
      </c>
      <c r="E159" s="20">
        <v>-806.47126000000003</v>
      </c>
      <c r="F159" s="20">
        <v>-805.48868903519997</v>
      </c>
      <c r="G159" s="20">
        <v>-806.70839474679997</v>
      </c>
      <c r="H159" s="20">
        <v>-805.34395013699998</v>
      </c>
      <c r="I159" s="20">
        <v>-805.35314806760005</v>
      </c>
      <c r="J159" s="20">
        <v>-806.54058139059998</v>
      </c>
      <c r="K159" s="20">
        <v>-806.55690782340002</v>
      </c>
      <c r="L159" s="20">
        <v>-805.76846819510001</v>
      </c>
      <c r="M159" s="20">
        <v>-806.97661344790004</v>
      </c>
      <c r="N159" s="20">
        <f>(M159-L159)/2*27.211324570273</f>
        <v>-16.437616300987973</v>
      </c>
      <c r="O159" s="20">
        <f>(E159-G159-D159+F159)/2*27.211324570273</f>
        <v>0.32688571818915779</v>
      </c>
      <c r="P159" s="20">
        <f>(K159-J159-I159+H159)/2*27.211324570273</f>
        <v>-9.6987993531720967E-2</v>
      </c>
      <c r="Q159" s="21">
        <f>(E159+K159-J159-D159-I159+H159-2*C159)*27.211324570273</f>
        <v>-9.8354125492485096</v>
      </c>
      <c r="R159" s="21">
        <f>(M159+E159-G159+K159-J159-L159-D159+F159-I159+H159-2*C159)*27.211324570273</f>
        <v>-9.5208371526610698</v>
      </c>
      <c r="S159" s="20">
        <v>4.4400000000000004</v>
      </c>
      <c r="T159" s="21">
        <f>-Q159/2-S159</f>
        <v>0.47770627462425441</v>
      </c>
      <c r="U159" s="21">
        <f>-R159/2-S159</f>
        <v>0.3204185763305345</v>
      </c>
      <c r="V159" s="24">
        <v>0.33300000000000002</v>
      </c>
      <c r="W159" s="20">
        <f t="shared" si="7"/>
        <v>0.14470627462425439</v>
      </c>
      <c r="X159" s="20">
        <f t="shared" si="8"/>
        <v>1.2581423669465519E-2</v>
      </c>
    </row>
    <row r="160" spans="1:24" x14ac:dyDescent="0.2">
      <c r="A160" s="19" t="s">
        <v>76</v>
      </c>
      <c r="B160" s="19" t="s">
        <v>32</v>
      </c>
      <c r="C160" s="20">
        <f t="shared" si="6"/>
        <v>-0.42068146923305594</v>
      </c>
      <c r="D160" s="20">
        <v>-805.18276000000003</v>
      </c>
      <c r="E160" s="20">
        <v>-806.36931000000004</v>
      </c>
      <c r="F160" s="20">
        <v>-805.39457908659995</v>
      </c>
      <c r="G160" s="20">
        <v>-806.60506352289997</v>
      </c>
      <c r="H160" s="20">
        <v>-805.34426359370002</v>
      </c>
      <c r="I160" s="20">
        <v>-805.35338455800002</v>
      </c>
      <c r="J160" s="20">
        <v>-806.54093273870001</v>
      </c>
      <c r="K160" s="20">
        <v>-806.55721028230005</v>
      </c>
      <c r="L160" s="20">
        <v>-805.71353843439999</v>
      </c>
      <c r="M160" s="20">
        <v>-806.9115288982</v>
      </c>
      <c r="N160" s="20">
        <f>(M160-L160)/2*27.211324570273</f>
        <v>-16.299453671276989</v>
      </c>
      <c r="O160" s="20">
        <f>(E160-G160-D160+F160)/2*27.211324570273</f>
        <v>0.32564385728304834</v>
      </c>
      <c r="P160" s="20">
        <f>(K160-J160-I160+H160)/2*27.211324570273</f>
        <v>-9.7370001073204579E-2</v>
      </c>
      <c r="Q160" s="21">
        <f>(E160+K160-J160-D160-I160+H160-2*C160)*27.211324570273</f>
        <v>-9.5877371710041395</v>
      </c>
      <c r="R160" s="21">
        <f>(M160+E160-G160+K160-J160-L160-D160+F160-I160+H160-2*C160)*27.211324570273</f>
        <v>-9.2477596301373843</v>
      </c>
      <c r="S160" s="20">
        <v>4.4400000000000004</v>
      </c>
      <c r="T160" s="21">
        <f>-Q160/2-S160</f>
        <v>0.35386858550206934</v>
      </c>
      <c r="U160" s="21">
        <f>-R160/2-S160</f>
        <v>0.18387981506869178</v>
      </c>
      <c r="V160" s="24">
        <v>0.33300000000000002</v>
      </c>
      <c r="W160" s="20">
        <f t="shared" si="7"/>
        <v>2.0868585502069326E-2</v>
      </c>
      <c r="X160" s="20">
        <f t="shared" si="8"/>
        <v>0.14912018493130824</v>
      </c>
    </row>
    <row r="161" spans="1:24" x14ac:dyDescent="0.2">
      <c r="A161" s="19" t="s">
        <v>76</v>
      </c>
      <c r="B161" s="19" t="s">
        <v>33</v>
      </c>
      <c r="C161" s="20">
        <f t="shared" si="6"/>
        <v>-0.42068146923305594</v>
      </c>
      <c r="D161" s="20">
        <v>-805.50349000000006</v>
      </c>
      <c r="E161" s="20">
        <v>-806.67808000000002</v>
      </c>
      <c r="F161" s="20">
        <v>-805.71454831519998</v>
      </c>
      <c r="G161" s="20">
        <v>-806.91236287729998</v>
      </c>
      <c r="H161" s="20">
        <v>-805.34391256449999</v>
      </c>
      <c r="I161" s="20">
        <v>-805.35290516550003</v>
      </c>
      <c r="J161" s="20">
        <v>-806.54072582970002</v>
      </c>
      <c r="K161" s="20">
        <v>-806.55687805000002</v>
      </c>
      <c r="L161" s="20">
        <v>-805.71438960600005</v>
      </c>
      <c r="M161" s="20">
        <v>-806.91246158399997</v>
      </c>
      <c r="N161" s="20">
        <f>(M161-L161)/2*27.211324570273</f>
        <v>-16.300562725952346</v>
      </c>
      <c r="O161" s="20">
        <f>(E161-G161-D161+F161)/2*27.211324570273</f>
        <v>0.31598554865332751</v>
      </c>
      <c r="P161" s="20">
        <f>(K161-J161-I161+H161)/2*27.211324570273</f>
        <v>-9.7411362285333286E-2</v>
      </c>
      <c r="Q161" s="21">
        <f>(E161+K161-J161-D161-I161+H161-2*C161)*27.211324570273</f>
        <v>-9.2623724515636248</v>
      </c>
      <c r="R161" s="21">
        <f>(M161+E161-G161+K161-J161-L161-D161+F161-I161+H161-2*C161)*27.211324570273</f>
        <v>-9.2693770791687058</v>
      </c>
      <c r="S161" s="20">
        <v>4.4400000000000004</v>
      </c>
      <c r="T161" s="21">
        <f>-Q161/2-S161</f>
        <v>0.19118622578181199</v>
      </c>
      <c r="U161" s="21">
        <f>-R161/2-S161</f>
        <v>0.1946885395843525</v>
      </c>
      <c r="V161" s="24">
        <v>0.33300000000000002</v>
      </c>
      <c r="W161" s="20">
        <f t="shared" si="7"/>
        <v>0.14181377421818803</v>
      </c>
      <c r="X161" s="20">
        <f t="shared" si="8"/>
        <v>0.13831146041564751</v>
      </c>
    </row>
    <row r="162" spans="1:24" ht="15" customHeight="1" x14ac:dyDescent="0.2">
      <c r="A162" s="19" t="s">
        <v>76</v>
      </c>
      <c r="B162" s="19" t="s">
        <v>42</v>
      </c>
      <c r="C162" s="20">
        <f t="shared" si="6"/>
        <v>-0.42068146923305594</v>
      </c>
      <c r="D162" s="20">
        <v>-805.50342000000001</v>
      </c>
      <c r="E162" s="20">
        <v>-806.67857000000004</v>
      </c>
      <c r="F162" s="20">
        <v>-805.71473834560004</v>
      </c>
      <c r="G162" s="20">
        <v>-806.91289179930004</v>
      </c>
      <c r="H162" s="20">
        <v>-805.34392020969995</v>
      </c>
      <c r="I162" s="20">
        <v>-805.35291757189998</v>
      </c>
      <c r="J162" s="20">
        <v>-806.54074027219997</v>
      </c>
      <c r="K162" s="20">
        <v>-806.55689137119998</v>
      </c>
      <c r="L162" s="20">
        <v>-805.71438747269997</v>
      </c>
      <c r="M162" s="20">
        <v>-806.91245606370001</v>
      </c>
      <c r="N162" s="20">
        <f>(M162-L162)/2*27.211324570273</f>
        <v>-16.300516643575836</v>
      </c>
      <c r="O162" s="20">
        <f>(E162-G162-D162+F162)/2*27.211324570273</f>
        <v>0.31297722243357956</v>
      </c>
      <c r="P162" s="20">
        <f>(K162-J162-I162+H162)/2*27.211324570273</f>
        <v>-9.7331326977255175E-2</v>
      </c>
      <c r="Q162" s="21">
        <f>(E162+K162-J162-D162-I162+H162-2*C162)*27.211324570273</f>
        <v>-9.2774507227116576</v>
      </c>
      <c r="R162" s="21">
        <f>(M162+E162-G162+K162-J162-L162-D162+F162-I162+H162-2*C162)*27.211324570273</f>
        <v>-9.2751414962421173</v>
      </c>
      <c r="S162" s="20">
        <v>4.4400000000000004</v>
      </c>
      <c r="T162" s="21">
        <f>-Q162/2-S162</f>
        <v>0.19872536135582841</v>
      </c>
      <c r="U162" s="21">
        <f>-R162/2-S162</f>
        <v>0.19757074812105824</v>
      </c>
      <c r="V162" s="24">
        <v>0.33300000000000002</v>
      </c>
      <c r="W162" s="20">
        <f t="shared" si="7"/>
        <v>0.13427463864417161</v>
      </c>
      <c r="X162" s="20">
        <f t="shared" si="8"/>
        <v>0.13542925187894178</v>
      </c>
    </row>
    <row r="163" spans="1:24" ht="15" customHeight="1" x14ac:dyDescent="0.2">
      <c r="A163" s="19" t="s">
        <v>76</v>
      </c>
      <c r="B163" s="19" t="s">
        <v>43</v>
      </c>
      <c r="C163" s="20">
        <f t="shared" si="6"/>
        <v>-0.42068146923305594</v>
      </c>
      <c r="D163" s="20">
        <v>-805.18276000000003</v>
      </c>
      <c r="E163" s="20">
        <v>-806.36931000000004</v>
      </c>
      <c r="F163" s="20">
        <v>-805.39457908659995</v>
      </c>
      <c r="G163" s="20">
        <v>-806.60506352289997</v>
      </c>
      <c r="H163" s="20">
        <v>-805.34426359370002</v>
      </c>
      <c r="I163" s="20">
        <v>-805.35338455800002</v>
      </c>
      <c r="J163" s="20">
        <v>-806.54093273870001</v>
      </c>
      <c r="K163" s="20">
        <v>-806.55721028230005</v>
      </c>
      <c r="L163" s="20">
        <v>-804.61391889777997</v>
      </c>
      <c r="M163" s="20">
        <v>-805.82470438414703</v>
      </c>
      <c r="N163" s="20">
        <f>(M163-L163)/2*27.211324570273</f>
        <v>-16.473538427254937</v>
      </c>
      <c r="O163" s="20">
        <f>(E163-G163-D163+F163)/2*27.211324570273</f>
        <v>0.32564385728304834</v>
      </c>
      <c r="P163" s="20">
        <f>(K163-J163-I163+H163)/2*27.211324570273</f>
        <v>-9.7370001073204579E-2</v>
      </c>
      <c r="Q163" s="21">
        <f>(E163+K163-J163-D163-I163+H163-2*C163)*27.211324570273</f>
        <v>-9.5877371710041395</v>
      </c>
      <c r="R163" s="21">
        <f>(M163+E163-G163+K163-J163-L163-D163+F163-I163+H163-2*C163)*27.211324570273</f>
        <v>-9.595929142087094</v>
      </c>
      <c r="S163" s="20">
        <v>4.4400000000000004</v>
      </c>
      <c r="T163" s="21">
        <f>-Q163/2-S163</f>
        <v>0.35386858550206934</v>
      </c>
      <c r="U163" s="21">
        <f>-R163/2-S163</f>
        <v>0.35796457104354662</v>
      </c>
      <c r="V163" s="24">
        <v>0.33300000000000002</v>
      </c>
      <c r="W163" s="20">
        <f t="shared" si="7"/>
        <v>2.0868585502069326E-2</v>
      </c>
      <c r="X163" s="20">
        <f t="shared" si="8"/>
        <v>2.4964571043546602E-2</v>
      </c>
    </row>
    <row r="164" spans="1:24" x14ac:dyDescent="0.2">
      <c r="A164" s="19" t="s">
        <v>77</v>
      </c>
      <c r="B164" s="19" t="s">
        <v>27</v>
      </c>
      <c r="C164" s="20">
        <f t="shared" si="6"/>
        <v>-0.42068146923305594</v>
      </c>
      <c r="D164" s="20">
        <f>-609.8714</f>
        <v>-609.87139999999999</v>
      </c>
      <c r="E164" s="20">
        <v>-611.07299</v>
      </c>
      <c r="F164" s="20">
        <v>-609.97450530169999</v>
      </c>
      <c r="G164" s="20">
        <v>-611.19945759090001</v>
      </c>
      <c r="H164" s="20">
        <v>-610.08429596639996</v>
      </c>
      <c r="I164" s="20">
        <v>-610.10298110730002</v>
      </c>
      <c r="J164" s="20">
        <v>-611.28939397960005</v>
      </c>
      <c r="K164" s="20">
        <v>-611.31254091000005</v>
      </c>
      <c r="L164" s="20">
        <v>-610.62088991329995</v>
      </c>
      <c r="M164" s="20">
        <v>-611.84289917980004</v>
      </c>
      <c r="N164" s="20">
        <f>(M164-L164)/2*27.211324570273</f>
        <v>-16.626245389307659</v>
      </c>
      <c r="O164" s="20">
        <f>(E164-G164-D164+F164)/2*27.211324570273</f>
        <v>0.3178594170630073</v>
      </c>
      <c r="P164" s="20">
        <f>(K164-J164-I164+H164)/2*27.211324570273</f>
        <v>-6.0705601123577757E-2</v>
      </c>
      <c r="Q164" s="21">
        <f>(E164+K164-J164-D164-I164+H164-2*C164)*27.211324570273</f>
        <v>-9.9236666926386725</v>
      </c>
      <c r="R164" s="21">
        <f>(M164+E164-G164+K164-J164-L164-D164+F164-I164+H164-2*C164)*27.211324570273</f>
        <v>-9.8435831467395492</v>
      </c>
      <c r="S164" s="20">
        <v>4.4400000000000004</v>
      </c>
      <c r="T164" s="21">
        <f>-Q164/2-S164</f>
        <v>0.52183334631933587</v>
      </c>
      <c r="U164" s="21">
        <f>-R164/2-S164</f>
        <v>0.48179157336977418</v>
      </c>
      <c r="V164" s="24">
        <v>0.308</v>
      </c>
      <c r="W164" s="20">
        <f t="shared" si="7"/>
        <v>0.21383334631933587</v>
      </c>
      <c r="X164" s="20">
        <f t="shared" si="8"/>
        <v>0.17379157336977419</v>
      </c>
    </row>
    <row r="165" spans="1:24" x14ac:dyDescent="0.2">
      <c r="A165" s="19" t="s">
        <v>77</v>
      </c>
      <c r="B165" s="19" t="s">
        <v>145</v>
      </c>
      <c r="C165" s="20">
        <f t="shared" si="6"/>
        <v>-0.42068146923305594</v>
      </c>
      <c r="D165" s="20">
        <v>-609.57683999999995</v>
      </c>
      <c r="E165" s="20">
        <v>-610.77571</v>
      </c>
      <c r="F165" s="20">
        <v>-609.68074088169999</v>
      </c>
      <c r="G165" s="20">
        <v>-610.90311787949997</v>
      </c>
      <c r="H165" s="20">
        <v>-610.08458797950004</v>
      </c>
      <c r="I165" s="20">
        <v>-610.10272259199996</v>
      </c>
      <c r="J165" s="20">
        <v>-611.28966843809997</v>
      </c>
      <c r="K165" s="20">
        <v>-611.31248860150004</v>
      </c>
      <c r="L165" s="20">
        <v>-610.33777258489999</v>
      </c>
      <c r="M165" s="20">
        <v>-611.55869619680004</v>
      </c>
      <c r="N165" s="20">
        <f>(M165-L165)/2*27.211324570273</f>
        <v>-16.611474339461115</v>
      </c>
      <c r="O165" s="20">
        <f>(E165-G165-D165+F165)/2*27.211324570273</f>
        <v>0.31982827340325859</v>
      </c>
      <c r="P165" s="20">
        <f>(K165-J165-I165+H165)/2*27.211324570273</f>
        <v>-6.3750023167243028E-2</v>
      </c>
      <c r="Q165" s="21">
        <f>(E165+K165-J165-D165-I165+H165-2*C165)*27.211324570273</f>
        <v>-9.8557407339023015</v>
      </c>
      <c r="R165" s="21">
        <f>(M165+E165-G165+K165-J165-L165-D165+F165-I165+H165-2*C165)*27.211324570273</f>
        <v>-9.8161921784471069</v>
      </c>
      <c r="S165" s="20">
        <v>4.4400000000000004</v>
      </c>
      <c r="T165" s="21">
        <f>-Q165/2-S165</f>
        <v>0.48787036695115038</v>
      </c>
      <c r="U165" s="21">
        <f>-R165/2-S165</f>
        <v>0.46809608922355306</v>
      </c>
      <c r="V165" s="24">
        <v>0.308</v>
      </c>
      <c r="W165" s="20">
        <f t="shared" si="7"/>
        <v>0.17987036695115038</v>
      </c>
      <c r="X165" s="20">
        <f t="shared" si="8"/>
        <v>0.16009608922355306</v>
      </c>
    </row>
    <row r="166" spans="1:24" x14ac:dyDescent="0.2">
      <c r="A166" s="19" t="s">
        <v>77</v>
      </c>
      <c r="B166" s="19" t="s">
        <v>29</v>
      </c>
      <c r="C166" s="20">
        <f t="shared" si="6"/>
        <v>-0.42068146923305594</v>
      </c>
      <c r="D166" s="20">
        <v>-610.04024000000004</v>
      </c>
      <c r="E166" s="20">
        <v>-611.24514999999997</v>
      </c>
      <c r="F166" s="20">
        <v>-610.14428410820005</v>
      </c>
      <c r="G166" s="20">
        <v>-611.37255133359997</v>
      </c>
      <c r="H166" s="20">
        <v>-610.08451456169996</v>
      </c>
      <c r="I166" s="20">
        <v>-610.10280495760003</v>
      </c>
      <c r="J166" s="20">
        <v>-611.28951304429995</v>
      </c>
      <c r="K166" s="20">
        <v>-611.31255383209998</v>
      </c>
      <c r="L166" s="20">
        <v>-610.78314607009997</v>
      </c>
      <c r="M166" s="20">
        <v>-612.00895936049994</v>
      </c>
      <c r="N166" s="20">
        <f>(M166-L166)/2*27.211324570273</f>
        <v>-16.67800165381394</v>
      </c>
      <c r="O166" s="20">
        <f>(E166-G166-D166+F166)/2*27.211324570273</f>
        <v>0.3177905207100894</v>
      </c>
      <c r="P166" s="20">
        <f>(K166-J166-I166+H166)/2*27.211324570273</f>
        <v>-6.4632227912916743E-2</v>
      </c>
      <c r="Q166" s="21">
        <f>(E166+K166-J166-D166-I166+H166-2*C166)*27.211324570273</f>
        <v>-10.021861543788397</v>
      </c>
      <c r="R166" s="21">
        <f>(M166+E166-G166+K166-J166-L166-D166+F166-I166+H166-2*C166)*27.211324570273</f>
        <v>-9.9550867220366293</v>
      </c>
      <c r="S166" s="20">
        <v>4.4400000000000004</v>
      </c>
      <c r="T166" s="21">
        <f>-Q166/2-S166</f>
        <v>0.57093077189419805</v>
      </c>
      <c r="U166" s="21">
        <f>-R166/2-S166</f>
        <v>0.53754336101831424</v>
      </c>
      <c r="V166" s="24">
        <v>0.308</v>
      </c>
      <c r="W166" s="20">
        <f t="shared" si="7"/>
        <v>0.26293077189419806</v>
      </c>
      <c r="X166" s="20">
        <f t="shared" si="8"/>
        <v>0.22954336101831424</v>
      </c>
    </row>
    <row r="167" spans="1:24" x14ac:dyDescent="0.2">
      <c r="A167" s="19" t="s">
        <v>77</v>
      </c>
      <c r="B167" s="19" t="s">
        <v>30</v>
      </c>
      <c r="C167" s="20">
        <f t="shared" si="6"/>
        <v>-0.42068146923305594</v>
      </c>
      <c r="D167" s="20">
        <v>-610.00716</v>
      </c>
      <c r="E167" s="20">
        <v>-611.20263</v>
      </c>
      <c r="F167" s="20">
        <v>-610.11059676850005</v>
      </c>
      <c r="G167" s="20">
        <v>-611.32942001900005</v>
      </c>
      <c r="H167" s="20">
        <v>-610.08469953429994</v>
      </c>
      <c r="I167" s="20">
        <v>-610.10295914999995</v>
      </c>
      <c r="J167" s="20">
        <v>-611.28973894750004</v>
      </c>
      <c r="K167" s="20">
        <v>-611.31269087140004</v>
      </c>
      <c r="L167" s="20">
        <v>-610.76388946120005</v>
      </c>
      <c r="M167" s="20">
        <v>-611.97958895420004</v>
      </c>
      <c r="N167" s="20">
        <f>(M167-L167)/2*27.211324570273</f>
        <v>-16.540396741969506</v>
      </c>
      <c r="O167" s="20">
        <f>(E167-G167-D167+F167)/2*27.211324570273</f>
        <v>0.31773643956331038</v>
      </c>
      <c r="P167" s="20">
        <f>(K167-J167-I167+H167)/2*27.211324570273</f>
        <v>-6.3841960706869413E-2</v>
      </c>
      <c r="Q167" s="21">
        <f>(E167+K167-J167-D167-I167+H167-2*C167)*27.211324570273</f>
        <v>-9.7634061054380084</v>
      </c>
      <c r="R167" s="21">
        <f>(M167+E167-G167+K167-J167-L167-D167+F167-I167+H167-2*C167)*27.211324570273</f>
        <v>-9.6784045262230336</v>
      </c>
      <c r="S167" s="20">
        <v>4.4400000000000004</v>
      </c>
      <c r="T167" s="21">
        <f>-Q167/2-S167</f>
        <v>0.44170305271900379</v>
      </c>
      <c r="U167" s="21">
        <f>-R167/2-S167</f>
        <v>0.39920226311151641</v>
      </c>
      <c r="V167" s="24">
        <v>0.308</v>
      </c>
      <c r="W167" s="20">
        <f t="shared" si="7"/>
        <v>0.13370305271900379</v>
      </c>
      <c r="X167" s="20">
        <f t="shared" si="8"/>
        <v>9.1202263111516413E-2</v>
      </c>
    </row>
    <row r="168" spans="1:24" x14ac:dyDescent="0.2">
      <c r="A168" s="19" t="s">
        <v>77</v>
      </c>
      <c r="B168" s="19" t="s">
        <v>31</v>
      </c>
      <c r="C168" s="20">
        <f t="shared" si="6"/>
        <v>-0.42068146923305594</v>
      </c>
      <c r="D168" s="20">
        <v>-610.04024000000004</v>
      </c>
      <c r="E168" s="20">
        <v>-611.24514999999997</v>
      </c>
      <c r="F168" s="20">
        <v>-610.14428410820005</v>
      </c>
      <c r="G168" s="20">
        <v>-611.37255133359997</v>
      </c>
      <c r="H168" s="20">
        <v>-610.08451456169996</v>
      </c>
      <c r="I168" s="20">
        <v>-610.10280495760003</v>
      </c>
      <c r="J168" s="20">
        <v>-611.28951304429995</v>
      </c>
      <c r="K168" s="20">
        <v>-611.31255383209998</v>
      </c>
      <c r="L168" s="20">
        <v>-610.39377548150003</v>
      </c>
      <c r="M168" s="20">
        <v>-611.61175194309999</v>
      </c>
      <c r="N168" s="20">
        <f>(M168-L168)/2*27.211324570273</f>
        <v>-16.571376407774583</v>
      </c>
      <c r="O168" s="20">
        <f>(E168-G168-D168+F168)/2*27.211324570273</f>
        <v>0.3177905207100894</v>
      </c>
      <c r="P168" s="20">
        <f>(K168-J168-I168+H168)/2*27.211324570273</f>
        <v>-6.4632227912916743E-2</v>
      </c>
      <c r="Q168" s="21">
        <f>(E168+K168-J168-D168-I168+H168-2*C168)*27.211324570273</f>
        <v>-10.021861543788397</v>
      </c>
      <c r="R168" s="21">
        <f>(M168+E168-G168+K168-J168-L168-D168+F168-I168+H168-2*C168)*27.211324570273</f>
        <v>-9.7418362299548207</v>
      </c>
      <c r="S168" s="20">
        <v>4.4400000000000004</v>
      </c>
      <c r="T168" s="21">
        <f>-Q168/2-S168</f>
        <v>0.57093077189419805</v>
      </c>
      <c r="U168" s="21">
        <f>-R168/2-S168</f>
        <v>0.43091811497740995</v>
      </c>
      <c r="V168" s="24">
        <v>0.308</v>
      </c>
      <c r="W168" s="20">
        <f t="shared" si="7"/>
        <v>0.26293077189419806</v>
      </c>
      <c r="X168" s="20">
        <f t="shared" si="8"/>
        <v>0.12291811497740995</v>
      </c>
    </row>
    <row r="169" spans="1:24" x14ac:dyDescent="0.2">
      <c r="A169" s="19" t="s">
        <v>77</v>
      </c>
      <c r="B169" s="19" t="s">
        <v>32</v>
      </c>
      <c r="C169" s="20">
        <f t="shared" si="6"/>
        <v>-0.42068146923305594</v>
      </c>
      <c r="D169" s="20">
        <v>-610.00716</v>
      </c>
      <c r="E169" s="20">
        <v>-611.20263</v>
      </c>
      <c r="F169" s="20">
        <v>-610.11059676850005</v>
      </c>
      <c r="G169" s="20">
        <v>-611.32942001900005</v>
      </c>
      <c r="H169" s="20">
        <v>-610.08469953429994</v>
      </c>
      <c r="I169" s="20">
        <v>-610.10295914999995</v>
      </c>
      <c r="J169" s="20">
        <v>-611.28973894750004</v>
      </c>
      <c r="K169" s="20">
        <v>-611.31269087140004</v>
      </c>
      <c r="L169" s="20">
        <v>-610.38823986429998</v>
      </c>
      <c r="M169" s="20">
        <v>-611.59595713190004</v>
      </c>
      <c r="N169" s="20">
        <f>(M169-L169)/2*27.211324570273</f>
        <v>-16.431793278894244</v>
      </c>
      <c r="O169" s="20">
        <f>(E169-G169-D169+F169)/2*27.211324570273</f>
        <v>0.31773643956331038</v>
      </c>
      <c r="P169" s="20">
        <f>(K169-J169-I169+H169)/2*27.211324570273</f>
        <v>-6.3841960706869413E-2</v>
      </c>
      <c r="Q169" s="21">
        <f>(E169+K169-J169-D169-I169+H169-2*C169)*27.211324570273</f>
        <v>-9.7634061054380084</v>
      </c>
      <c r="R169" s="21">
        <f>(M169+E169-G169+K169-J169-L169-D169+F169-I169+H169-2*C169)*27.211324570273</f>
        <v>-9.4611976000786964</v>
      </c>
      <c r="S169" s="20">
        <v>4.4400000000000004</v>
      </c>
      <c r="T169" s="21">
        <f>-Q169/2-S169</f>
        <v>0.44170305271900379</v>
      </c>
      <c r="U169" s="21">
        <f>-R169/2-S169</f>
        <v>0.29059880003934779</v>
      </c>
      <c r="V169" s="24">
        <v>0.308</v>
      </c>
      <c r="W169" s="20">
        <f t="shared" si="7"/>
        <v>0.13370305271900379</v>
      </c>
      <c r="X169" s="20">
        <f t="shared" si="8"/>
        <v>1.7401199960652203E-2</v>
      </c>
    </row>
    <row r="170" spans="1:24" x14ac:dyDescent="0.2">
      <c r="A170" s="19" t="s">
        <v>77</v>
      </c>
      <c r="B170" s="19" t="s">
        <v>33</v>
      </c>
      <c r="C170" s="20">
        <f t="shared" si="6"/>
        <v>-0.42068146923305594</v>
      </c>
      <c r="D170" s="20">
        <v>-610.28664000000003</v>
      </c>
      <c r="E170" s="20">
        <v>-611.47217999999998</v>
      </c>
      <c r="F170" s="20">
        <v>-610.38930286560003</v>
      </c>
      <c r="G170" s="20">
        <v>-611.59686970840005</v>
      </c>
      <c r="H170" s="20">
        <v>-610.08451907619997</v>
      </c>
      <c r="I170" s="20">
        <v>-610.10272530630004</v>
      </c>
      <c r="J170" s="20">
        <v>-611.2895900318</v>
      </c>
      <c r="K170" s="20">
        <v>-611.3124863864</v>
      </c>
      <c r="L170" s="20">
        <v>-610.38883365310005</v>
      </c>
      <c r="M170" s="20">
        <v>-611.59659833149999</v>
      </c>
      <c r="N170" s="20">
        <f>(M170-L170)/2*27.211324570273</f>
        <v>-16.432438334226074</v>
      </c>
      <c r="O170" s="20">
        <f>(E170-G170-D170+F170)/2*27.211324570273</f>
        <v>0.29968978434559196</v>
      </c>
      <c r="P170" s="20">
        <f>(K170-J170-I170+H170)/2*27.211324570273</f>
        <v>-6.3812250021105035E-2</v>
      </c>
      <c r="Q170" s="21">
        <f>(E170+K170-J170-D170-I170+H170-2*C170)*27.211324570273</f>
        <v>-9.4931382310822006</v>
      </c>
      <c r="R170" s="21">
        <f>(M170+E170-G170+K170-J170-L170-D170+F170-I170+H170-2*C170)*27.211324570273</f>
        <v>-9.4985215998000836</v>
      </c>
      <c r="S170" s="20">
        <v>4.4400000000000004</v>
      </c>
      <c r="T170" s="21">
        <f>-Q170/2-S170</f>
        <v>0.30656911554109989</v>
      </c>
      <c r="U170" s="21">
        <f>-R170/2-S170</f>
        <v>0.30926079990004141</v>
      </c>
      <c r="V170" s="24">
        <v>0.308</v>
      </c>
      <c r="W170" s="20">
        <f t="shared" si="7"/>
        <v>1.4308844589001057E-3</v>
      </c>
      <c r="X170" s="20">
        <f t="shared" si="8"/>
        <v>1.2607999000414094E-3</v>
      </c>
    </row>
    <row r="171" spans="1:24" ht="15" customHeight="1" x14ac:dyDescent="0.2">
      <c r="A171" s="19" t="s">
        <v>77</v>
      </c>
      <c r="B171" s="19" t="s">
        <v>42</v>
      </c>
      <c r="C171" s="20">
        <f t="shared" si="6"/>
        <v>-0.42068146923305594</v>
      </c>
      <c r="D171" s="20">
        <v>-610.28626999999994</v>
      </c>
      <c r="E171" s="20">
        <v>-611.47213999999997</v>
      </c>
      <c r="F171" s="20">
        <v>-610.38904279120004</v>
      </c>
      <c r="G171" s="20">
        <v>-611.59702121409998</v>
      </c>
      <c r="H171" s="20">
        <v>-610.08452147410003</v>
      </c>
      <c r="I171" s="20">
        <v>-610.10272841819994</v>
      </c>
      <c r="J171" s="20">
        <v>-611.28959801880001</v>
      </c>
      <c r="K171" s="20">
        <v>-611.31247980479998</v>
      </c>
      <c r="L171" s="20">
        <v>-610.3888335309</v>
      </c>
      <c r="M171" s="20">
        <v>-611.59659882660003</v>
      </c>
      <c r="N171" s="20">
        <f>(M171-L171)/2*27.211324570273</f>
        <v>-16.432446733002607</v>
      </c>
      <c r="O171" s="20">
        <f>(E171-G171-D171+F171)/2*27.211324570273</f>
        <v>0.30079973563327439</v>
      </c>
      <c r="P171" s="20">
        <f>(K171-J171-I171+H171)/2*27.211324570273</f>
        <v>-6.3604320128555131E-2</v>
      </c>
      <c r="Q171" s="21">
        <f>(E171+K171-J171-D171-I171+H171-2*C171)*27.211324570273</f>
        <v>-9.5017021084104609</v>
      </c>
      <c r="R171" s="21">
        <f>(M171+E171-G171+K171-J171-L171-D171+F171-I171+H171-2*C171)*27.211324570273</f>
        <v>-9.4959026350019613</v>
      </c>
      <c r="S171" s="20">
        <v>4.4400000000000004</v>
      </c>
      <c r="T171" s="21">
        <f>-Q171/2-S171</f>
        <v>0.31085105420523007</v>
      </c>
      <c r="U171" s="21">
        <f>-R171/2-S171</f>
        <v>0.30795131750098026</v>
      </c>
      <c r="V171" s="24">
        <v>0.308</v>
      </c>
      <c r="W171" s="20">
        <f t="shared" si="7"/>
        <v>2.8510542052300747E-3</v>
      </c>
      <c r="X171" s="20">
        <f t="shared" si="8"/>
        <v>4.8682499019736536E-5</v>
      </c>
    </row>
    <row r="172" spans="1:24" ht="15" customHeight="1" x14ac:dyDescent="0.2">
      <c r="A172" s="19" t="s">
        <v>77</v>
      </c>
      <c r="B172" s="19" t="s">
        <v>43</v>
      </c>
      <c r="C172" s="20">
        <f t="shared" si="6"/>
        <v>-0.42068146923305594</v>
      </c>
      <c r="D172" s="20">
        <v>-610.00716</v>
      </c>
      <c r="E172" s="20">
        <v>-611.20263</v>
      </c>
      <c r="F172" s="20">
        <v>-610.11059676850005</v>
      </c>
      <c r="G172" s="20">
        <v>-611.32942001900005</v>
      </c>
      <c r="H172" s="20">
        <v>-610.08469953429994</v>
      </c>
      <c r="I172" s="20">
        <v>-610.10295914999995</v>
      </c>
      <c r="J172" s="20">
        <v>-611.28973894750004</v>
      </c>
      <c r="K172" s="20">
        <v>-611.31269087140004</v>
      </c>
      <c r="L172" s="20">
        <v>-609.55286243863202</v>
      </c>
      <c r="M172" s="20">
        <v>-610.77346958530904</v>
      </c>
      <c r="N172" s="20">
        <f>(M172-L172)/2*27.211324570273</f>
        <v>-16.607168620511679</v>
      </c>
      <c r="O172" s="20">
        <f>(E172-G172-D172+F172)/2*27.211324570273</f>
        <v>0.31773643956331038</v>
      </c>
      <c r="P172" s="20">
        <f>(K172-J172-I172+H172)/2*27.211324570273</f>
        <v>-6.3841960706869413E-2</v>
      </c>
      <c r="Q172" s="21">
        <f>(E172+K172-J172-D172-I172+H172-2*C172)*27.211324570273</f>
        <v>-9.7634061054380084</v>
      </c>
      <c r="R172" s="21">
        <f>(M172+E172-G172+K172-J172-L172-D172+F172-I172+H172-2*C172)*27.211324570273</f>
        <v>-9.8119482833073857</v>
      </c>
      <c r="S172" s="20">
        <v>4.4400000000000004</v>
      </c>
      <c r="T172" s="21">
        <f>-Q172/2-S172</f>
        <v>0.44170305271900379</v>
      </c>
      <c r="U172" s="21">
        <f>-R172/2-S172</f>
        <v>0.46597414165369244</v>
      </c>
      <c r="V172" s="24">
        <v>0.308</v>
      </c>
      <c r="W172" s="20">
        <f t="shared" si="7"/>
        <v>0.13370305271900379</v>
      </c>
      <c r="X172" s="20">
        <f t="shared" si="8"/>
        <v>0.15797414165369245</v>
      </c>
    </row>
    <row r="173" spans="1:24" x14ac:dyDescent="0.2">
      <c r="A173" s="19" t="s">
        <v>78</v>
      </c>
      <c r="B173" s="19" t="s">
        <v>27</v>
      </c>
      <c r="C173" s="20">
        <f t="shared" si="6"/>
        <v>-0.42068146923305594</v>
      </c>
      <c r="D173" s="20">
        <f>-1004.20862</f>
        <v>-1004.20862</v>
      </c>
      <c r="E173" s="20">
        <v>-1005.44813</v>
      </c>
      <c r="F173" s="20">
        <v>-1004.2593109009</v>
      </c>
      <c r="G173" s="20">
        <v>-1005.5227380507999</v>
      </c>
      <c r="H173" s="20">
        <v>-1004.4472741874</v>
      </c>
      <c r="I173" s="20">
        <v>-1004.5528260338</v>
      </c>
      <c r="J173" s="20">
        <v>-1005.6933747772</v>
      </c>
      <c r="K173" s="20">
        <v>-1005.7974452984</v>
      </c>
      <c r="L173" s="20">
        <v>-1005.1096803319</v>
      </c>
      <c r="M173" s="20">
        <v>-1006.3684531765</v>
      </c>
      <c r="N173" s="20">
        <f>(M173-L173)/2*27.211324570273</f>
        <v>-17.126438217328246</v>
      </c>
      <c r="O173" s="20">
        <f>(E173-G173-D173+F173)/2*27.211324570273</f>
        <v>0.32540866436162402</v>
      </c>
      <c r="P173" s="20">
        <f>(K173-J173-I173+H173)/2*27.211324570273</f>
        <v>2.0154410405135031E-2</v>
      </c>
      <c r="Q173" s="21">
        <f>(E173+K173-J173-D173-I173+H173-2*C173)*27.211324570273</f>
        <v>-10.793800097291792</v>
      </c>
      <c r="R173" s="21">
        <f>(M173+E173-G173+K173-J173-L173-D173+F173-I173+H173-2*C173)*27.211324570273</f>
        <v>-10.667150285119881</v>
      </c>
      <c r="S173" s="20">
        <v>4.4400000000000004</v>
      </c>
      <c r="T173" s="21">
        <f>-Q173/2-S173</f>
        <v>0.9569000486458954</v>
      </c>
      <c r="U173" s="21">
        <f>-R173/2-S173</f>
        <v>0.89357514255994008</v>
      </c>
      <c r="V173" s="24">
        <v>0.66500000000000004</v>
      </c>
      <c r="W173" s="20">
        <f t="shared" si="7"/>
        <v>0.29190004864589536</v>
      </c>
      <c r="X173" s="20">
        <f t="shared" si="8"/>
        <v>0.22857514255994005</v>
      </c>
    </row>
    <row r="174" spans="1:24" x14ac:dyDescent="0.2">
      <c r="A174" s="19" t="s">
        <v>78</v>
      </c>
      <c r="B174" s="19" t="s">
        <v>145</v>
      </c>
      <c r="C174" s="20">
        <f t="shared" si="6"/>
        <v>-0.42068146923305594</v>
      </c>
      <c r="D174" s="20">
        <v>-1003.9016</v>
      </c>
      <c r="E174" s="20">
        <v>-1005.13854</v>
      </c>
      <c r="F174" s="20">
        <v>-1003.954584121</v>
      </c>
      <c r="G174" s="20">
        <v>-1005.2154253643</v>
      </c>
      <c r="H174" s="20">
        <v>-1004.4487825954</v>
      </c>
      <c r="I174" s="20">
        <v>-1004.5538846166</v>
      </c>
      <c r="J174" s="20">
        <v>-1005.6950648529</v>
      </c>
      <c r="K174" s="20">
        <v>-1005.798600587</v>
      </c>
      <c r="L174" s="20">
        <v>-1004.8108296096</v>
      </c>
      <c r="M174" s="20">
        <v>-1006.0687922675</v>
      </c>
      <c r="N174" s="20">
        <f>(M174-L174)/2*27.211324570273</f>
        <v>-17.115415090700996</v>
      </c>
      <c r="O174" s="20">
        <f>(E174-G174-D174+F174)/2*27.211324570273</f>
        <v>0.32519224453433232</v>
      </c>
      <c r="P174" s="20">
        <f>(K174-J174-I174+H174)/2*27.211324570273</f>
        <v>2.1310373325582051E-2</v>
      </c>
      <c r="Q174" s="21">
        <f>(E174+K174-J174-D174-I174+H174-2*C174)*27.211324570273</f>
        <v>-10.721555067305527</v>
      </c>
      <c r="R174" s="21">
        <f>(M174+E174-G174+K174-J174-L174-D174+F174-I174+H174-2*C174)*27.211324570273</f>
        <v>-10.643224945682165</v>
      </c>
      <c r="S174" s="20">
        <v>4.4400000000000004</v>
      </c>
      <c r="T174" s="21">
        <f>-Q174/2-S174</f>
        <v>0.92077753365276305</v>
      </c>
      <c r="U174" s="21">
        <f>-R174/2-S174</f>
        <v>0.88161247284108235</v>
      </c>
      <c r="V174" s="24">
        <v>0.66500000000000004</v>
      </c>
      <c r="W174" s="20">
        <f t="shared" si="7"/>
        <v>0.25577753365276301</v>
      </c>
      <c r="X174" s="20">
        <f t="shared" si="8"/>
        <v>0.21661247284108232</v>
      </c>
    </row>
    <row r="175" spans="1:24" x14ac:dyDescent="0.2">
      <c r="A175" s="19" t="s">
        <v>78</v>
      </c>
      <c r="B175" s="19" t="s">
        <v>29</v>
      </c>
      <c r="C175" s="20">
        <f t="shared" si="6"/>
        <v>-0.42068146923305594</v>
      </c>
      <c r="D175" s="20">
        <v>-1004.33047</v>
      </c>
      <c r="E175" s="20">
        <v>-1005.57449</v>
      </c>
      <c r="F175" s="20">
        <v>-1004.3831045255</v>
      </c>
      <c r="G175" s="20">
        <v>-1005.6513053284</v>
      </c>
      <c r="H175" s="20">
        <v>-1004.4484724496</v>
      </c>
      <c r="I175" s="20">
        <v>-1004.5538604039</v>
      </c>
      <c r="J175" s="20">
        <v>-1005.6948291956001</v>
      </c>
      <c r="K175" s="20">
        <v>-1005.7987355633001</v>
      </c>
      <c r="L175" s="20">
        <v>-1005.2274667018</v>
      </c>
      <c r="M175" s="20">
        <v>-1006.4915238684</v>
      </c>
      <c r="N175" s="20">
        <f>(M175-L175)/2*27.211324570273</f>
        <v>-17.198334917865701</v>
      </c>
      <c r="O175" s="20">
        <f>(E175-G175-D175+F175)/2*27.211324570273</f>
        <v>0.32899583804073024</v>
      </c>
      <c r="P175" s="20">
        <f>(K175-J175-I175+H175)/2*27.211324570273</f>
        <v>2.0157966925695645E-2</v>
      </c>
      <c r="Q175" s="21">
        <f>(E175+K175-J175-D175-I175+H175-2*C175)*27.211324570273</f>
        <v>-10.916516058055926</v>
      </c>
      <c r="R175" s="21">
        <f>(M175+E175-G175+K175-J175-L175-D175+F175-I175+H175-2*C175)*27.211324570273</f>
        <v>-10.803762225795454</v>
      </c>
      <c r="S175" s="20">
        <v>4.4400000000000004</v>
      </c>
      <c r="T175" s="21">
        <f>-Q175/2-S175</f>
        <v>1.0182580290279626</v>
      </c>
      <c r="U175" s="21">
        <f>-R175/2-S175</f>
        <v>0.96188111289772671</v>
      </c>
      <c r="V175" s="24">
        <v>0.66500000000000004</v>
      </c>
      <c r="W175" s="20">
        <f t="shared" si="7"/>
        <v>0.35325802902796255</v>
      </c>
      <c r="X175" s="20">
        <f t="shared" si="8"/>
        <v>0.29688111289772667</v>
      </c>
    </row>
    <row r="176" spans="1:24" x14ac:dyDescent="0.2">
      <c r="A176" s="19" t="s">
        <v>78</v>
      </c>
      <c r="B176" s="19" t="s">
        <v>30</v>
      </c>
      <c r="C176" s="20">
        <f t="shared" si="6"/>
        <v>-0.42068146923305594</v>
      </c>
      <c r="D176" s="20">
        <v>-1004.3748900000001</v>
      </c>
      <c r="E176" s="20">
        <v>-1005.6088999999999</v>
      </c>
      <c r="F176" s="20">
        <v>-1004.4268834905999</v>
      </c>
      <c r="G176" s="20">
        <v>-1005.6852618403</v>
      </c>
      <c r="H176" s="20">
        <v>-1004.4485461857</v>
      </c>
      <c r="I176" s="20">
        <v>-1004.553757708</v>
      </c>
      <c r="J176" s="20">
        <v>-1005.694997515</v>
      </c>
      <c r="K176" s="20">
        <v>-1005.7988226264</v>
      </c>
      <c r="L176" s="20">
        <v>-1005.2820576686</v>
      </c>
      <c r="M176" s="20">
        <v>-1006.5358377867</v>
      </c>
      <c r="N176" s="20">
        <f>(M176-L176)/2*27.211324570273</f>
        <v>-17.058508866686335</v>
      </c>
      <c r="O176" s="20">
        <f>(E176-G176-D176+F176)/2*27.211324570273</f>
        <v>0.33154753646601748</v>
      </c>
      <c r="P176" s="20">
        <f>(K176-J176-I176+H176)/2*27.211324570273</f>
        <v>1.8863038493208622E-2</v>
      </c>
      <c r="Q176" s="21">
        <f>(E176+K176-J176-D176-I176+H176-2*C176)*27.211324570273</f>
        <v>-10.646720555970308</v>
      </c>
      <c r="R176" s="21">
        <f>(M176+E176-G176+K176-J176-L176-D176+F176-I176+H176-2*C176)*27.211324570273</f>
        <v>-10.521596583454215</v>
      </c>
      <c r="S176" s="20">
        <v>4.4400000000000004</v>
      </c>
      <c r="T176" s="21">
        <f>-Q176/2-S176</f>
        <v>0.88336027798515371</v>
      </c>
      <c r="U176" s="21">
        <f>-R176/2-S176</f>
        <v>0.82079829172710728</v>
      </c>
      <c r="V176" s="24">
        <v>0.66500000000000004</v>
      </c>
      <c r="W176" s="20">
        <f t="shared" si="7"/>
        <v>0.21836027798515367</v>
      </c>
      <c r="X176" s="20">
        <f t="shared" si="8"/>
        <v>0.15579829172710724</v>
      </c>
    </row>
    <row r="177" spans="1:24" x14ac:dyDescent="0.2">
      <c r="A177" s="19" t="s">
        <v>78</v>
      </c>
      <c r="B177" s="19" t="s">
        <v>31</v>
      </c>
      <c r="C177" s="20">
        <f t="shared" si="6"/>
        <v>-0.42068146923305594</v>
      </c>
      <c r="D177" s="20">
        <v>-1004.33047</v>
      </c>
      <c r="E177" s="20">
        <v>-1005.57449</v>
      </c>
      <c r="F177" s="20">
        <v>-1004.3831045255</v>
      </c>
      <c r="G177" s="20">
        <v>-1005.6513053284</v>
      </c>
      <c r="H177" s="20">
        <v>-1004.4484724496</v>
      </c>
      <c r="I177" s="20">
        <v>-1004.5538604039</v>
      </c>
      <c r="J177" s="20">
        <v>-1005.6948291956001</v>
      </c>
      <c r="K177" s="20">
        <v>-1005.7987355633001</v>
      </c>
      <c r="L177" s="20">
        <v>-1004.8147142955</v>
      </c>
      <c r="M177" s="20">
        <v>-1006.0706789592</v>
      </c>
      <c r="N177" s="20">
        <f>(M177-L177)/2*27.211324570273</f>
        <v>-17.088231056366638</v>
      </c>
      <c r="O177" s="20">
        <f>(E177-G177-D177+F177)/2*27.211324570273</f>
        <v>0.32899583804073024</v>
      </c>
      <c r="P177" s="20">
        <f>(K177-J177-I177+H177)/2*27.211324570273</f>
        <v>2.0157966925695645E-2</v>
      </c>
      <c r="Q177" s="21">
        <f>(E177+K177-J177-D177-I177+H177-2*C177)*27.211324570273</f>
        <v>-10.916516058055926</v>
      </c>
      <c r="R177" s="21">
        <f>(M177+E177-G177+K177-J177-L177-D177+F177-I177+H177-2*C177)*27.211324570273</f>
        <v>-10.583554502803519</v>
      </c>
      <c r="S177" s="20">
        <v>4.4400000000000004</v>
      </c>
      <c r="T177" s="21">
        <f>-Q177/2-S177</f>
        <v>1.0182580290279626</v>
      </c>
      <c r="U177" s="21">
        <f>-R177/2-S177</f>
        <v>0.85177725140175919</v>
      </c>
      <c r="V177" s="24">
        <v>0.66500000000000004</v>
      </c>
      <c r="W177" s="20">
        <f t="shared" si="7"/>
        <v>0.35325802902796255</v>
      </c>
      <c r="X177" s="20">
        <f t="shared" si="8"/>
        <v>0.18677725140175916</v>
      </c>
    </row>
    <row r="178" spans="1:24" x14ac:dyDescent="0.2">
      <c r="A178" s="19" t="s">
        <v>78</v>
      </c>
      <c r="B178" s="19" t="s">
        <v>32</v>
      </c>
      <c r="C178" s="20">
        <f t="shared" si="6"/>
        <v>-0.42068146923305594</v>
      </c>
      <c r="D178" s="20">
        <v>-1004.3748900000001</v>
      </c>
      <c r="E178" s="20">
        <v>-1005.6088999999999</v>
      </c>
      <c r="F178" s="20">
        <v>-1004.4268834905999</v>
      </c>
      <c r="G178" s="20">
        <v>-1005.6852618403</v>
      </c>
      <c r="H178" s="20">
        <v>-1004.4485461857</v>
      </c>
      <c r="I178" s="20">
        <v>-1004.553757708</v>
      </c>
      <c r="J178" s="20">
        <v>-1005.694997515</v>
      </c>
      <c r="K178" s="20">
        <v>-1005.7988226264</v>
      </c>
      <c r="L178" s="20">
        <v>-1004.8833685444</v>
      </c>
      <c r="M178" s="20">
        <v>-1006.1291687357</v>
      </c>
      <c r="N178" s="20">
        <f>(M178-L178)/2*27.211324570273</f>
        <v>-16.94993667758575</v>
      </c>
      <c r="O178" s="20">
        <f>(E178-G178-D178+F178)/2*27.211324570273</f>
        <v>0.33154753646601748</v>
      </c>
      <c r="P178" s="20">
        <f>(K178-J178-I178+H178)/2*27.211324570273</f>
        <v>1.8863038493208622E-2</v>
      </c>
      <c r="Q178" s="21">
        <f>(E178+K178-J178-D178-I178+H178-2*C178)*27.211324570273</f>
        <v>-10.646720555970308</v>
      </c>
      <c r="R178" s="21">
        <f>(M178+E178-G178+K178-J178-L178-D178+F178-I178+H178-2*C178)*27.211324570273</f>
        <v>-10.30445220525614</v>
      </c>
      <c r="S178" s="20">
        <v>4.4400000000000004</v>
      </c>
      <c r="T178" s="21">
        <f>-Q178/2-S178</f>
        <v>0.88336027798515371</v>
      </c>
      <c r="U178" s="21">
        <f>-R178/2-S178</f>
        <v>0.71222610262806985</v>
      </c>
      <c r="V178" s="24">
        <v>0.66500000000000004</v>
      </c>
      <c r="W178" s="20">
        <f t="shared" si="7"/>
        <v>0.21836027798515367</v>
      </c>
      <c r="X178" s="20">
        <f t="shared" si="8"/>
        <v>4.722610262806981E-2</v>
      </c>
    </row>
    <row r="179" spans="1:24" x14ac:dyDescent="0.2">
      <c r="A179" s="19" t="s">
        <v>78</v>
      </c>
      <c r="B179" s="19" t="s">
        <v>33</v>
      </c>
      <c r="C179" s="20">
        <f t="shared" si="6"/>
        <v>-0.42068146923305594</v>
      </c>
      <c r="D179" s="20">
        <v>-1004.83208</v>
      </c>
      <c r="E179" s="20">
        <v>-1006.0552300000001</v>
      </c>
      <c r="F179" s="20">
        <v>-1004.8841035559</v>
      </c>
      <c r="G179" s="20">
        <v>-1006.1320720828001</v>
      </c>
      <c r="H179" s="20">
        <v>-1004.4474898351</v>
      </c>
      <c r="I179" s="20">
        <v>-1004.551771515</v>
      </c>
      <c r="J179" s="20">
        <v>-1005.6940694723</v>
      </c>
      <c r="K179" s="20">
        <v>-1005.7971481935</v>
      </c>
      <c r="L179" s="20">
        <v>-1004.8865954766</v>
      </c>
      <c r="M179" s="20">
        <v>-1006.1325155068999</v>
      </c>
      <c r="N179" s="20">
        <f>(M179-L179)/2*27.211324570273</f>
        <v>-16.95156716654882</v>
      </c>
      <c r="O179" s="20">
        <f>(E179-G179-D179+F179)/2*27.211324570273</f>
        <v>0.33767249541663841</v>
      </c>
      <c r="P179" s="20">
        <f>(K179-J179-I179+H179)/2*27.211324570273</f>
        <v>1.6367049816598526E-2</v>
      </c>
      <c r="Q179" s="21">
        <f>(E179+K179-J179-D179-I179+H179-2*C179)*27.211324570273</f>
        <v>-10.356197548497104</v>
      </c>
      <c r="R179" s="21">
        <f>(M179+E179-G179+K179-J179-L179-D179+F179-I179+H179-2*C179)*27.211324570273</f>
        <v>-10.300455242634259</v>
      </c>
      <c r="S179" s="20">
        <v>4.4400000000000004</v>
      </c>
      <c r="T179" s="21">
        <f>-Q179/2-S179</f>
        <v>0.73809877424855141</v>
      </c>
      <c r="U179" s="21">
        <f>-R179/2-S179</f>
        <v>0.71022762131712902</v>
      </c>
      <c r="V179" s="24">
        <v>0.66500000000000004</v>
      </c>
      <c r="W179" s="20">
        <f t="shared" si="7"/>
        <v>7.3098774248551379E-2</v>
      </c>
      <c r="X179" s="20">
        <f t="shared" si="8"/>
        <v>4.5227621317128985E-2</v>
      </c>
    </row>
    <row r="180" spans="1:24" ht="15" customHeight="1" x14ac:dyDescent="0.2">
      <c r="A180" s="19" t="s">
        <v>78</v>
      </c>
      <c r="B180" s="19" t="s">
        <v>42</v>
      </c>
      <c r="C180" s="20">
        <f t="shared" si="6"/>
        <v>-0.42068146923305594</v>
      </c>
      <c r="D180" s="20">
        <v>-1004.83468</v>
      </c>
      <c r="E180" s="20">
        <v>-1006.05618</v>
      </c>
      <c r="F180" s="20">
        <v>-1004.8870828467</v>
      </c>
      <c r="G180" s="20">
        <v>-1006.1331004139</v>
      </c>
      <c r="H180" s="20">
        <v>-1004.4475052729</v>
      </c>
      <c r="I180" s="20">
        <v>-1004.5519508193</v>
      </c>
      <c r="J180" s="20">
        <v>-1005.6940608208999</v>
      </c>
      <c r="K180" s="20">
        <v>-1005.797149556</v>
      </c>
      <c r="L180" s="20">
        <v>-1004.8865988199</v>
      </c>
      <c r="M180" s="20">
        <v>-1006.1325161082</v>
      </c>
      <c r="N180" s="20">
        <f>(M180-L180)/2*27.211324570273</f>
        <v>-16.951529859822937</v>
      </c>
      <c r="O180" s="20">
        <f>(E180-G180-D180+F180)/2*27.211324570273</f>
        <v>0.33357773937721252</v>
      </c>
      <c r="P180" s="20">
        <f>(K180-J180-I180+H180)/2*27.211324570273</f>
        <v>1.8460316331864662E-2</v>
      </c>
      <c r="Q180" s="21">
        <f>(E180+K180-J180-D180-I180+H180-2*C180)*27.211324570273</f>
        <v>-10.307112329924516</v>
      </c>
      <c r="R180" s="21">
        <f>(M180+E180-G180+K180-J180-L180-D180+F180-I180+H180-2*C180)*27.211324570273</f>
        <v>-10.304383608224628</v>
      </c>
      <c r="S180" s="20">
        <v>4.4400000000000004</v>
      </c>
      <c r="T180" s="21">
        <f>-Q180/2-S180</f>
        <v>0.71355616496225771</v>
      </c>
      <c r="U180" s="21">
        <f>-R180/2-S180</f>
        <v>0.71219180411231342</v>
      </c>
      <c r="V180" s="24">
        <v>0.66500000000000004</v>
      </c>
      <c r="W180" s="20">
        <f t="shared" si="7"/>
        <v>4.8556164962257675E-2</v>
      </c>
      <c r="X180" s="20">
        <f t="shared" si="8"/>
        <v>4.7191804112313385E-2</v>
      </c>
    </row>
    <row r="181" spans="1:24" ht="15" customHeight="1" x14ac:dyDescent="0.2">
      <c r="A181" s="19" t="s">
        <v>78</v>
      </c>
      <c r="B181" s="19" t="s">
        <v>43</v>
      </c>
      <c r="C181" s="20">
        <f t="shared" si="6"/>
        <v>-0.42068146923305594</v>
      </c>
      <c r="D181" s="20">
        <v>-1004.3748900000001</v>
      </c>
      <c r="E181" s="20">
        <v>-1005.6088999999999</v>
      </c>
      <c r="F181" s="20">
        <v>-1004.4268834905999</v>
      </c>
      <c r="G181" s="20">
        <v>-1005.6852618403</v>
      </c>
      <c r="H181" s="20">
        <v>-1004.4485461857</v>
      </c>
      <c r="I181" s="20">
        <v>-1004.553757708</v>
      </c>
      <c r="J181" s="20">
        <v>-1005.694997515</v>
      </c>
      <c r="K181" s="20">
        <v>-1005.7988226264</v>
      </c>
      <c r="L181" s="20">
        <v>-1003.70755716108</v>
      </c>
      <c r="M181" s="20">
        <v>-1004.96299733255</v>
      </c>
      <c r="N181" s="20">
        <f>(M181-L181)/2*27.211324570273</f>
        <v>-17.081094992214862</v>
      </c>
      <c r="O181" s="20">
        <f>(E181-G181-D181+F181)/2*27.211324570273</f>
        <v>0.33154753646601748</v>
      </c>
      <c r="P181" s="20">
        <f>(K181-J181-I181+H181)/2*27.211324570273</f>
        <v>1.8863038493208622E-2</v>
      </c>
      <c r="Q181" s="21">
        <f>(E181+K181-J181-D181-I181+H181-2*C181)*27.211324570273</f>
        <v>-10.646720555970308</v>
      </c>
      <c r="R181" s="21">
        <f>(M181+E181-G181+K181-J181-L181-D181+F181-I181+H181-2*C181)*27.211324570273</f>
        <v>-10.566768834508178</v>
      </c>
      <c r="S181" s="20">
        <v>4.4400000000000004</v>
      </c>
      <c r="T181" s="21">
        <f>-Q181/2-S181</f>
        <v>0.88336027798515371</v>
      </c>
      <c r="U181" s="21">
        <f>-R181/2-S181</f>
        <v>0.84338441725408853</v>
      </c>
      <c r="V181" s="24">
        <v>0.66500000000000004</v>
      </c>
      <c r="W181" s="20">
        <f t="shared" si="7"/>
        <v>0.21836027798515367</v>
      </c>
      <c r="X181" s="20">
        <f t="shared" si="8"/>
        <v>0.17838441725408849</v>
      </c>
    </row>
    <row r="182" spans="1:24" x14ac:dyDescent="0.2">
      <c r="A182" s="19" t="s">
        <v>79</v>
      </c>
      <c r="B182" s="19" t="s">
        <v>27</v>
      </c>
      <c r="C182" s="20">
        <f t="shared" si="6"/>
        <v>-0.42068146923305594</v>
      </c>
      <c r="D182" s="20">
        <f>-381.15152</f>
        <v>-381.15152</v>
      </c>
      <c r="E182" s="20">
        <v>-382.38932</v>
      </c>
      <c r="F182" s="20">
        <v>-381.20637754770001</v>
      </c>
      <c r="G182" s="20">
        <v>-382.4684295239</v>
      </c>
      <c r="H182" s="20">
        <v>-381.27604860100001</v>
      </c>
      <c r="I182" s="20">
        <v>-381.28767176389999</v>
      </c>
      <c r="J182" s="20">
        <v>-382.51966604860002</v>
      </c>
      <c r="K182" s="20">
        <v>-382.53357555090003</v>
      </c>
      <c r="L182" s="20">
        <v>-381.6151139415</v>
      </c>
      <c r="M182" s="20">
        <v>-382.87509286480002</v>
      </c>
      <c r="N182" s="20">
        <f>(M182-L182)/2*27.211324570273</f>
        <v>-17.142847716810046</v>
      </c>
      <c r="O182" s="20">
        <f>(E182-G182-D182+F182)/2*27.211324570273</f>
        <v>0.3299641979242528</v>
      </c>
      <c r="P182" s="20">
        <f>(K182-J182-I182+H182)/2*27.211324570273</f>
        <v>-3.1107161746004978E-2</v>
      </c>
      <c r="Q182" s="21">
        <f>(E182+K182-J182-D182-I182+H182-2*C182)*27.211324570273</f>
        <v>-10.849791876574189</v>
      </c>
      <c r="R182" s="21">
        <f>(M182+E182-G182+K182-J182-L182-D182+F182-I182+H182-2*C182)*27.211324570273</f>
        <v>-10.793381361266691</v>
      </c>
      <c r="S182" s="20">
        <v>4.4400000000000004</v>
      </c>
      <c r="T182" s="21">
        <f>-Q182/2-S182</f>
        <v>0.9848959382870941</v>
      </c>
      <c r="U182" s="21">
        <f>-R182/2-S182</f>
        <v>0.95669068063334528</v>
      </c>
      <c r="V182" s="24">
        <v>0.78300000000000003</v>
      </c>
      <c r="W182" s="20">
        <f t="shared" si="7"/>
        <v>0.20189593828709407</v>
      </c>
      <c r="X182" s="20">
        <f t="shared" si="8"/>
        <v>0.17369068063334525</v>
      </c>
    </row>
    <row r="183" spans="1:24" x14ac:dyDescent="0.2">
      <c r="A183" s="19" t="s">
        <v>79</v>
      </c>
      <c r="B183" s="19" t="s">
        <v>145</v>
      </c>
      <c r="C183" s="20">
        <f t="shared" si="6"/>
        <v>-0.42068146923305594</v>
      </c>
      <c r="D183" s="20">
        <v>-380.96319</v>
      </c>
      <c r="E183" s="20">
        <v>-382.19916999999998</v>
      </c>
      <c r="F183" s="20">
        <v>-381.01891421959999</v>
      </c>
      <c r="G183" s="20">
        <v>-382.27922658279999</v>
      </c>
      <c r="H183" s="20">
        <v>-381.27625957629999</v>
      </c>
      <c r="I183" s="20">
        <v>-381.28748369779998</v>
      </c>
      <c r="J183" s="20">
        <v>-382.51980485519999</v>
      </c>
      <c r="K183" s="20">
        <v>-382.53350852429998</v>
      </c>
      <c r="L183" s="20">
        <v>-381.43398775870003</v>
      </c>
      <c r="M183" s="20">
        <v>-382.69344806010002</v>
      </c>
      <c r="N183" s="20">
        <f>(M183-L183)/2*27.211324570273</f>
        <v>-17.13579152238459</v>
      </c>
      <c r="O183" s="20">
        <f>(E183-G183-D183+F183)/2*27.211324570273</f>
        <v>0.33105791629871417</v>
      </c>
      <c r="P183" s="20">
        <f>(K183-J183-I183+H183)/2*27.211324570273</f>
        <v>-3.3735887265377504E-2</v>
      </c>
      <c r="Q183" s="21">
        <f>(E183+K183-J183-D183-I183+H183-2*C183)*27.211324570273</f>
        <v>-10.805524716894785</v>
      </c>
      <c r="R183" s="21">
        <f>(M183+E183-G183+K183-J183-L183-D183+F183-I183+H183-2*C183)*27.211324570273</f>
        <v>-10.782338986702507</v>
      </c>
      <c r="S183" s="20">
        <v>4.4400000000000004</v>
      </c>
      <c r="T183" s="21">
        <f>-Q183/2-S183</f>
        <v>0.96276235844739233</v>
      </c>
      <c r="U183" s="21">
        <f>-R183/2-S183</f>
        <v>0.95116949335125334</v>
      </c>
      <c r="V183" s="24">
        <v>0.78300000000000003</v>
      </c>
      <c r="W183" s="20">
        <f t="shared" si="7"/>
        <v>0.1797623584473923</v>
      </c>
      <c r="X183" s="20">
        <f t="shared" si="8"/>
        <v>0.16816949335125331</v>
      </c>
    </row>
    <row r="184" spans="1:24" x14ac:dyDescent="0.2">
      <c r="A184" s="19" t="s">
        <v>79</v>
      </c>
      <c r="B184" s="19" t="s">
        <v>29</v>
      </c>
      <c r="C184" s="20">
        <f t="shared" si="6"/>
        <v>-0.42068146923305594</v>
      </c>
      <c r="D184" s="20">
        <v>-381.25473</v>
      </c>
      <c r="E184" s="20">
        <v>-382.49664999999999</v>
      </c>
      <c r="F184" s="20">
        <v>-381.31065705089998</v>
      </c>
      <c r="G184" s="20">
        <v>-382.57673864079999</v>
      </c>
      <c r="H184" s="20">
        <v>-381.27622253710001</v>
      </c>
      <c r="I184" s="20">
        <v>-381.28754433339998</v>
      </c>
      <c r="J184" s="20">
        <v>-382.51970989739999</v>
      </c>
      <c r="K184" s="20">
        <v>-382.5335647352</v>
      </c>
      <c r="L184" s="20">
        <v>-381.71401470810002</v>
      </c>
      <c r="M184" s="20">
        <v>-382.97840470839998</v>
      </c>
      <c r="N184" s="20">
        <f>(M184-L184)/2*27.211324570273</f>
        <v>-17.202863340784816</v>
      </c>
      <c r="O184" s="20">
        <f>(E184-G184-D184+F184)/2*27.211324570273</f>
        <v>0.32873443245161049</v>
      </c>
      <c r="P184" s="20">
        <f>(K184-J184-I184+H184)/2*27.211324570273</f>
        <v>-3.4463707203833752E-2</v>
      </c>
      <c r="Q184" s="21">
        <f>(E184+K184-J184-D184-I184+H184-2*C184)*27.211324570273</f>
        <v>-10.96861562471938</v>
      </c>
      <c r="R184" s="21">
        <f>(M184+E184-G184+K184-J184-L184-D184+F184-I184+H184-2*C184)*27.211324570273</f>
        <v>-10.922585231072535</v>
      </c>
      <c r="S184" s="20">
        <v>4.4400000000000004</v>
      </c>
      <c r="T184" s="21">
        <f>-Q184/2-S184</f>
        <v>1.0443078123596896</v>
      </c>
      <c r="U184" s="21">
        <f>-R184/2-S184</f>
        <v>1.0212926155362672</v>
      </c>
      <c r="V184" s="24">
        <v>0.78300000000000003</v>
      </c>
      <c r="W184" s="20">
        <f t="shared" si="7"/>
        <v>0.26130781235968958</v>
      </c>
      <c r="X184" s="20">
        <f t="shared" si="8"/>
        <v>0.23829261553626713</v>
      </c>
    </row>
    <row r="185" spans="1:24" x14ac:dyDescent="0.2">
      <c r="A185" s="19" t="s">
        <v>79</v>
      </c>
      <c r="B185" s="19" t="s">
        <v>30</v>
      </c>
      <c r="C185" s="20">
        <f t="shared" si="6"/>
        <v>-0.42068146923305594</v>
      </c>
      <c r="D185" s="20">
        <v>-381.23430000000002</v>
      </c>
      <c r="E185" s="20">
        <v>-382.46669000000003</v>
      </c>
      <c r="F185" s="20">
        <v>-381.28979846430002</v>
      </c>
      <c r="G185" s="20">
        <v>-382.54636013309999</v>
      </c>
      <c r="H185" s="20">
        <v>-381.27633241469999</v>
      </c>
      <c r="I185" s="20">
        <v>-381.28764362769999</v>
      </c>
      <c r="J185" s="20">
        <v>-382.51986449359998</v>
      </c>
      <c r="K185" s="20">
        <v>-382.53365290250002</v>
      </c>
      <c r="L185" s="20">
        <v>-381.70279567210002</v>
      </c>
      <c r="M185" s="20">
        <v>-382.9571179102</v>
      </c>
      <c r="N185" s="20">
        <f>(M185-L185)/2*27.211324570273</f>
        <v>-17.065884768324818</v>
      </c>
      <c r="O185" s="20">
        <f>(E185-G185-D185+F185)/2*27.211324570273</f>
        <v>0.32887156256050226</v>
      </c>
      <c r="P185" s="20">
        <f>(K185-J185-I185+H185)/2*27.211324570273</f>
        <v>-3.3703890830093571E-2</v>
      </c>
      <c r="Q185" s="21">
        <f>(E185+K185-J185-D185-I185+H185-2*C185)*27.211324570273</f>
        <v>-10.707772068819185</v>
      </c>
      <c r="R185" s="21">
        <f>(M185+E185-G185+K185-J185-L185-D185+F185-I185+H185-2*C185)*27.211324570273</f>
        <v>-10.646834193188816</v>
      </c>
      <c r="S185" s="20">
        <v>4.4400000000000004</v>
      </c>
      <c r="T185" s="21">
        <f>-Q185/2-S185</f>
        <v>0.91388603440959226</v>
      </c>
      <c r="U185" s="21">
        <f>-R185/2-S185</f>
        <v>0.8834170965944077</v>
      </c>
      <c r="V185" s="24">
        <v>0.78300000000000003</v>
      </c>
      <c r="W185" s="20">
        <f t="shared" si="7"/>
        <v>0.13088603440959223</v>
      </c>
      <c r="X185" s="20">
        <f t="shared" si="8"/>
        <v>0.10041709659440767</v>
      </c>
    </row>
    <row r="186" spans="1:24" x14ac:dyDescent="0.2">
      <c r="A186" s="19" t="s">
        <v>79</v>
      </c>
      <c r="B186" s="19" t="s">
        <v>31</v>
      </c>
      <c r="C186" s="20">
        <f t="shared" si="6"/>
        <v>-0.42068146923305594</v>
      </c>
      <c r="D186" s="20">
        <v>-381.25473</v>
      </c>
      <c r="E186" s="20">
        <v>-382.49664999999999</v>
      </c>
      <c r="F186" s="20">
        <v>-381.31065705089998</v>
      </c>
      <c r="G186" s="20">
        <v>-382.57673864079999</v>
      </c>
      <c r="H186" s="20">
        <v>-381.27622253710001</v>
      </c>
      <c r="I186" s="20">
        <v>-381.28754433339998</v>
      </c>
      <c r="J186" s="20">
        <v>-382.51970989739999</v>
      </c>
      <c r="K186" s="20">
        <v>-382.5335647352</v>
      </c>
      <c r="L186" s="20">
        <v>-381.47188503609999</v>
      </c>
      <c r="M186" s="20">
        <v>-382.72848629499998</v>
      </c>
      <c r="N186" s="20">
        <f>(M186-L186)/2*27.211324570273</f>
        <v>-17.096892355670654</v>
      </c>
      <c r="O186" s="20">
        <f>(E186-G186-D186+F186)/2*27.211324570273</f>
        <v>0.32873443245161049</v>
      </c>
      <c r="P186" s="20">
        <f>(K186-J186-I186+H186)/2*27.211324570273</f>
        <v>-3.4463707203833752E-2</v>
      </c>
      <c r="Q186" s="21">
        <f>(E186+K186-J186-D186-I186+H186-2*C186)*27.211324570273</f>
        <v>-10.96861562471938</v>
      </c>
      <c r="R186" s="21">
        <f>(M186+E186-G186+K186-J186-L186-D186+F186-I186+H186-2*C186)*27.211324570273</f>
        <v>-10.710643260847304</v>
      </c>
      <c r="S186" s="20">
        <v>4.4400000000000004</v>
      </c>
      <c r="T186" s="21">
        <f>-Q186/2-S186</f>
        <v>1.0443078123596896</v>
      </c>
      <c r="U186" s="21">
        <f>-R186/2-S186</f>
        <v>0.91532163042365156</v>
      </c>
      <c r="V186" s="24">
        <v>0.78300000000000003</v>
      </c>
      <c r="W186" s="20">
        <f t="shared" si="7"/>
        <v>0.26130781235968958</v>
      </c>
      <c r="X186" s="20">
        <f t="shared" si="8"/>
        <v>0.13232163042365153</v>
      </c>
    </row>
    <row r="187" spans="1:24" x14ac:dyDescent="0.2">
      <c r="A187" s="19" t="s">
        <v>79</v>
      </c>
      <c r="B187" s="19" t="s">
        <v>32</v>
      </c>
      <c r="C187" s="20">
        <f t="shared" si="6"/>
        <v>-0.42068146923305594</v>
      </c>
      <c r="D187" s="20">
        <v>-381.23430000000002</v>
      </c>
      <c r="E187" s="20">
        <v>-382.46669000000003</v>
      </c>
      <c r="F187" s="20">
        <v>-381.28979846430002</v>
      </c>
      <c r="G187" s="20">
        <v>-382.54636013309999</v>
      </c>
      <c r="H187" s="20">
        <v>-381.27633241469999</v>
      </c>
      <c r="I187" s="20">
        <v>-381.28764362769999</v>
      </c>
      <c r="J187" s="20">
        <v>-382.51986449359998</v>
      </c>
      <c r="K187" s="20">
        <v>-382.53365290250002</v>
      </c>
      <c r="L187" s="20">
        <v>-381.4676017415</v>
      </c>
      <c r="M187" s="20">
        <v>-382.71409404309998</v>
      </c>
      <c r="N187" s="20">
        <f>(M187-L187)/2*27.211324570273</f>
        <v>-16.959353296591726</v>
      </c>
      <c r="O187" s="20">
        <f>(E187-G187-D187+F187)/2*27.211324570273</f>
        <v>0.32887156256050226</v>
      </c>
      <c r="P187" s="20">
        <f>(K187-J187-I187+H187)/2*27.211324570273</f>
        <v>-3.3703890830093571E-2</v>
      </c>
      <c r="Q187" s="21">
        <f>(E187+K187-J187-D187-I187+H187-2*C187)*27.211324570273</f>
        <v>-10.707772068819185</v>
      </c>
      <c r="R187" s="21">
        <f>(M187+E187-G187+K187-J187-L187-D187+F187-I187+H187-2*C187)*27.211324570273</f>
        <v>-10.433771249721085</v>
      </c>
      <c r="S187" s="20">
        <v>4.4400000000000004</v>
      </c>
      <c r="T187" s="21">
        <f>-Q187/2-S187</f>
        <v>0.91388603440959226</v>
      </c>
      <c r="U187" s="21">
        <f>-R187/2-S187</f>
        <v>0.77688562486054202</v>
      </c>
      <c r="V187" s="24">
        <v>0.78300000000000003</v>
      </c>
      <c r="W187" s="20">
        <f t="shared" si="7"/>
        <v>0.13088603440959223</v>
      </c>
      <c r="X187" s="20">
        <f t="shared" si="8"/>
        <v>6.1143751394580059E-3</v>
      </c>
    </row>
    <row r="188" spans="1:24" x14ac:dyDescent="0.2">
      <c r="A188" s="19" t="s">
        <v>79</v>
      </c>
      <c r="B188" s="19" t="s">
        <v>33</v>
      </c>
      <c r="C188" s="20">
        <f t="shared" si="6"/>
        <v>-0.42068146923305594</v>
      </c>
      <c r="D188" s="20">
        <v>-381.41318000000001</v>
      </c>
      <c r="E188" s="20">
        <v>-382.63583999999997</v>
      </c>
      <c r="F188" s="20">
        <v>-381.46854169009998</v>
      </c>
      <c r="G188" s="20">
        <v>-382.71481914959998</v>
      </c>
      <c r="H188" s="20">
        <v>-381.27618799189997</v>
      </c>
      <c r="I188" s="20">
        <v>-381.28750698210001</v>
      </c>
      <c r="J188" s="20">
        <v>-382.5197732739</v>
      </c>
      <c r="K188" s="20">
        <v>-382.53350489590002</v>
      </c>
      <c r="L188" s="20">
        <v>-381.46796543750003</v>
      </c>
      <c r="M188" s="20">
        <v>-382.7145246856</v>
      </c>
      <c r="N188" s="20">
        <f>(M188-L188)/2*27.211324570273</f>
        <v>-16.960264148061878</v>
      </c>
      <c r="O188" s="20">
        <f>(E188-G188-D188+F188)/2*27.211324570273</f>
        <v>0.3213311779903063</v>
      </c>
      <c r="P188" s="20">
        <f>(K188-J188-I188+H188)/2*27.211324570273</f>
        <v>-3.2825453488968884E-2</v>
      </c>
      <c r="Q188" s="21">
        <f>(E188+K188-J188-D188-I188+H188-2*C188)*27.211324570273</f>
        <v>-10.441249006065346</v>
      </c>
      <c r="R188" s="21">
        <f>(M188+E188-G188+K188-J188-L188-D188+F188-I188+H188-2*C188)*27.211324570273</f>
        <v>-10.448916847121083</v>
      </c>
      <c r="S188" s="20">
        <v>4.4400000000000004</v>
      </c>
      <c r="T188" s="21">
        <f>-Q188/2-S188</f>
        <v>0.78062450303267283</v>
      </c>
      <c r="U188" s="21">
        <f>-R188/2-S188</f>
        <v>0.78445842356054118</v>
      </c>
      <c r="V188" s="24">
        <v>0.78300000000000003</v>
      </c>
      <c r="W188" s="20">
        <f t="shared" si="7"/>
        <v>2.3754969673271953E-3</v>
      </c>
      <c r="X188" s="20">
        <f t="shared" si="8"/>
        <v>1.4584235605411555E-3</v>
      </c>
    </row>
    <row r="189" spans="1:24" ht="15" customHeight="1" x14ac:dyDescent="0.2">
      <c r="A189" s="19" t="s">
        <v>79</v>
      </c>
      <c r="B189" s="19" t="s">
        <v>42</v>
      </c>
      <c r="C189" s="20">
        <f t="shared" si="6"/>
        <v>-0.42068146923305594</v>
      </c>
      <c r="D189" s="20">
        <v>-381.41327000000001</v>
      </c>
      <c r="E189" s="20">
        <v>-382.63583</v>
      </c>
      <c r="F189" s="20">
        <v>-381.46816310870003</v>
      </c>
      <c r="G189" s="20">
        <v>-382.71480424319998</v>
      </c>
      <c r="H189" s="20">
        <v>-381.27616919209999</v>
      </c>
      <c r="I189" s="20">
        <v>-381.28748089139998</v>
      </c>
      <c r="J189" s="20">
        <v>-382.51977674990002</v>
      </c>
      <c r="K189" s="20">
        <v>-382.53350558</v>
      </c>
      <c r="L189" s="20">
        <v>-381.46796501059998</v>
      </c>
      <c r="M189" s="20">
        <v>-382.71452482950002</v>
      </c>
      <c r="N189" s="20">
        <f>(M189-L189)/2*27.211324570273</f>
        <v>-16.960271914174843</v>
      </c>
      <c r="O189" s="20">
        <f>(E189-G189-D189+F189)/2*27.211324570273</f>
        <v>0.32763978344948175</v>
      </c>
      <c r="P189" s="20">
        <f>(K189-J189-I189+H189)/2*27.211324570273</f>
        <v>-3.2886665363579017E-2</v>
      </c>
      <c r="Q189" s="21">
        <f>(E189+K189-J189-D189-I189+H189-2*C189)*27.211324570273</f>
        <v>-10.438650297361315</v>
      </c>
      <c r="R189" s="21">
        <f>(M189+E189-G189+K189-J189-L189-D189+F189-I189+H189-2*C189)*27.211324570273</f>
        <v>-10.436437592177883</v>
      </c>
      <c r="S189" s="20">
        <v>4.4400000000000004</v>
      </c>
      <c r="T189" s="21">
        <f>-Q189/2-S189</f>
        <v>0.77932514868065716</v>
      </c>
      <c r="U189" s="21">
        <f>-R189/2-S189</f>
        <v>0.77821879608894129</v>
      </c>
      <c r="V189" s="24">
        <v>0.78300000000000003</v>
      </c>
      <c r="W189" s="20">
        <f t="shared" si="7"/>
        <v>3.6748513193428645E-3</v>
      </c>
      <c r="X189" s="20">
        <f t="shared" si="8"/>
        <v>4.7812039110587401E-3</v>
      </c>
    </row>
    <row r="190" spans="1:24" ht="15" customHeight="1" x14ac:dyDescent="0.2">
      <c r="A190" s="19" t="s">
        <v>79</v>
      </c>
      <c r="B190" s="19" t="s">
        <v>43</v>
      </c>
      <c r="C190" s="20">
        <f t="shared" si="6"/>
        <v>-0.42068146923305594</v>
      </c>
      <c r="D190" s="20">
        <v>-381.23430000000002</v>
      </c>
      <c r="E190" s="20">
        <v>-382.46669000000003</v>
      </c>
      <c r="F190" s="20">
        <v>-381.28979846430002</v>
      </c>
      <c r="G190" s="20">
        <v>-382.54636013309999</v>
      </c>
      <c r="H190" s="20">
        <v>-381.27633241469999</v>
      </c>
      <c r="I190" s="20">
        <v>-381.28764362769999</v>
      </c>
      <c r="J190" s="20">
        <v>-382.51986449359998</v>
      </c>
      <c r="K190" s="20">
        <v>-382.53365290250002</v>
      </c>
      <c r="L190" s="20">
        <v>-380.95433985776901</v>
      </c>
      <c r="M190" s="20">
        <v>-382.21070710833902</v>
      </c>
      <c r="N190" s="20">
        <f>(M190-L190)/2*27.211324570273</f>
        <v>-17.093708517361001</v>
      </c>
      <c r="O190" s="20">
        <f>(E190-G190-D190+F190)/2*27.211324570273</f>
        <v>0.32887156256050226</v>
      </c>
      <c r="P190" s="20">
        <f>(K190-J190-I190+H190)/2*27.211324570273</f>
        <v>-3.3703890830093571E-2</v>
      </c>
      <c r="Q190" s="21">
        <f>(E190+K190-J190-D190-I190+H190-2*C190)*27.211324570273</f>
        <v>-10.707772068819185</v>
      </c>
      <c r="R190" s="21">
        <f>(M190+E190-G190+K190-J190-L190-D190+F190-I190+H190-2*C190)*27.211324570273</f>
        <v>-10.702481691261184</v>
      </c>
      <c r="S190" s="20">
        <v>4.4400000000000004</v>
      </c>
      <c r="T190" s="21">
        <f>-Q190/2-S190</f>
        <v>0.91388603440959226</v>
      </c>
      <c r="U190" s="21">
        <f>-R190/2-S190</f>
        <v>0.9112408456305916</v>
      </c>
      <c r="V190" s="24">
        <v>0.78300000000000003</v>
      </c>
      <c r="W190" s="20">
        <f t="shared" si="7"/>
        <v>0.13088603440959223</v>
      </c>
      <c r="X190" s="20">
        <f t="shared" si="8"/>
        <v>0.12824084563059157</v>
      </c>
    </row>
    <row r="191" spans="1:24" x14ac:dyDescent="0.2">
      <c r="A191" s="19" t="s">
        <v>80</v>
      </c>
      <c r="B191" s="19" t="s">
        <v>27</v>
      </c>
      <c r="C191" s="20">
        <f t="shared" si="6"/>
        <v>-0.42068146923305594</v>
      </c>
      <c r="D191" s="20">
        <f>-381.16277</f>
        <v>-381.16277000000002</v>
      </c>
      <c r="E191" s="20">
        <v>-382.38560000000001</v>
      </c>
      <c r="F191" s="20">
        <v>-381.2187405025</v>
      </c>
      <c r="G191" s="20">
        <v>-382.46444791160002</v>
      </c>
      <c r="H191" s="20">
        <v>-381.28692801829999</v>
      </c>
      <c r="I191" s="20">
        <v>-381.29590552759998</v>
      </c>
      <c r="J191" s="20">
        <v>-382.5154449437</v>
      </c>
      <c r="K191" s="20">
        <v>-382.5334184715</v>
      </c>
      <c r="L191" s="20">
        <v>-381.627729289</v>
      </c>
      <c r="M191" s="20">
        <v>-382.87156012409997</v>
      </c>
      <c r="N191" s="20">
        <f>(M191-L191)/2*27.211324570273</f>
        <v>-16.923142282209504</v>
      </c>
      <c r="O191" s="20">
        <f>(E191-G191-D191+F191)/2*27.211324570273</f>
        <v>0.3112623021739605</v>
      </c>
      <c r="P191" s="20">
        <f>(K191-J191-I191+H191)/2*27.211324570273</f>
        <v>-0.12239678962183392</v>
      </c>
      <c r="Q191" s="21">
        <f>(E191+K191-J191-D191-I191+H191-2*C191)*27.211324570273</f>
        <v>-10.625017603511811</v>
      </c>
      <c r="R191" s="21">
        <f>(M191+E191-G191+K191-J191-L191-D191+F191-I191+H191-2*C191)*27.211324570273</f>
        <v>-10.573953539314758</v>
      </c>
      <c r="S191" s="20">
        <v>4.4400000000000004</v>
      </c>
      <c r="T191" s="21">
        <f>-Q191/2-S191</f>
        <v>0.87250880175590506</v>
      </c>
      <c r="U191" s="21">
        <f>-R191/2-S191</f>
        <v>0.84697676965737845</v>
      </c>
      <c r="V191" s="24">
        <v>0.66900000000000004</v>
      </c>
      <c r="W191" s="20">
        <f t="shared" si="7"/>
        <v>0.20350880175590502</v>
      </c>
      <c r="X191" s="20">
        <f t="shared" si="8"/>
        <v>0.17797676965737841</v>
      </c>
    </row>
    <row r="192" spans="1:24" x14ac:dyDescent="0.2">
      <c r="A192" s="19" t="s">
        <v>80</v>
      </c>
      <c r="B192" s="19" t="s">
        <v>145</v>
      </c>
      <c r="C192" s="20">
        <f t="shared" si="6"/>
        <v>-0.42068146923305594</v>
      </c>
      <c r="D192" s="20">
        <v>-380.97429</v>
      </c>
      <c r="E192" s="20">
        <v>-382.19508000000002</v>
      </c>
      <c r="F192" s="20">
        <v>-381.03099917079999</v>
      </c>
      <c r="G192" s="20">
        <v>-382.27475552430002</v>
      </c>
      <c r="H192" s="20">
        <v>-381.2871541655</v>
      </c>
      <c r="I192" s="20">
        <v>-381.295732364</v>
      </c>
      <c r="J192" s="20">
        <v>-382.51559102149997</v>
      </c>
      <c r="K192" s="20">
        <v>-382.5333217333</v>
      </c>
      <c r="L192" s="20">
        <v>-381.44652139879997</v>
      </c>
      <c r="M192" s="20">
        <v>-382.68949830169998</v>
      </c>
      <c r="N192" s="20">
        <f>(M192-L192)/2*27.211324570273</f>
        <v>-16.911523969082456</v>
      </c>
      <c r="O192" s="20">
        <f>(E192-G192-D192+F192)/2*27.211324570273</f>
        <v>0.31247244964219834</v>
      </c>
      <c r="P192" s="20">
        <f>(K192-J192-I192+H192)/2*27.211324570273</f>
        <v>-0.12452600502033588</v>
      </c>
      <c r="Q192" s="21">
        <f>(E192+K192-J192-D192-I192+H192-2*C192)*27.211324570273</f>
        <v>-10.573764932183305</v>
      </c>
      <c r="R192" s="21">
        <f>(M192+E192-G192+K192-J192-L192-D192+F192-I192+H192-2*C192)*27.211324570273</f>
        <v>-10.552555048922736</v>
      </c>
      <c r="S192" s="20">
        <v>4.4400000000000004</v>
      </c>
      <c r="T192" s="21">
        <f>-Q192/2-S192</f>
        <v>0.8468824660916523</v>
      </c>
      <c r="U192" s="21">
        <f>-R192/2-S192</f>
        <v>0.83627752446136761</v>
      </c>
      <c r="V192" s="24">
        <v>0.66900000000000004</v>
      </c>
      <c r="W192" s="20">
        <f t="shared" si="7"/>
        <v>0.17788246609165226</v>
      </c>
      <c r="X192" s="20">
        <f t="shared" si="8"/>
        <v>0.16727752446136757</v>
      </c>
    </row>
    <row r="193" spans="1:24" x14ac:dyDescent="0.2">
      <c r="A193" s="19" t="s">
        <v>80</v>
      </c>
      <c r="B193" s="19" t="s">
        <v>29</v>
      </c>
      <c r="C193" s="20">
        <f t="shared" si="6"/>
        <v>-0.42068146923305594</v>
      </c>
      <c r="D193" s="20">
        <v>-381.26567999999997</v>
      </c>
      <c r="E193" s="20">
        <v>-382.49281000000002</v>
      </c>
      <c r="F193" s="20">
        <v>-381.32264057560002</v>
      </c>
      <c r="G193" s="20">
        <v>-382.57265800610003</v>
      </c>
      <c r="H193" s="20">
        <v>-381.28708558300002</v>
      </c>
      <c r="I193" s="20">
        <v>-381.29578468670002</v>
      </c>
      <c r="J193" s="20">
        <v>-382.51549052749999</v>
      </c>
      <c r="K193" s="20">
        <v>-382.53342358449999</v>
      </c>
      <c r="L193" s="20">
        <v>-381.72633988730001</v>
      </c>
      <c r="M193" s="20">
        <v>-382.97488790260002</v>
      </c>
      <c r="N193" s="20">
        <f>(M193-L193)/2*27.211324570273</f>
        <v>-16.987322642949273</v>
      </c>
      <c r="O193" s="20">
        <f>(E193-G193-D193+F193)/2*27.211324570273</f>
        <v>0.31139864995703698</v>
      </c>
      <c r="P193" s="20">
        <f>(K193-J193-I193+H193)/2*27.211324570273</f>
        <v>-0.12563405015648377</v>
      </c>
      <c r="Q193" s="21">
        <f>(E193+K193-J193-D193-I193+H193-2*C193)*27.211324570273</f>
        <v>-10.748500820233302</v>
      </c>
      <c r="R193" s="21">
        <f>(M193+E193-G193+K193-J193-L193-D193+F193-I193+H193-2*C193)*27.211324570273</f>
        <v>-10.708516086300536</v>
      </c>
      <c r="S193" s="20">
        <v>4.4400000000000004</v>
      </c>
      <c r="T193" s="21">
        <f>-Q193/2-S193</f>
        <v>0.93425041011665044</v>
      </c>
      <c r="U193" s="21">
        <f>-R193/2-S193</f>
        <v>0.9142580431502676</v>
      </c>
      <c r="V193" s="24">
        <v>0.66900000000000004</v>
      </c>
      <c r="W193" s="20">
        <f t="shared" si="7"/>
        <v>0.2652504101166504</v>
      </c>
      <c r="X193" s="20">
        <f t="shared" si="8"/>
        <v>0.24525804315026756</v>
      </c>
    </row>
    <row r="194" spans="1:24" x14ac:dyDescent="0.2">
      <c r="A194" s="19" t="s">
        <v>80</v>
      </c>
      <c r="B194" s="19" t="s">
        <v>30</v>
      </c>
      <c r="C194" s="20">
        <f t="shared" ref="C194:C253" si="9">-11.4473/27.211324570273</f>
        <v>-0.42068146923305594</v>
      </c>
      <c r="D194" s="20">
        <v>-381.24518999999998</v>
      </c>
      <c r="E194" s="20">
        <v>-382.46289999999999</v>
      </c>
      <c r="F194" s="20">
        <v>-381.3017118523</v>
      </c>
      <c r="G194" s="20">
        <v>-382.54229948519998</v>
      </c>
      <c r="H194" s="20">
        <v>-381.28720854279999</v>
      </c>
      <c r="I194" s="20">
        <v>-381.2958832265</v>
      </c>
      <c r="J194" s="20">
        <v>-382.51563372970003</v>
      </c>
      <c r="K194" s="20">
        <v>-382.53350556940001</v>
      </c>
      <c r="L194" s="20">
        <v>-381.71503593509999</v>
      </c>
      <c r="M194" s="20">
        <v>-382.95363190680001</v>
      </c>
      <c r="N194" s="20">
        <f>(M194-L194)/2*27.211324570273</f>
        <v>-16.851918498680984</v>
      </c>
      <c r="O194" s="20">
        <f>(E194-G194-D194+F194)/2*27.211324570273</f>
        <v>0.31126534712022347</v>
      </c>
      <c r="P194" s="20">
        <f>(K194-J194-I194+H194)/2*27.211324570273</f>
        <v>-0.12513339851931712</v>
      </c>
      <c r="Q194" s="21">
        <f>(E194+K194-J194-D194-I194+H194-2*C194)*27.211324570273</f>
        <v>-10.491168839504519</v>
      </c>
      <c r="R194" s="21">
        <f>(M194+E194-G194+K194-J194-L194-D194+F194-I194+H194-2*C194)*27.211324570273</f>
        <v>-10.436973100158607</v>
      </c>
      <c r="S194" s="20">
        <v>4.4400000000000004</v>
      </c>
      <c r="T194" s="21">
        <f>-Q194/2-S194</f>
        <v>0.80558441975225925</v>
      </c>
      <c r="U194" s="21">
        <f>-R194/2-S194</f>
        <v>0.77848655007930301</v>
      </c>
      <c r="V194" s="24">
        <v>0.66900000000000004</v>
      </c>
      <c r="W194" s="20">
        <f t="shared" si="7"/>
        <v>0.13658441975225921</v>
      </c>
      <c r="X194" s="20">
        <f t="shared" si="8"/>
        <v>0.10948655007930297</v>
      </c>
    </row>
    <row r="195" spans="1:24" x14ac:dyDescent="0.2">
      <c r="A195" s="19" t="s">
        <v>80</v>
      </c>
      <c r="B195" s="19" t="s">
        <v>31</v>
      </c>
      <c r="C195" s="20">
        <f t="shared" si="9"/>
        <v>-0.42068146923305594</v>
      </c>
      <c r="D195" s="20">
        <v>-381.26567999999997</v>
      </c>
      <c r="E195" s="20">
        <v>-382.49281000000002</v>
      </c>
      <c r="F195" s="20">
        <v>-381.32264057560002</v>
      </c>
      <c r="G195" s="20">
        <v>-382.57265800610003</v>
      </c>
      <c r="H195" s="20">
        <v>-381.28708558300002</v>
      </c>
      <c r="I195" s="20">
        <v>-381.29578468670002</v>
      </c>
      <c r="J195" s="20">
        <v>-382.51549052749999</v>
      </c>
      <c r="K195" s="20">
        <v>-382.53342358449999</v>
      </c>
      <c r="L195" s="20">
        <v>-381.48417405399999</v>
      </c>
      <c r="M195" s="20">
        <v>-382.72479013669999</v>
      </c>
      <c r="N195" s="20">
        <f>(M195-L195)/2*27.211324570273</f>
        <v>-16.879403446725185</v>
      </c>
      <c r="O195" s="20">
        <f>(E195-G195-D195+F195)/2*27.211324570273</f>
        <v>0.31139864995703698</v>
      </c>
      <c r="P195" s="20">
        <f>(K195-J195-I195+H195)/2*27.211324570273</f>
        <v>-0.12563405015648377</v>
      </c>
      <c r="Q195" s="21">
        <f>(E195+K195-J195-D195-I195+H195-2*C195)*27.211324570273</f>
        <v>-10.748500820233302</v>
      </c>
      <c r="R195" s="21">
        <f>(M195+E195-G195+K195-J195-L195-D195+F195-I195+H195-2*C195)*27.211324570273</f>
        <v>-10.492677693849265</v>
      </c>
      <c r="S195" s="20">
        <v>4.4400000000000004</v>
      </c>
      <c r="T195" s="21">
        <f>-Q195/2-S195</f>
        <v>0.93425041011665044</v>
      </c>
      <c r="U195" s="21">
        <f>-R195/2-S195</f>
        <v>0.80633884692463198</v>
      </c>
      <c r="V195" s="24">
        <v>0.66900000000000004</v>
      </c>
      <c r="W195" s="20">
        <f t="shared" ref="W195:W253" si="10">ABS(T195-V195)</f>
        <v>0.2652504101166504</v>
      </c>
      <c r="X195" s="20">
        <f t="shared" ref="X195:X253" si="11">ABS(U195-V195)</f>
        <v>0.13733884692463194</v>
      </c>
    </row>
    <row r="196" spans="1:24" x14ac:dyDescent="0.2">
      <c r="A196" s="19" t="s">
        <v>80</v>
      </c>
      <c r="B196" s="19" t="s">
        <v>32</v>
      </c>
      <c r="C196" s="20">
        <f t="shared" si="9"/>
        <v>-0.42068146923305594</v>
      </c>
      <c r="D196" s="20">
        <v>-381.24518999999998</v>
      </c>
      <c r="E196" s="20">
        <v>-382.46289999999999</v>
      </c>
      <c r="F196" s="20">
        <v>-381.3017118523</v>
      </c>
      <c r="G196" s="20">
        <v>-382.54229948519998</v>
      </c>
      <c r="H196" s="20">
        <v>-381.28720854279999</v>
      </c>
      <c r="I196" s="20">
        <v>-381.2958832265</v>
      </c>
      <c r="J196" s="20">
        <v>-382.51563372970003</v>
      </c>
      <c r="K196" s="20">
        <v>-382.53350556940001</v>
      </c>
      <c r="L196" s="20">
        <v>-381.47983114729999</v>
      </c>
      <c r="M196" s="20">
        <v>-382.71039675830002</v>
      </c>
      <c r="N196" s="20">
        <f>(M196-L196)/2*27.211324570273</f>
        <v>-16.742660122969081</v>
      </c>
      <c r="O196" s="20">
        <f>(E196-G196-D196+F196)/2*27.211324570273</f>
        <v>0.31126534712022347</v>
      </c>
      <c r="P196" s="20">
        <f>(K196-J196-I196+H196)/2*27.211324570273</f>
        <v>-0.12513339851931712</v>
      </c>
      <c r="Q196" s="21">
        <f>(E196+K196-J196-D196-I196+H196-2*C196)*27.211324570273</f>
        <v>-10.491168839504519</v>
      </c>
      <c r="R196" s="21">
        <f>(M196+E196-G196+K196-J196-L196-D196+F196-I196+H196-2*C196)*27.211324570273</f>
        <v>-10.218456348736348</v>
      </c>
      <c r="S196" s="20">
        <v>4.4400000000000004</v>
      </c>
      <c r="T196" s="21">
        <f>-Q196/2-S196</f>
        <v>0.80558441975225925</v>
      </c>
      <c r="U196" s="21">
        <f>-R196/2-S196</f>
        <v>0.66922817436817361</v>
      </c>
      <c r="V196" s="24">
        <v>0.66900000000000004</v>
      </c>
      <c r="W196" s="20">
        <f t="shared" si="10"/>
        <v>0.13658441975225921</v>
      </c>
      <c r="X196" s="20">
        <f t="shared" si="11"/>
        <v>2.2817436817357262E-4</v>
      </c>
    </row>
    <row r="197" spans="1:24" x14ac:dyDescent="0.2">
      <c r="A197" s="19" t="s">
        <v>80</v>
      </c>
      <c r="B197" s="19" t="s">
        <v>33</v>
      </c>
      <c r="C197" s="20">
        <f t="shared" si="9"/>
        <v>-0.42068146923305594</v>
      </c>
      <c r="D197" s="20">
        <v>-381.42437999999999</v>
      </c>
      <c r="E197" s="20">
        <v>-382.63209999999998</v>
      </c>
      <c r="F197" s="20">
        <v>-381.48064187889997</v>
      </c>
      <c r="G197" s="20">
        <v>-382.71110494729999</v>
      </c>
      <c r="H197" s="20">
        <v>-381.2870575778</v>
      </c>
      <c r="I197" s="20">
        <v>-381.29573135999999</v>
      </c>
      <c r="J197" s="20">
        <v>-382.51555292609999</v>
      </c>
      <c r="K197" s="20">
        <v>-382.53338546319998</v>
      </c>
      <c r="L197" s="20">
        <v>-381.48020815749999</v>
      </c>
      <c r="M197" s="20">
        <v>-382.71082893369999</v>
      </c>
      <c r="N197" s="20">
        <f>(M197-L197)/2*27.211324570273</f>
        <v>-16.743410682049724</v>
      </c>
      <c r="O197" s="20">
        <f>(E197-G197-D197+F197)/2*27.211324570273</f>
        <v>0.30943450797840832</v>
      </c>
      <c r="P197" s="20">
        <f>(K197-J197-I197+H197)/2*27.211324570273</f>
        <v>-0.12461092612173397</v>
      </c>
      <c r="Q197" s="21">
        <f>(E197+K197-J197-D197-I197+H197-2*C197)*27.211324570273</f>
        <v>-10.218282762253434</v>
      </c>
      <c r="R197" s="21">
        <f>(M197+E197-G197+K197-J197-L197-D197+F197-I197+H197-2*C197)*27.211324570273</f>
        <v>-10.222574200389195</v>
      </c>
      <c r="S197" s="20">
        <v>4.4400000000000004</v>
      </c>
      <c r="T197" s="21">
        <f>-Q197/2-S197</f>
        <v>0.66914138112671662</v>
      </c>
      <c r="U197" s="21">
        <f>-R197/2-S197</f>
        <v>0.67128710019459703</v>
      </c>
      <c r="V197" s="24">
        <v>0.66900000000000004</v>
      </c>
      <c r="W197" s="20">
        <f t="shared" si="10"/>
        <v>1.4138112671657765E-4</v>
      </c>
      <c r="X197" s="20">
        <f t="shared" si="11"/>
        <v>2.2871001945969915E-3</v>
      </c>
    </row>
    <row r="198" spans="1:24" ht="15" customHeight="1" x14ac:dyDescent="0.2">
      <c r="A198" s="19" t="s">
        <v>80</v>
      </c>
      <c r="B198" s="19" t="s">
        <v>42</v>
      </c>
      <c r="C198" s="20">
        <f t="shared" si="9"/>
        <v>-0.42068146923305594</v>
      </c>
      <c r="D198" s="20">
        <v>-381.42390999999998</v>
      </c>
      <c r="E198" s="20">
        <v>-382.63200000000001</v>
      </c>
      <c r="F198" s="20">
        <v>-381.48030716980003</v>
      </c>
      <c r="G198" s="20">
        <v>-382.71108229959998</v>
      </c>
      <c r="H198" s="20">
        <v>-381.28705181200002</v>
      </c>
      <c r="I198" s="20">
        <v>-381.29572670179999</v>
      </c>
      <c r="J198" s="20">
        <v>-382.5155528281</v>
      </c>
      <c r="K198" s="20">
        <v>-382.53338311250002</v>
      </c>
      <c r="L198" s="20">
        <v>-381.4802081208</v>
      </c>
      <c r="M198" s="20">
        <v>-382.71082890380001</v>
      </c>
      <c r="N198" s="20">
        <f>(M198-L198)/2*27.211324570273</f>
        <v>-16.743410774568332</v>
      </c>
      <c r="O198" s="20">
        <f>(E198-G198-D198+F198)/2*27.211324570273</f>
        <v>0.30864621495226097</v>
      </c>
      <c r="P198" s="20">
        <f>(K198-J198-I198+H198)/2*27.211324570273</f>
        <v>-0.12456520701534891</v>
      </c>
      <c r="Q198" s="21">
        <f>(E198+K198-J198-D198-I198+H198-2*C198)*27.211324570273</f>
        <v>-10.228259514130993</v>
      </c>
      <c r="R198" s="21">
        <f>(M198+E198-G198+K198-J198-L198-D198+F198-I198+H198-2*C198)*27.211324570273</f>
        <v>-10.224059533261295</v>
      </c>
      <c r="S198" s="20">
        <v>4.4400000000000004</v>
      </c>
      <c r="T198" s="21">
        <f>-Q198/2-S198</f>
        <v>0.67412975706549627</v>
      </c>
      <c r="U198" s="21">
        <f>-R198/2-S198</f>
        <v>0.67202976663064717</v>
      </c>
      <c r="V198" s="24">
        <v>0.66900000000000004</v>
      </c>
      <c r="W198" s="20">
        <f t="shared" si="10"/>
        <v>5.1297570654962321E-3</v>
      </c>
      <c r="X198" s="20">
        <f t="shared" si="11"/>
        <v>3.0297666306471349E-3</v>
      </c>
    </row>
    <row r="199" spans="1:24" ht="15" customHeight="1" x14ac:dyDescent="0.2">
      <c r="A199" s="19" t="s">
        <v>80</v>
      </c>
      <c r="B199" s="19" t="s">
        <v>43</v>
      </c>
      <c r="C199" s="20">
        <f t="shared" si="9"/>
        <v>-0.42068146923305594</v>
      </c>
      <c r="D199" s="20">
        <v>-381.24518999999998</v>
      </c>
      <c r="E199" s="20">
        <v>-382.46289999999999</v>
      </c>
      <c r="F199" s="20">
        <v>-381.3017118523</v>
      </c>
      <c r="G199" s="20">
        <v>-382.54229948519998</v>
      </c>
      <c r="H199" s="20">
        <v>-381.28720854279999</v>
      </c>
      <c r="I199" s="20">
        <v>-381.2958832265</v>
      </c>
      <c r="J199" s="20">
        <v>-382.51563372970003</v>
      </c>
      <c r="K199" s="20">
        <v>-382.53350556940001</v>
      </c>
      <c r="L199" s="20">
        <v>-380.966762317026</v>
      </c>
      <c r="M199" s="20">
        <v>-382.206680911072</v>
      </c>
      <c r="N199" s="20">
        <f>(M199-L199)/2*27.211324570273</f>
        <v>-16.869913651651178</v>
      </c>
      <c r="O199" s="20">
        <f>(E199-G199-D199+F199)/2*27.211324570273</f>
        <v>0.31126534712022347</v>
      </c>
      <c r="P199" s="20">
        <f>(K199-J199-I199+H199)/2*27.211324570273</f>
        <v>-0.12513339851931712</v>
      </c>
      <c r="Q199" s="21">
        <f>(E199+K199-J199-D199-I199+H199-2*C199)*27.211324570273</f>
        <v>-10.491168839504519</v>
      </c>
      <c r="R199" s="21">
        <f>(M199+E199-G199+K199-J199-L199-D199+F199-I199+H199-2*C199)*27.211324570273</f>
        <v>-10.47296340610054</v>
      </c>
      <c r="S199" s="20">
        <v>4.4400000000000004</v>
      </c>
      <c r="T199" s="21">
        <f>-Q199/2-S199</f>
        <v>0.80558441975225925</v>
      </c>
      <c r="U199" s="21">
        <f>-R199/2-S199</f>
        <v>0.79648170305026955</v>
      </c>
      <c r="V199" s="24">
        <v>0.66900000000000004</v>
      </c>
      <c r="W199" s="20">
        <f t="shared" si="10"/>
        <v>0.13658441975225921</v>
      </c>
      <c r="X199" s="20">
        <f t="shared" si="11"/>
        <v>0.12748170305026951</v>
      </c>
    </row>
    <row r="200" spans="1:24" x14ac:dyDescent="0.2">
      <c r="A200" s="19" t="s">
        <v>81</v>
      </c>
      <c r="B200" s="19" t="s">
        <v>27</v>
      </c>
      <c r="C200" s="20">
        <f t="shared" si="9"/>
        <v>-0.42068146923305594</v>
      </c>
      <c r="D200" s="20">
        <f>-1627.17716</f>
        <v>-1627.17716</v>
      </c>
      <c r="E200" s="20">
        <v>-1628.3873100000001</v>
      </c>
      <c r="F200" s="20">
        <v>-1627.2238236180999</v>
      </c>
      <c r="G200" s="20">
        <v>-1628.4575245850999</v>
      </c>
      <c r="H200" s="20">
        <v>-1627.5286183655001</v>
      </c>
      <c r="I200" s="20">
        <v>-1627.8047837544</v>
      </c>
      <c r="J200" s="20">
        <v>-1628.7431994725</v>
      </c>
      <c r="K200" s="20">
        <v>-1629.0525763454</v>
      </c>
      <c r="L200" s="20">
        <v>-1628.5124413092999</v>
      </c>
      <c r="M200" s="20">
        <v>-1629.7421725316999</v>
      </c>
      <c r="N200" s="20">
        <f>(M200-L200)/2*27.211324570273</f>
        <v>-16.731307713462556</v>
      </c>
      <c r="O200" s="20">
        <f>(E200-G200-D200+F200)/2*27.211324570273</f>
        <v>0.32042650348892349</v>
      </c>
      <c r="P200" s="20">
        <f>(K200-J200-I200+H200)/2*27.211324570273</f>
        <v>-0.45186423529287534</v>
      </c>
      <c r="Q200" s="21">
        <f>(E200+K200-J200-D200-I200+H200-2*C200)*27.211324570273</f>
        <v>-10.938912899298494</v>
      </c>
      <c r="R200" s="21">
        <f>(M200+E200-G200+K200-J200-L200-D200+F200-I200+H200-2*C200)*27.211324570273</f>
        <v>-10.830890890533016</v>
      </c>
      <c r="S200" s="20">
        <v>4.4400000000000004</v>
      </c>
      <c r="T200" s="21">
        <f>-Q200/2-S200</f>
        <v>1.0294564496492464</v>
      </c>
      <c r="U200" s="21">
        <f>-R200/2-S200</f>
        <v>0.97544544526650778</v>
      </c>
      <c r="V200" s="24">
        <v>0.86</v>
      </c>
      <c r="W200" s="20">
        <f t="shared" si="10"/>
        <v>0.16945644964924644</v>
      </c>
      <c r="X200" s="20">
        <f t="shared" si="11"/>
        <v>0.1154454452665078</v>
      </c>
    </row>
    <row r="201" spans="1:24" x14ac:dyDescent="0.2">
      <c r="A201" s="19" t="s">
        <v>81</v>
      </c>
      <c r="B201" s="19" t="s">
        <v>145</v>
      </c>
      <c r="C201" s="20">
        <f t="shared" si="9"/>
        <v>-0.42068146923305594</v>
      </c>
      <c r="D201" s="20">
        <v>-1626.75128</v>
      </c>
      <c r="E201" s="20">
        <v>-1627.96063</v>
      </c>
      <c r="F201" s="20">
        <v>-1626.8018818322</v>
      </c>
      <c r="G201" s="20">
        <v>-1628.0351143938001</v>
      </c>
      <c r="H201" s="20">
        <v>-1627.5314309324999</v>
      </c>
      <c r="I201" s="20">
        <v>-1627.8076697368001</v>
      </c>
      <c r="J201" s="20">
        <v>-1628.7459441839001</v>
      </c>
      <c r="K201" s="20">
        <v>-1629.0555119498999</v>
      </c>
      <c r="L201" s="20">
        <v>-1628.0963269575</v>
      </c>
      <c r="M201" s="20">
        <v>-1629.3272011148999</v>
      </c>
      <c r="N201" s="20">
        <f>(M201-L201)/2*27.211324570273</f>
        <v>-16.746858101085898</v>
      </c>
      <c r="O201" s="20">
        <f>(E201-G201-D201+F201)/2*27.211324570273</f>
        <v>0.32493806763324018</v>
      </c>
      <c r="P201" s="20">
        <f>(K201-J201-I201+H201)/2*27.211324570273</f>
        <v>-0.45346259720010601</v>
      </c>
      <c r="Q201" s="21">
        <f>(E201+K201-J201-D201-I201+H201-2*C201)*27.211324570273</f>
        <v>-10.920340563462201</v>
      </c>
      <c r="R201" s="21">
        <f>(M201+E201-G201+K201-J201-L201-D201+F201-I201+H201-2*C201)*27.211324570273</f>
        <v>-10.856165261299338</v>
      </c>
      <c r="S201" s="20">
        <v>4.4400000000000004</v>
      </c>
      <c r="T201" s="21">
        <f>-Q201/2-S201</f>
        <v>1.0201702817311</v>
      </c>
      <c r="U201" s="21">
        <f>-R201/2-S201</f>
        <v>0.98808263064966884</v>
      </c>
      <c r="V201" s="24">
        <v>0.86</v>
      </c>
      <c r="W201" s="20">
        <f t="shared" si="10"/>
        <v>0.16017028173110004</v>
      </c>
      <c r="X201" s="20">
        <f t="shared" si="11"/>
        <v>0.12808263064966885</v>
      </c>
    </row>
    <row r="202" spans="1:24" x14ac:dyDescent="0.2">
      <c r="A202" s="19" t="s">
        <v>81</v>
      </c>
      <c r="B202" s="19" t="s">
        <v>29</v>
      </c>
      <c r="C202" s="20">
        <f t="shared" si="9"/>
        <v>-0.42068146923305594</v>
      </c>
      <c r="D202" s="20">
        <v>-1627.3191200000001</v>
      </c>
      <c r="E202" s="20">
        <v>-1628.5352700000001</v>
      </c>
      <c r="F202" s="20">
        <v>-1627.3685275186999</v>
      </c>
      <c r="G202" s="20">
        <v>-1628.6081566128</v>
      </c>
      <c r="H202" s="20">
        <v>-1627.5309329900001</v>
      </c>
      <c r="I202" s="20">
        <v>-1627.8074037864001</v>
      </c>
      <c r="J202" s="20">
        <v>-1628.7453752887</v>
      </c>
      <c r="K202" s="20">
        <v>-1629.0549953704999</v>
      </c>
      <c r="L202" s="20">
        <v>-1628.6504780801999</v>
      </c>
      <c r="M202" s="20">
        <v>-1629.8863275609001</v>
      </c>
      <c r="N202" s="20">
        <f>(M202-L202)/2*27.211324570273</f>
        <v>-16.814550669667607</v>
      </c>
      <c r="O202" s="20">
        <f>(E202-G202-D202+F202)/2*27.211324570273</f>
        <v>0.31944862508743571</v>
      </c>
      <c r="P202" s="20">
        <f>(K202-J202-I202+H202)/2*27.211324570273</f>
        <v>-0.45101798214581801</v>
      </c>
      <c r="Q202" s="21">
        <f>(E202+K202-J202-D202-I202+H202-2*C202)*27.211324570273</f>
        <v>-11.100488340422155</v>
      </c>
      <c r="R202" s="21">
        <f>(M202+E202-G202+K202-J202-L202-D202+F202-I202+H202-2*C202)*27.211324570273</f>
        <v>-10.997640053458165</v>
      </c>
      <c r="S202" s="20">
        <v>4.4400000000000004</v>
      </c>
      <c r="T202" s="21">
        <f>-Q202/2-S202</f>
        <v>1.110244170211077</v>
      </c>
      <c r="U202" s="21">
        <f>-R202/2-S202</f>
        <v>1.0588200267290819</v>
      </c>
      <c r="V202" s="24">
        <v>0.86</v>
      </c>
      <c r="W202" s="20">
        <f t="shared" si="10"/>
        <v>0.25024417021107703</v>
      </c>
      <c r="X202" s="20">
        <f t="shared" si="11"/>
        <v>0.19882002672908194</v>
      </c>
    </row>
    <row r="203" spans="1:24" x14ac:dyDescent="0.2">
      <c r="A203" s="19" t="s">
        <v>81</v>
      </c>
      <c r="B203" s="19" t="s">
        <v>30</v>
      </c>
      <c r="C203" s="20">
        <f t="shared" si="9"/>
        <v>-0.42068146923305594</v>
      </c>
      <c r="D203" s="20">
        <v>-1627.4280699999999</v>
      </c>
      <c r="E203" s="20">
        <v>-1628.63462</v>
      </c>
      <c r="F203" s="20">
        <v>-1627.4766907605999</v>
      </c>
      <c r="G203" s="20">
        <v>-1628.7067511539001</v>
      </c>
      <c r="H203" s="20">
        <v>-1627.5309396027001</v>
      </c>
      <c r="I203" s="20">
        <v>-1627.8071995785001</v>
      </c>
      <c r="J203" s="20">
        <v>-1628.7454343937</v>
      </c>
      <c r="K203" s="20">
        <v>-1629.0547895507</v>
      </c>
      <c r="L203" s="20">
        <v>-1628.7705672709001</v>
      </c>
      <c r="M203" s="20">
        <v>-1629.9963190057999</v>
      </c>
      <c r="N203" s="20">
        <f>(M203-L203)/2*27.211324570273</f>
        <v>-16.677164150467643</v>
      </c>
      <c r="O203" s="20">
        <f>(E203-G203-D203+F203)/2*27.211324570273</f>
        <v>0.31987447143131587</v>
      </c>
      <c r="P203" s="20">
        <f>(K203-J203-I203+H203)/2*27.211324570273</f>
        <v>-0.4502818586725531</v>
      </c>
      <c r="Q203" s="21">
        <f>(E203+K203-J203-D203-I203+H203-2*C203)*27.211324570273</f>
        <v>-10.837787377610894</v>
      </c>
      <c r="R203" s="21">
        <f>(M203+E203-G203+K203-J203-L203-D203+F203-I203+H203-2*C203)*27.211324570273</f>
        <v>-10.720543075417764</v>
      </c>
      <c r="S203" s="20">
        <v>4.4400000000000004</v>
      </c>
      <c r="T203" s="21">
        <f>-Q203/2-S203</f>
        <v>0.97889368880544669</v>
      </c>
      <c r="U203" s="21">
        <f>-R203/2-S203</f>
        <v>0.92027153770888148</v>
      </c>
      <c r="V203" s="24">
        <v>0.86</v>
      </c>
      <c r="W203" s="20">
        <f t="shared" si="10"/>
        <v>0.11889368880544671</v>
      </c>
      <c r="X203" s="20">
        <f t="shared" si="11"/>
        <v>6.0271537708881495E-2</v>
      </c>
    </row>
    <row r="204" spans="1:24" x14ac:dyDescent="0.2">
      <c r="A204" s="19" t="s">
        <v>81</v>
      </c>
      <c r="B204" s="19" t="s">
        <v>31</v>
      </c>
      <c r="C204" s="20">
        <f t="shared" si="9"/>
        <v>-0.42068146923305594</v>
      </c>
      <c r="D204" s="20">
        <v>-1627.3191200000001</v>
      </c>
      <c r="E204" s="20">
        <v>-1628.5352700000001</v>
      </c>
      <c r="F204" s="20">
        <v>-1627.3685275186999</v>
      </c>
      <c r="G204" s="20">
        <v>-1628.6081566128</v>
      </c>
      <c r="H204" s="20">
        <v>-1627.5309329900001</v>
      </c>
      <c r="I204" s="20">
        <v>-1627.8074037864001</v>
      </c>
      <c r="J204" s="20">
        <v>-1628.7453752887</v>
      </c>
      <c r="K204" s="20">
        <v>-1629.0549953704999</v>
      </c>
      <c r="L204" s="20">
        <v>-1628.066999015</v>
      </c>
      <c r="M204" s="20">
        <v>-1629.2952273313001</v>
      </c>
      <c r="N204" s="20">
        <f>(M204-L204)/2*27.211324570273</f>
        <v>-16.71085968062161</v>
      </c>
      <c r="O204" s="20">
        <f>(E204-G204-D204+F204)/2*27.211324570273</f>
        <v>0.31944862508743571</v>
      </c>
      <c r="P204" s="20">
        <f>(K204-J204-I204+H204)/2*27.211324570273</f>
        <v>-0.45101798214581801</v>
      </c>
      <c r="Q204" s="21">
        <f>(E204+K204-J204-D204-I204+H204-2*C204)*27.211324570273</f>
        <v>-11.100488340422155</v>
      </c>
      <c r="R204" s="21">
        <f>(M204+E204-G204+K204-J204-L204-D204+F204-I204+H204-2*C204)*27.211324570273</f>
        <v>-10.790258075359981</v>
      </c>
      <c r="S204" s="20">
        <v>4.4400000000000004</v>
      </c>
      <c r="T204" s="21">
        <f>-Q204/2-S204</f>
        <v>1.110244170211077</v>
      </c>
      <c r="U204" s="21">
        <f>-R204/2-S204</f>
        <v>0.95512903767999013</v>
      </c>
      <c r="V204" s="24">
        <v>0.86</v>
      </c>
      <c r="W204" s="20">
        <f t="shared" si="10"/>
        <v>0.25024417021107703</v>
      </c>
      <c r="X204" s="20">
        <f t="shared" si="11"/>
        <v>9.5129037679990147E-2</v>
      </c>
    </row>
    <row r="205" spans="1:24" x14ac:dyDescent="0.2">
      <c r="A205" s="19" t="s">
        <v>81</v>
      </c>
      <c r="B205" s="19" t="s">
        <v>32</v>
      </c>
      <c r="C205" s="20">
        <f t="shared" si="9"/>
        <v>-0.42068146923305594</v>
      </c>
      <c r="D205" s="20">
        <v>-1627.4280699999999</v>
      </c>
      <c r="E205" s="20">
        <v>-1628.63462</v>
      </c>
      <c r="F205" s="20">
        <v>-1627.4766907605999</v>
      </c>
      <c r="G205" s="20">
        <v>-1628.7067511539001</v>
      </c>
      <c r="H205" s="20">
        <v>-1627.5309396027001</v>
      </c>
      <c r="I205" s="20">
        <v>-1627.8071995785001</v>
      </c>
      <c r="J205" s="20">
        <v>-1628.7454343937</v>
      </c>
      <c r="K205" s="20">
        <v>-1629.0547895507</v>
      </c>
      <c r="L205" s="20">
        <v>-1628.2081725918999</v>
      </c>
      <c r="M205" s="20">
        <v>-1629.4262267844999</v>
      </c>
      <c r="N205" s="20">
        <f>(M205-L205)/2*27.211324570273</f>
        <v>-16.57243398951012</v>
      </c>
      <c r="O205" s="20">
        <f>(E205-G205-D205+F205)/2*27.211324570273</f>
        <v>0.31987447143131587</v>
      </c>
      <c r="P205" s="20">
        <f>(K205-J205-I205+H205)/2*27.211324570273</f>
        <v>-0.4502818586725531</v>
      </c>
      <c r="Q205" s="21">
        <f>(E205+K205-J205-D205-I205+H205-2*C205)*27.211324570273</f>
        <v>-10.837787377610894</v>
      </c>
      <c r="R205" s="21">
        <f>(M205+E205-G205+K205-J205-L205-D205+F205-I205+H205-2*C205)*27.211324570273</f>
        <v>-10.511082753502711</v>
      </c>
      <c r="S205" s="20">
        <v>4.4400000000000004</v>
      </c>
      <c r="T205" s="21">
        <f>-Q205/2-S205</f>
        <v>0.97889368880544669</v>
      </c>
      <c r="U205" s="21">
        <f>-R205/2-S205</f>
        <v>0.81554137675135507</v>
      </c>
      <c r="V205" s="24">
        <v>0.86</v>
      </c>
      <c r="W205" s="20">
        <f t="shared" si="10"/>
        <v>0.11889368880544671</v>
      </c>
      <c r="X205" s="20">
        <f t="shared" si="11"/>
        <v>4.4458623248644913E-2</v>
      </c>
    </row>
    <row r="206" spans="1:24" x14ac:dyDescent="0.2">
      <c r="A206" s="19" t="s">
        <v>81</v>
      </c>
      <c r="B206" s="19" t="s">
        <v>33</v>
      </c>
      <c r="C206" s="20">
        <f t="shared" si="9"/>
        <v>-0.42068146923305594</v>
      </c>
      <c r="D206" s="20">
        <v>-1628.1644899999999</v>
      </c>
      <c r="E206" s="20">
        <v>-1629.36094</v>
      </c>
      <c r="F206" s="20">
        <v>-1628.213465696</v>
      </c>
      <c r="G206" s="20">
        <v>-1629.4335116733</v>
      </c>
      <c r="H206" s="20">
        <v>-1627.5290647991001</v>
      </c>
      <c r="I206" s="20">
        <v>-1627.8050428275001</v>
      </c>
      <c r="J206" s="20">
        <v>-1628.7444091615</v>
      </c>
      <c r="K206" s="20">
        <v>-1629.0519506871001</v>
      </c>
      <c r="L206" s="20">
        <v>-1628.2141639133999</v>
      </c>
      <c r="M206" s="20">
        <v>-1629.4324463672001</v>
      </c>
      <c r="N206" s="20">
        <f>(M206-L206)/2*27.211324570273</f>
        <v>-16.575539634312346</v>
      </c>
      <c r="O206" s="20">
        <f>(E206-G206-D206+F206)/2*27.211324570273</f>
        <v>0.3210388984304513</v>
      </c>
      <c r="P206" s="20">
        <f>(K206-J206-I206+H206)/2*27.211324570273</f>
        <v>-0.42944228344197688</v>
      </c>
      <c r="Q206" s="21">
        <f>(E206+K206-J206-D206-I206+H206-2*C206)*27.211324570273</f>
        <v>-10.521273848990916</v>
      </c>
      <c r="R206" s="21">
        <f>(M206+E206-G206+K206-J206-L206-D206+F206-I206+H206-2*C206)*27.211324570273</f>
        <v>-10.473286038647741</v>
      </c>
      <c r="S206" s="20">
        <v>4.4400000000000004</v>
      </c>
      <c r="T206" s="21">
        <f>-Q206/2-S206</f>
        <v>0.82063692449545744</v>
      </c>
      <c r="U206" s="21">
        <f>-R206/2-S206</f>
        <v>0.79664301932387005</v>
      </c>
      <c r="V206" s="24">
        <v>0.86</v>
      </c>
      <c r="W206" s="20">
        <f t="shared" si="10"/>
        <v>3.9363075504542544E-2</v>
      </c>
      <c r="X206" s="20">
        <f t="shared" si="11"/>
        <v>6.3356980676129937E-2</v>
      </c>
    </row>
    <row r="207" spans="1:24" ht="15" customHeight="1" x14ac:dyDescent="0.2">
      <c r="A207" s="19" t="s">
        <v>81</v>
      </c>
      <c r="B207" s="19" t="s">
        <v>42</v>
      </c>
      <c r="C207" s="20">
        <f t="shared" si="9"/>
        <v>-0.42068146923305594</v>
      </c>
      <c r="D207" s="20">
        <v>-1628.1641299999999</v>
      </c>
      <c r="E207" s="20">
        <v>-1629.3602800000001</v>
      </c>
      <c r="F207" s="20">
        <v>-1628.2136087906999</v>
      </c>
      <c r="G207" s="20">
        <v>-1629.4326449197999</v>
      </c>
      <c r="H207" s="20">
        <v>-1627.5291509906999</v>
      </c>
      <c r="I207" s="20">
        <v>-1627.8053243859999</v>
      </c>
      <c r="J207" s="20">
        <v>-1628.7443421823</v>
      </c>
      <c r="K207" s="20">
        <v>-1629.0518940457</v>
      </c>
      <c r="L207" s="20">
        <v>-1628.2141722894</v>
      </c>
      <c r="M207" s="20">
        <v>-1629.4324594401</v>
      </c>
      <c r="N207" s="20">
        <f>(M207-L207)/2*27.211324570273</f>
        <v>-16.575603538745497</v>
      </c>
      <c r="O207" s="20">
        <f>(E207-G207-D207+F207)/2*27.211324570273</f>
        <v>0.31138094354575568</v>
      </c>
      <c r="P207" s="20">
        <f>(K207-J207-I207+H207)/2*27.211324570273</f>
        <v>-0.42692483999354991</v>
      </c>
      <c r="Q207" s="21">
        <f>(E207+K207-J207-D207-I207+H207-2*C207)*27.211324570273</f>
        <v>-10.508075564731216</v>
      </c>
      <c r="R207" s="21">
        <f>(M207+E207-G207+K207-J207-L207-D207+F207-I207+H207-2*C207)*27.211324570273</f>
        <v>-10.48769487038658</v>
      </c>
      <c r="S207" s="20">
        <v>4.4400000000000004</v>
      </c>
      <c r="T207" s="21">
        <f>-Q207/2-S207</f>
        <v>0.81403778236560775</v>
      </c>
      <c r="U207" s="21">
        <f>-R207/2-S207</f>
        <v>0.80384743519328961</v>
      </c>
      <c r="V207" s="24">
        <v>0.86</v>
      </c>
      <c r="W207" s="20">
        <f t="shared" si="10"/>
        <v>4.5962217634392233E-2</v>
      </c>
      <c r="X207" s="20">
        <f t="shared" si="11"/>
        <v>5.6152564806710381E-2</v>
      </c>
    </row>
    <row r="208" spans="1:24" ht="15" customHeight="1" x14ac:dyDescent="0.2">
      <c r="A208" s="19" t="s">
        <v>81</v>
      </c>
      <c r="B208" s="19" t="s">
        <v>43</v>
      </c>
      <c r="C208" s="20">
        <f t="shared" si="9"/>
        <v>-0.42068146923305594</v>
      </c>
      <c r="D208" s="20">
        <v>-1627.4280699999999</v>
      </c>
      <c r="E208" s="20">
        <v>-1628.63462</v>
      </c>
      <c r="F208" s="20">
        <v>-1627.4766907605999</v>
      </c>
      <c r="G208" s="20">
        <v>-1628.7067511539001</v>
      </c>
      <c r="H208" s="20">
        <v>-1627.5309396027001</v>
      </c>
      <c r="I208" s="20">
        <v>-1627.8071995785001</v>
      </c>
      <c r="J208" s="20">
        <v>-1628.7454343937</v>
      </c>
      <c r="K208" s="20">
        <v>-1629.0547895507</v>
      </c>
      <c r="L208" s="20">
        <v>-1626.36875249832</v>
      </c>
      <c r="M208" s="20">
        <v>-1627.59705728221</v>
      </c>
      <c r="N208" s="20">
        <f>(M208-L208)/2*27.211324570273</f>
        <v>-16.711900072825632</v>
      </c>
      <c r="O208" s="20">
        <f>(E208-G208-D208+F208)/2*27.211324570273</f>
        <v>0.31987447143131587</v>
      </c>
      <c r="P208" s="20">
        <f>(K208-J208-I208+H208)/2*27.211324570273</f>
        <v>-0.4502818586725531</v>
      </c>
      <c r="Q208" s="21">
        <f>(E208+K208-J208-D208-I208+H208-2*C208)*27.211324570273</f>
        <v>-10.837787377610894</v>
      </c>
      <c r="R208" s="21">
        <f>(M208+E208-G208+K208-J208-L208-D208+F208-I208+H208-2*C208)*27.211324570273</f>
        <v>-10.790014920133739</v>
      </c>
      <c r="S208" s="20">
        <v>4.4400000000000004</v>
      </c>
      <c r="T208" s="21">
        <f>-Q208/2-S208</f>
        <v>0.97889368880544669</v>
      </c>
      <c r="U208" s="21">
        <f>-R208/2-S208</f>
        <v>0.95500746006686921</v>
      </c>
      <c r="V208" s="24">
        <v>0.86</v>
      </c>
      <c r="W208" s="20">
        <f t="shared" si="10"/>
        <v>0.11889368880544671</v>
      </c>
      <c r="X208" s="20">
        <f t="shared" si="11"/>
        <v>9.500746006686922E-2</v>
      </c>
    </row>
    <row r="209" spans="1:24" x14ac:dyDescent="0.2">
      <c r="A209" s="19" t="s">
        <v>82</v>
      </c>
      <c r="B209" s="19" t="s">
        <v>27</v>
      </c>
      <c r="C209" s="20">
        <f t="shared" si="9"/>
        <v>-0.42068146923305594</v>
      </c>
      <c r="D209" s="20">
        <f>-531.5383</f>
        <v>-531.53830000000005</v>
      </c>
      <c r="E209" s="20">
        <v>-532.73316999999997</v>
      </c>
      <c r="F209" s="20">
        <v>-531.60221562130005</v>
      </c>
      <c r="G209" s="20">
        <v>-532.81827895799995</v>
      </c>
      <c r="H209" s="20">
        <v>-531.70184261240001</v>
      </c>
      <c r="I209" s="20">
        <v>-531.71322242489998</v>
      </c>
      <c r="J209" s="20">
        <v>-532.90161848549997</v>
      </c>
      <c r="K209" s="20">
        <v>-532.92672372820005</v>
      </c>
      <c r="L209" s="20">
        <v>-532.17542804360005</v>
      </c>
      <c r="M209" s="20">
        <v>-533.38863785870001</v>
      </c>
      <c r="N209" s="20">
        <f>(M209-L209)/2*27.211324570273</f>
        <v>-16.506523025262929</v>
      </c>
      <c r="O209" s="20">
        <f>(E209-G209-D209+F209)/2*27.211324570273</f>
        <v>0.28834938183511899</v>
      </c>
      <c r="P209" s="20">
        <f>(K209-J209-I209+H209)/2*27.211324570273</f>
        <v>-0.18674356802092482</v>
      </c>
      <c r="Q209" s="21">
        <f>(E209+K209-J209-D209-I209+H209-2*C209)*27.211324570273</f>
        <v>-9.9928825253249602</v>
      </c>
      <c r="R209" s="21">
        <f>(M209+E209-G209+K209-J209-L209-D209+F209-I209+H209-2*C209)*27.211324570273</f>
        <v>-9.9152344228943736</v>
      </c>
      <c r="S209" s="20">
        <v>4.4400000000000004</v>
      </c>
      <c r="T209" s="21">
        <f>-Q209/2-S209</f>
        <v>0.55644126266247973</v>
      </c>
      <c r="U209" s="21">
        <f>-R209/2-S209</f>
        <v>0.51761721144718642</v>
      </c>
      <c r="V209" s="24">
        <v>0.38200000000000001</v>
      </c>
      <c r="W209" s="20">
        <f t="shared" si="10"/>
        <v>0.17444126266247972</v>
      </c>
      <c r="X209" s="20">
        <f t="shared" si="11"/>
        <v>0.13561721144718641</v>
      </c>
    </row>
    <row r="210" spans="1:24" x14ac:dyDescent="0.2">
      <c r="A210" s="19" t="s">
        <v>82</v>
      </c>
      <c r="B210" s="19" t="s">
        <v>145</v>
      </c>
      <c r="C210" s="20">
        <f t="shared" si="9"/>
        <v>-0.42068146923305594</v>
      </c>
      <c r="D210" s="20">
        <v>-531.29512999999997</v>
      </c>
      <c r="E210" s="20">
        <v>-532.49060999999995</v>
      </c>
      <c r="F210" s="20">
        <v>-531.3602764986</v>
      </c>
      <c r="G210" s="20">
        <v>-532.57707744790002</v>
      </c>
      <c r="H210" s="20">
        <v>-531.70182039270003</v>
      </c>
      <c r="I210" s="20">
        <v>-531.71312906289995</v>
      </c>
      <c r="J210" s="20">
        <v>-532.90172623809997</v>
      </c>
      <c r="K210" s="20">
        <v>-532.9264345739</v>
      </c>
      <c r="L210" s="20">
        <v>-531.94195115399998</v>
      </c>
      <c r="M210" s="20">
        <v>-533.1570313167</v>
      </c>
      <c r="N210" s="20">
        <f>(M210-L210)/2*27.211324570273</f>
        <v>-16.531970343065172</v>
      </c>
      <c r="O210" s="20">
        <f>(E210-G210-D210+F210)/2*27.211324570273</f>
        <v>0.29008563577496627</v>
      </c>
      <c r="P210" s="20">
        <f>(K210-J210-I210+H210)/2*27.211324570273</f>
        <v>-0.1823113248887831</v>
      </c>
      <c r="Q210" s="21">
        <f>(E210+K210-J210-D210-I210+H210-2*C210)*27.211324570273</f>
        <v>-10.000616947049945</v>
      </c>
      <c r="R210" s="21">
        <f>(M210+E210-G210+K210-J210-L210-D210+F210-I210+H210-2*C210)*27.211324570273</f>
        <v>-9.9537920643548858</v>
      </c>
      <c r="S210" s="20">
        <v>4.4400000000000004</v>
      </c>
      <c r="T210" s="21">
        <f>-Q210/2-S210</f>
        <v>0.56030847352497215</v>
      </c>
      <c r="U210" s="21">
        <f>-R210/2-S210</f>
        <v>0.53689603217744253</v>
      </c>
      <c r="V210" s="24">
        <v>0.38200000000000001</v>
      </c>
      <c r="W210" s="20">
        <f t="shared" si="10"/>
        <v>0.17830847352497214</v>
      </c>
      <c r="X210" s="20">
        <f t="shared" si="11"/>
        <v>0.15489603217744252</v>
      </c>
    </row>
    <row r="211" spans="1:24" x14ac:dyDescent="0.2">
      <c r="A211" s="19" t="s">
        <v>82</v>
      </c>
      <c r="B211" s="19" t="s">
        <v>29</v>
      </c>
      <c r="C211" s="20">
        <f t="shared" si="9"/>
        <v>-0.42068146923305594</v>
      </c>
      <c r="D211" s="20">
        <v>-531.65589999999997</v>
      </c>
      <c r="E211" s="20">
        <v>-532.85765000000004</v>
      </c>
      <c r="F211" s="20">
        <v>-531.72101673750001</v>
      </c>
      <c r="G211" s="20">
        <v>-532.94396923240004</v>
      </c>
      <c r="H211" s="20">
        <v>-531.70201194209994</v>
      </c>
      <c r="I211" s="20">
        <v>-531.71323175320003</v>
      </c>
      <c r="J211" s="20">
        <v>-532.90171034870002</v>
      </c>
      <c r="K211" s="20">
        <v>-532.92672710880004</v>
      </c>
      <c r="L211" s="20">
        <v>-532.28885538199995</v>
      </c>
      <c r="M211" s="20">
        <v>-533.50928616450005</v>
      </c>
      <c r="N211" s="20">
        <f>(M211-L211)/2*27.211324570273</f>
        <v>-16.604769069081271</v>
      </c>
      <c r="O211" s="20">
        <f>(E211-G211-D211+F211)/2*27.211324570273</f>
        <v>0.28847398521127932</v>
      </c>
      <c r="P211" s="20">
        <f>(K211-J211-I211+H211)/2*27.211324570273</f>
        <v>-0.18771662865823141</v>
      </c>
      <c r="Q211" s="21">
        <f>(E211+K211-J211-D211-I211+H211-2*C211)*27.211324570273</f>
        <v>-10.182042559643698</v>
      </c>
      <c r="R211" s="21">
        <f>(M211+E211-G211+K211-J211-L211-D211+F211-I211+H211-2*C211)*27.211324570273</f>
        <v>-10.113423425059537</v>
      </c>
      <c r="S211" s="20">
        <v>4.4400000000000004</v>
      </c>
      <c r="T211" s="21">
        <f>-Q211/2-S211</f>
        <v>0.65102127982184843</v>
      </c>
      <c r="U211" s="21">
        <f>-R211/2-S211</f>
        <v>0.61671171252976809</v>
      </c>
      <c r="V211" s="24">
        <v>0.38200000000000001</v>
      </c>
      <c r="W211" s="20">
        <f t="shared" si="10"/>
        <v>0.26902127982184842</v>
      </c>
      <c r="X211" s="20">
        <f t="shared" si="11"/>
        <v>0.23471171252976808</v>
      </c>
    </row>
    <row r="212" spans="1:24" x14ac:dyDescent="0.2">
      <c r="A212" s="19" t="s">
        <v>82</v>
      </c>
      <c r="B212" s="19" t="s">
        <v>30</v>
      </c>
      <c r="C212" s="20">
        <f t="shared" si="9"/>
        <v>-0.42068146923305594</v>
      </c>
      <c r="D212" s="20">
        <v>-531.65264000000002</v>
      </c>
      <c r="E212" s="20">
        <v>-532.84460999999999</v>
      </c>
      <c r="F212" s="20">
        <v>-531.71729466169995</v>
      </c>
      <c r="G212" s="20">
        <v>-532.93036844660003</v>
      </c>
      <c r="H212" s="20">
        <v>-531.7020911226</v>
      </c>
      <c r="I212" s="20">
        <v>-531.71325948749995</v>
      </c>
      <c r="J212" s="20">
        <v>-532.90183223320003</v>
      </c>
      <c r="K212" s="20">
        <v>-532.92674859179999</v>
      </c>
      <c r="L212" s="20">
        <v>-532.29578158239997</v>
      </c>
      <c r="M212" s="20">
        <v>-533.50573057320003</v>
      </c>
      <c r="N212" s="20">
        <f>(M212-L212)/2*27.211324570273</f>
        <v>-16.462157351067315</v>
      </c>
      <c r="O212" s="20">
        <f>(E212-G212-D212+F212)/2*27.211324570273</f>
        <v>0.28713097028900392</v>
      </c>
      <c r="P212" s="20">
        <f>(K212-J212-I212+H212)/2*27.211324570273</f>
        <v>-0.1870505593804932</v>
      </c>
      <c r="Q212" s="21">
        <f>(E212+K212-J212-D212-I212+H212-2*C212)*27.211324570273</f>
        <v>-9.9145836667884595</v>
      </c>
      <c r="R212" s="21">
        <f>(M212+E212-G212+K212-J212-L212-D212+F212-I212+H212-2*C212)*27.211324570273</f>
        <v>-9.829553880314517</v>
      </c>
      <c r="S212" s="20">
        <v>4.4400000000000004</v>
      </c>
      <c r="T212" s="21">
        <f>-Q212/2-S212</f>
        <v>0.51729183339422935</v>
      </c>
      <c r="U212" s="21">
        <f>-R212/2-S212</f>
        <v>0.47477694015725813</v>
      </c>
      <c r="V212" s="24">
        <v>0.38200000000000001</v>
      </c>
      <c r="W212" s="20">
        <f t="shared" si="10"/>
        <v>0.13529183339422934</v>
      </c>
      <c r="X212" s="20">
        <f t="shared" si="11"/>
        <v>9.2776940157258125E-2</v>
      </c>
    </row>
    <row r="213" spans="1:24" x14ac:dyDescent="0.2">
      <c r="A213" s="19" t="s">
        <v>82</v>
      </c>
      <c r="B213" s="19" t="s">
        <v>31</v>
      </c>
      <c r="C213" s="20">
        <f t="shared" si="9"/>
        <v>-0.42068146923305594</v>
      </c>
      <c r="D213" s="20">
        <v>-531.65589999999997</v>
      </c>
      <c r="E213" s="20">
        <v>-532.85765000000004</v>
      </c>
      <c r="F213" s="20">
        <v>-531.72101673750001</v>
      </c>
      <c r="G213" s="20">
        <v>-532.94396923240004</v>
      </c>
      <c r="H213" s="20">
        <v>-531.70201194209994</v>
      </c>
      <c r="I213" s="20">
        <v>-531.71323175320003</v>
      </c>
      <c r="J213" s="20">
        <v>-532.90171034870002</v>
      </c>
      <c r="K213" s="20">
        <v>-532.92672710880004</v>
      </c>
      <c r="L213" s="20">
        <v>-531.98043943770006</v>
      </c>
      <c r="M213" s="20">
        <v>-533.19268376319997</v>
      </c>
      <c r="N213" s="20">
        <f>(M213-L213)/2*27.211324570273</f>
        <v>-16.493386899824859</v>
      </c>
      <c r="O213" s="20">
        <f>(E213-G213-D213+F213)/2*27.211324570273</f>
        <v>0.28847398521127932</v>
      </c>
      <c r="P213" s="20">
        <f>(K213-J213-I213+H213)/2*27.211324570273</f>
        <v>-0.18771662865823141</v>
      </c>
      <c r="Q213" s="21">
        <f>(E213+K213-J213-D213-I213+H213-2*C213)*27.211324570273</f>
        <v>-10.182042559643698</v>
      </c>
      <c r="R213" s="21">
        <f>(M213+E213-G213+K213-J213-L213-D213+F213-I213+H213-2*C213)*27.211324570273</f>
        <v>-9.8906590865405253</v>
      </c>
      <c r="S213" s="20">
        <v>4.4400000000000004</v>
      </c>
      <c r="T213" s="21">
        <f>-Q213/2-S213</f>
        <v>0.65102127982184843</v>
      </c>
      <c r="U213" s="21">
        <f>-R213/2-S213</f>
        <v>0.50532954327026225</v>
      </c>
      <c r="V213" s="24">
        <v>0.38200000000000001</v>
      </c>
      <c r="W213" s="20">
        <f t="shared" si="10"/>
        <v>0.26902127982184842</v>
      </c>
      <c r="X213" s="20">
        <f t="shared" si="11"/>
        <v>0.12332954327026224</v>
      </c>
    </row>
    <row r="214" spans="1:24" x14ac:dyDescent="0.2">
      <c r="A214" s="19" t="s">
        <v>82</v>
      </c>
      <c r="B214" s="19" t="s">
        <v>32</v>
      </c>
      <c r="C214" s="20">
        <f t="shared" si="9"/>
        <v>-0.42068146923305594</v>
      </c>
      <c r="D214" s="20">
        <v>-531.65264000000002</v>
      </c>
      <c r="E214" s="20">
        <v>-532.84460999999999</v>
      </c>
      <c r="F214" s="20">
        <v>-531.71729466169995</v>
      </c>
      <c r="G214" s="20">
        <v>-532.93036844660003</v>
      </c>
      <c r="H214" s="20">
        <v>-531.7020911226</v>
      </c>
      <c r="I214" s="20">
        <v>-531.71325948749995</v>
      </c>
      <c r="J214" s="20">
        <v>-532.90183223320003</v>
      </c>
      <c r="K214" s="20">
        <v>-532.92674859179999</v>
      </c>
      <c r="L214" s="20">
        <v>-531.99527845670002</v>
      </c>
      <c r="M214" s="20">
        <v>-533.19692105460001</v>
      </c>
      <c r="N214" s="20">
        <f>(M214-L214)/2*27.211324570273</f>
        <v>-16.349143374461345</v>
      </c>
      <c r="O214" s="20">
        <f>(E214-G214-D214+F214)/2*27.211324570273</f>
        <v>0.28713097028900392</v>
      </c>
      <c r="P214" s="20">
        <f>(K214-J214-I214+H214)/2*27.211324570273</f>
        <v>-0.1870505593804932</v>
      </c>
      <c r="Q214" s="21">
        <f>(E214+K214-J214-D214-I214+H214-2*C214)*27.211324570273</f>
        <v>-9.9145836667884595</v>
      </c>
      <c r="R214" s="21">
        <f>(M214+E214-G214+K214-J214-L214-D214+F214-I214+H214-2*C214)*27.211324570273</f>
        <v>-9.6035259271056681</v>
      </c>
      <c r="S214" s="20">
        <v>4.4400000000000004</v>
      </c>
      <c r="T214" s="21">
        <f>-Q214/2-S214</f>
        <v>0.51729183339422935</v>
      </c>
      <c r="U214" s="21">
        <f>-R214/2-S214</f>
        <v>0.36176296355283366</v>
      </c>
      <c r="V214" s="24">
        <v>0.38200000000000001</v>
      </c>
      <c r="W214" s="20">
        <f t="shared" si="10"/>
        <v>0.13529183339422934</v>
      </c>
      <c r="X214" s="20">
        <f t="shared" si="11"/>
        <v>2.0237036447166346E-2</v>
      </c>
    </row>
    <row r="215" spans="1:24" x14ac:dyDescent="0.2">
      <c r="A215" s="19" t="s">
        <v>82</v>
      </c>
      <c r="B215" s="19" t="s">
        <v>33</v>
      </c>
      <c r="C215" s="20">
        <f t="shared" si="9"/>
        <v>-0.42068146923305594</v>
      </c>
      <c r="D215" s="20">
        <v>-531.93199000000004</v>
      </c>
      <c r="E215" s="20">
        <v>-533.11327000000006</v>
      </c>
      <c r="F215" s="20">
        <v>-531.99608089410003</v>
      </c>
      <c r="G215" s="20">
        <v>-533.19757150390001</v>
      </c>
      <c r="H215" s="20">
        <v>-531.70196143509997</v>
      </c>
      <c r="I215" s="20">
        <v>-531.71301878459997</v>
      </c>
      <c r="J215" s="20">
        <v>-532.90176125979997</v>
      </c>
      <c r="K215" s="20">
        <v>-532.92670091069999</v>
      </c>
      <c r="L215" s="20">
        <v>-531.99562463689995</v>
      </c>
      <c r="M215" s="20">
        <v>-533.19733413660003</v>
      </c>
      <c r="N215" s="20">
        <f>(M215-L215)/2*27.211324570273</f>
        <v>-16.350053617759723</v>
      </c>
      <c r="O215" s="20">
        <f>(E215-G215-D215+F215)/2*27.211324570273</f>
        <v>0.27497873151493091</v>
      </c>
      <c r="P215" s="20">
        <f>(K215-J215-I215+H215)/2*27.211324570273</f>
        <v>-0.18887790458929782</v>
      </c>
      <c r="Q215" s="21">
        <f>(E215+K215-J215-D215-I215+H215-2*C215)*27.211324570273</f>
        <v>-9.627349297551099</v>
      </c>
      <c r="R215" s="21">
        <f>(M215+E215-G215+K215-J215-L215-D215+F215-I215+H215-2*C215)*27.211324570273</f>
        <v>-9.6333055816650859</v>
      </c>
      <c r="S215" s="20">
        <v>4.4400000000000004</v>
      </c>
      <c r="T215" s="21">
        <f>-Q215/2-S215</f>
        <v>0.37367464877554912</v>
      </c>
      <c r="U215" s="21">
        <f>-R215/2-S215</f>
        <v>0.37665279083254255</v>
      </c>
      <c r="V215" s="24">
        <v>0.38200000000000001</v>
      </c>
      <c r="W215" s="20">
        <f t="shared" si="10"/>
        <v>8.3253512244508832E-3</v>
      </c>
      <c r="X215" s="20">
        <f t="shared" si="11"/>
        <v>5.3472091674574562E-3</v>
      </c>
    </row>
    <row r="216" spans="1:24" ht="15" customHeight="1" x14ac:dyDescent="0.2">
      <c r="A216" s="19" t="s">
        <v>82</v>
      </c>
      <c r="B216" s="19" t="s">
        <v>42</v>
      </c>
      <c r="C216" s="20">
        <f t="shared" si="9"/>
        <v>-0.42068146923305594</v>
      </c>
      <c r="D216" s="20">
        <v>-531.93164000000002</v>
      </c>
      <c r="E216" s="20">
        <v>-533.11328000000003</v>
      </c>
      <c r="F216" s="20">
        <v>-531.99583730970005</v>
      </c>
      <c r="G216" s="20">
        <v>-533.19777549280002</v>
      </c>
      <c r="H216" s="20">
        <v>-531.70195853099995</v>
      </c>
      <c r="I216" s="20">
        <v>-531.7129974723</v>
      </c>
      <c r="J216" s="20">
        <v>-532.90177179919999</v>
      </c>
      <c r="K216" s="20">
        <v>-532.92670203010005</v>
      </c>
      <c r="L216" s="20">
        <v>-531.99562559590004</v>
      </c>
      <c r="M216" s="20">
        <v>-533.19733430589997</v>
      </c>
      <c r="N216" s="20">
        <f>(M216-L216)/2*27.211324570273</f>
        <v>-16.350042873366142</v>
      </c>
      <c r="O216" s="20">
        <f>(E216-G216-D216+F216)/2*27.211324570273</f>
        <v>0.27617022425983034</v>
      </c>
      <c r="P216" s="20">
        <f>(K216-J216-I216+H216)/2*27.211324570273</f>
        <v>-0.18900019500258164</v>
      </c>
      <c r="Q216" s="21">
        <f>(E216+K216-J216-D216-I216+H216-2*C216)*27.211324570273</f>
        <v>-9.6373899552198861</v>
      </c>
      <c r="R216" s="21">
        <f>(M216+E216-G216+K216-J216-L216-D216+F216-I216+H216-2*C216)*27.211324570273</f>
        <v>-9.6311456882177886</v>
      </c>
      <c r="S216" s="20">
        <v>4.4400000000000004</v>
      </c>
      <c r="T216" s="21">
        <f>-Q216/2-S216</f>
        <v>0.37869497760994264</v>
      </c>
      <c r="U216" s="21">
        <f>-R216/2-S216</f>
        <v>0.37557284410889391</v>
      </c>
      <c r="V216" s="24">
        <v>0.38200000000000001</v>
      </c>
      <c r="W216" s="20">
        <f t="shared" si="10"/>
        <v>3.3050223900573661E-3</v>
      </c>
      <c r="X216" s="20">
        <f t="shared" si="11"/>
        <v>6.4271558911060955E-3</v>
      </c>
    </row>
    <row r="217" spans="1:24" ht="15" customHeight="1" x14ac:dyDescent="0.2">
      <c r="A217" s="19" t="s">
        <v>82</v>
      </c>
      <c r="B217" s="19" t="s">
        <v>43</v>
      </c>
      <c r="C217" s="20">
        <f t="shared" si="9"/>
        <v>-0.42068146923305594</v>
      </c>
      <c r="D217" s="20">
        <v>-531.65264000000002</v>
      </c>
      <c r="E217" s="20">
        <v>-532.84460999999999</v>
      </c>
      <c r="F217" s="20">
        <v>-531.71729466169995</v>
      </c>
      <c r="G217" s="20">
        <v>-532.93036844660003</v>
      </c>
      <c r="H217" s="20">
        <v>-531.7020911226</v>
      </c>
      <c r="I217" s="20">
        <v>-531.71325948749995</v>
      </c>
      <c r="J217" s="20">
        <v>-532.90183223320003</v>
      </c>
      <c r="K217" s="20">
        <v>-532.92674859179999</v>
      </c>
      <c r="L217" s="20">
        <v>-531.31634959850703</v>
      </c>
      <c r="M217" s="20">
        <v>-532.53061942029797</v>
      </c>
      <c r="N217" s="20">
        <f>(M217-L217)/2*27.211324570273</f>
        <v>-16.520945118320352</v>
      </c>
      <c r="O217" s="20">
        <f>(E217-G217-D217+F217)/2*27.211324570273</f>
        <v>0.28713097028900392</v>
      </c>
      <c r="P217" s="20">
        <f>(K217-J217-I217+H217)/2*27.211324570273</f>
        <v>-0.1870505593804932</v>
      </c>
      <c r="Q217" s="21">
        <f>(E217+K217-J217-D217-I217+H217-2*C217)*27.211324570273</f>
        <v>-9.9145836667884595</v>
      </c>
      <c r="R217" s="21">
        <f>(M217+E217-G217+K217-J217-L217-D217+F217-I217+H217-2*C217)*27.211324570273</f>
        <v>-9.9471294148236797</v>
      </c>
      <c r="S217" s="20">
        <v>4.4400000000000004</v>
      </c>
      <c r="T217" s="21">
        <f>-Q217/2-S217</f>
        <v>0.51729183339422935</v>
      </c>
      <c r="U217" s="21">
        <f>-R217/2-S217</f>
        <v>0.53356470741183948</v>
      </c>
      <c r="V217" s="24">
        <v>0.38200000000000001</v>
      </c>
      <c r="W217" s="20">
        <f t="shared" si="10"/>
        <v>0.13529183339422934</v>
      </c>
      <c r="X217" s="20">
        <f t="shared" si="11"/>
        <v>0.15156470741183947</v>
      </c>
    </row>
    <row r="218" spans="1:24" x14ac:dyDescent="0.2">
      <c r="A218" s="19" t="s">
        <v>83</v>
      </c>
      <c r="B218" s="19" t="s">
        <v>27</v>
      </c>
      <c r="C218" s="20">
        <f t="shared" si="9"/>
        <v>-0.42068146923305594</v>
      </c>
      <c r="D218" s="20">
        <f>-1450.50357</f>
        <v>-1450.5035700000001</v>
      </c>
      <c r="E218" s="20">
        <v>-1451.7099499999999</v>
      </c>
      <c r="F218" s="20">
        <v>-1450.5444263802999</v>
      </c>
      <c r="G218" s="20">
        <v>-1451.7735078136</v>
      </c>
      <c r="H218" s="20">
        <v>-1450.8225097708</v>
      </c>
      <c r="I218" s="20">
        <v>-1450.8354976479</v>
      </c>
      <c r="J218" s="20">
        <v>-1452.0340573850001</v>
      </c>
      <c r="K218" s="20">
        <v>-1452.0502479842</v>
      </c>
      <c r="L218" s="20">
        <v>-1451.4212884988999</v>
      </c>
      <c r="M218" s="20">
        <v>-1452.6463467517999</v>
      </c>
      <c r="N218" s="20">
        <f>(M218-L218)/2*27.211324570273</f>
        <v>-16.66772886857672</v>
      </c>
      <c r="O218" s="20">
        <f>(E218-G218-D218+F218)/2*27.211324570273</f>
        <v>0.30886803487105818</v>
      </c>
      <c r="P218" s="20">
        <f>(K218-J218-I218+H218)/2*27.211324570273</f>
        <v>-4.3575155285926689E-2</v>
      </c>
      <c r="Q218" s="21">
        <f>(E218+K218-J218-D218-I218+H218-2*C218)*27.211324570273</f>
        <v>-10.01974804566</v>
      </c>
      <c r="R218" s="21">
        <f>(M218+E218-G218+K218-J218-L218-D218+F218-I218+H218-2*C218)*27.211324570273</f>
        <v>-9.9102719779893675</v>
      </c>
      <c r="S218" s="20">
        <v>4.4400000000000004</v>
      </c>
      <c r="T218" s="21">
        <f>-Q218/2-S218</f>
        <v>0.56987402282999966</v>
      </c>
      <c r="U218" s="21">
        <f>-R218/2-S218</f>
        <v>0.51513598899468338</v>
      </c>
      <c r="V218" s="24">
        <v>0.39400000000000002</v>
      </c>
      <c r="W218" s="20">
        <f t="shared" si="10"/>
        <v>0.17587402282999964</v>
      </c>
      <c r="X218" s="20">
        <f t="shared" si="11"/>
        <v>0.12113598899468336</v>
      </c>
    </row>
    <row r="219" spans="1:24" x14ac:dyDescent="0.2">
      <c r="A219" s="19" t="s">
        <v>83</v>
      </c>
      <c r="B219" s="19" t="s">
        <v>145</v>
      </c>
      <c r="C219" s="20">
        <f t="shared" si="9"/>
        <v>-0.42068146923305594</v>
      </c>
      <c r="D219" s="20">
        <v>-1450.2148199999999</v>
      </c>
      <c r="E219" s="20">
        <v>-1451.42218</v>
      </c>
      <c r="F219" s="20">
        <v>-1450.2576293202001</v>
      </c>
      <c r="G219" s="20">
        <v>-1451.4876539945999</v>
      </c>
      <c r="H219" s="20">
        <v>-1450.8226300450001</v>
      </c>
      <c r="I219" s="20">
        <v>-1450.8357148005</v>
      </c>
      <c r="J219" s="20">
        <v>-1452.0342725512</v>
      </c>
      <c r="K219" s="20">
        <v>-1452.0502703283</v>
      </c>
      <c r="L219" s="20">
        <v>-1451.1371554972</v>
      </c>
      <c r="M219" s="20">
        <v>-1452.364155992</v>
      </c>
      <c r="N219" s="20">
        <f>(M219-L219)/2*27.211324570273</f>
        <v>-16.694154355944118</v>
      </c>
      <c r="O219" s="20">
        <f>(E219-G219-D219+F219)/2*27.211324570273</f>
        <v>0.30836790568517936</v>
      </c>
      <c r="P219" s="20">
        <f>(K219-J219-I219+H219)/2*27.211324570273</f>
        <v>-3.9633588119988898E-2</v>
      </c>
      <c r="Q219" s="21">
        <f>(E219+K219-J219-D219-I219+H219-2*C219)*27.211324570273</f>
        <v>-10.038532009407723</v>
      </c>
      <c r="R219" s="21">
        <f>(M219+E219-G219+K219-J219-L219-D219+F219-I219+H219-2*C219)*27.211324570273</f>
        <v>-9.9562400767640398</v>
      </c>
      <c r="S219" s="20">
        <v>4.4400000000000004</v>
      </c>
      <c r="T219" s="21">
        <f>-Q219/2-S219</f>
        <v>0.57926600470386092</v>
      </c>
      <c r="U219" s="21">
        <f>-R219/2-S219</f>
        <v>0.53812003838201949</v>
      </c>
      <c r="V219" s="24">
        <v>0.39400000000000002</v>
      </c>
      <c r="W219" s="20">
        <f t="shared" si="10"/>
        <v>0.1852660047038609</v>
      </c>
      <c r="X219" s="20">
        <f t="shared" si="11"/>
        <v>0.14412003838201948</v>
      </c>
    </row>
    <row r="220" spans="1:24" x14ac:dyDescent="0.2">
      <c r="A220" s="19" t="s">
        <v>83</v>
      </c>
      <c r="B220" s="19" t="s">
        <v>29</v>
      </c>
      <c r="C220" s="20">
        <f t="shared" si="9"/>
        <v>-0.42068146923305594</v>
      </c>
      <c r="D220" s="20">
        <v>-1450.5976599999999</v>
      </c>
      <c r="E220" s="20">
        <v>-1451.8117299999999</v>
      </c>
      <c r="F220" s="20">
        <v>-1450.6399545608999</v>
      </c>
      <c r="G220" s="20">
        <v>-1451.8767738493</v>
      </c>
      <c r="H220" s="20">
        <v>-1450.822862431</v>
      </c>
      <c r="I220" s="20">
        <v>-1450.8357051728001</v>
      </c>
      <c r="J220" s="20">
        <v>-1452.0342802975999</v>
      </c>
      <c r="K220" s="20">
        <v>-1452.0503449149001</v>
      </c>
      <c r="L220" s="20">
        <v>-1451.5101791242</v>
      </c>
      <c r="M220" s="20">
        <v>-1452.7430852711</v>
      </c>
      <c r="N220" s="20">
        <f>(M220-L220)/2*27.211324570273</f>
        <v>-16.774504663989607</v>
      </c>
      <c r="O220" s="20">
        <f>(E220-G220-D220+F220)/2*27.211324570273</f>
        <v>0.30951913519844348</v>
      </c>
      <c r="P220" s="20">
        <f>(K220-J220-I220+H220)/2*27.211324570273</f>
        <v>-4.3835749977797205E-2</v>
      </c>
      <c r="Q220" s="21">
        <f>(E220+K220-J220-D220-I220+H220-2*C220)*27.211324570273</f>
        <v>-10.229524320986728</v>
      </c>
      <c r="R220" s="21">
        <f>(M220+E220-G220+K220-J220-L220-D220+F220-I220+H220-2*C220)*27.211324570273</f>
        <v>-10.123042557544112</v>
      </c>
      <c r="S220" s="20">
        <v>4.4400000000000004</v>
      </c>
      <c r="T220" s="21">
        <f>-Q220/2-S220</f>
        <v>0.67476216049336379</v>
      </c>
      <c r="U220" s="21">
        <f>-R220/2-S220</f>
        <v>0.62152127877205565</v>
      </c>
      <c r="V220" s="24">
        <v>0.39400000000000002</v>
      </c>
      <c r="W220" s="20">
        <f t="shared" si="10"/>
        <v>0.28076216049336378</v>
      </c>
      <c r="X220" s="20">
        <f t="shared" si="11"/>
        <v>0.22752127877205564</v>
      </c>
    </row>
    <row r="221" spans="1:24" x14ac:dyDescent="0.2">
      <c r="A221" s="19" t="s">
        <v>83</v>
      </c>
      <c r="B221" s="19" t="s">
        <v>30</v>
      </c>
      <c r="C221" s="20">
        <f t="shared" si="9"/>
        <v>-0.42068146923305594</v>
      </c>
      <c r="D221" s="20">
        <v>-1450.6993399999999</v>
      </c>
      <c r="E221" s="20">
        <v>-1451.9032199999999</v>
      </c>
      <c r="F221" s="20">
        <v>-1450.7410635688</v>
      </c>
      <c r="G221" s="20">
        <v>-1451.9676253895</v>
      </c>
      <c r="H221" s="20">
        <v>-1450.822839018</v>
      </c>
      <c r="I221" s="20">
        <v>-1450.8356917612</v>
      </c>
      <c r="J221" s="20">
        <v>-1452.0343416075</v>
      </c>
      <c r="K221" s="20">
        <v>-1452.0503558861001</v>
      </c>
      <c r="L221" s="20">
        <v>-1451.6161595532001</v>
      </c>
      <c r="M221" s="20">
        <v>-1452.8382111728999</v>
      </c>
      <c r="N221" s="20">
        <f>(M221-L221)/2*27.211324570273</f>
        <v>-16.626821632640478</v>
      </c>
      <c r="O221" s="20">
        <f>(E221-G221-D221+F221)/2*27.211324570273</f>
        <v>0.30860119245584255</v>
      </c>
      <c r="P221" s="20">
        <f>(K221-J221-I221+H221)/2*27.211324570273</f>
        <v>-4.3014782955826475E-2</v>
      </c>
      <c r="Q221" s="21">
        <f>(E221+K221-J221-D221-I221+H221-2*C221)*27.211324570273</f>
        <v>-9.9505989895788201</v>
      </c>
      <c r="R221" s="21">
        <f>(M221+E221-G221+K221-J221-L221-D221+F221-I221+H221-2*C221)*27.211324570273</f>
        <v>-9.8278704462809223</v>
      </c>
      <c r="S221" s="20">
        <v>4.4400000000000004</v>
      </c>
      <c r="T221" s="21">
        <f>-Q221/2-S221</f>
        <v>0.53529949478940964</v>
      </c>
      <c r="U221" s="21">
        <f>-R221/2-S221</f>
        <v>0.47393522314046077</v>
      </c>
      <c r="V221" s="24">
        <v>0.39400000000000002</v>
      </c>
      <c r="W221" s="20">
        <f t="shared" si="10"/>
        <v>0.14129949478940962</v>
      </c>
      <c r="X221" s="20">
        <f t="shared" si="11"/>
        <v>7.9935223140460754E-2</v>
      </c>
    </row>
    <row r="222" spans="1:24" x14ac:dyDescent="0.2">
      <c r="A222" s="19" t="s">
        <v>83</v>
      </c>
      <c r="B222" s="19" t="s">
        <v>31</v>
      </c>
      <c r="C222" s="20">
        <f t="shared" si="9"/>
        <v>-0.42068146923305594</v>
      </c>
      <c r="D222" s="20">
        <v>-1450.5976599999999</v>
      </c>
      <c r="E222" s="20">
        <v>-1451.8117299999999</v>
      </c>
      <c r="F222" s="20">
        <v>-1450.6399545608999</v>
      </c>
      <c r="G222" s="20">
        <v>-1451.8767738493</v>
      </c>
      <c r="H222" s="20">
        <v>-1450.822862431</v>
      </c>
      <c r="I222" s="20">
        <v>-1450.8357051728001</v>
      </c>
      <c r="J222" s="20">
        <v>-1452.0342802975999</v>
      </c>
      <c r="K222" s="20">
        <v>-1452.0503449149001</v>
      </c>
      <c r="L222" s="20">
        <v>-1451.0634129810001</v>
      </c>
      <c r="M222" s="20">
        <v>-1452.2878857873</v>
      </c>
      <c r="N222" s="20">
        <f>(M222-L222)/2*27.211324570273</f>
        <v>-16.659763479849804</v>
      </c>
      <c r="O222" s="20">
        <f>(E222-G222-D222+F222)/2*27.211324570273</f>
        <v>0.30951913519844348</v>
      </c>
      <c r="P222" s="20">
        <f>(K222-J222-I222+H222)/2*27.211324570273</f>
        <v>-4.3835749977797205E-2</v>
      </c>
      <c r="Q222" s="21">
        <f>(E222+K222-J222-D222-I222+H222-2*C222)*27.211324570273</f>
        <v>-10.229524320986728</v>
      </c>
      <c r="R222" s="21">
        <f>(M222+E222-G222+K222-J222-L222-D222+F222-I222+H222-2*C222)*27.211324570273</f>
        <v>-9.8935601892583129</v>
      </c>
      <c r="S222" s="20">
        <v>4.4400000000000004</v>
      </c>
      <c r="T222" s="21">
        <f>-Q222/2-S222</f>
        <v>0.67476216049336379</v>
      </c>
      <c r="U222" s="21">
        <f>-R222/2-S222</f>
        <v>0.50678009462915607</v>
      </c>
      <c r="V222" s="24">
        <v>0.39400000000000002</v>
      </c>
      <c r="W222" s="20">
        <f t="shared" si="10"/>
        <v>0.28076216049336378</v>
      </c>
      <c r="X222" s="20">
        <f t="shared" si="11"/>
        <v>0.11278009462915606</v>
      </c>
    </row>
    <row r="223" spans="1:24" x14ac:dyDescent="0.2">
      <c r="A223" s="19" t="s">
        <v>83</v>
      </c>
      <c r="B223" s="19" t="s">
        <v>32</v>
      </c>
      <c r="C223" s="20">
        <f t="shared" si="9"/>
        <v>-0.42068146923305594</v>
      </c>
      <c r="D223" s="20">
        <v>-1450.6993399999999</v>
      </c>
      <c r="E223" s="20">
        <v>-1451.9032199999999</v>
      </c>
      <c r="F223" s="20">
        <v>-1450.7410635688</v>
      </c>
      <c r="G223" s="20">
        <v>-1451.9676253895</v>
      </c>
      <c r="H223" s="20">
        <v>-1450.822839018</v>
      </c>
      <c r="I223" s="20">
        <v>-1450.8356917612</v>
      </c>
      <c r="J223" s="20">
        <v>-1452.0343416075</v>
      </c>
      <c r="K223" s="20">
        <v>-1452.0503558861001</v>
      </c>
      <c r="L223" s="20">
        <v>-1451.1834576936001</v>
      </c>
      <c r="M223" s="20">
        <v>-1452.3972930970999</v>
      </c>
      <c r="N223" s="20">
        <f>(M223-L223)/2*27.211324570273</f>
        <v>-16.515034569761259</v>
      </c>
      <c r="O223" s="20">
        <f>(E223-G223-D223+F223)/2*27.211324570273</f>
        <v>0.30860119245584255</v>
      </c>
      <c r="P223" s="20">
        <f>(K223-J223-I223+H223)/2*27.211324570273</f>
        <v>-4.3014782955826475E-2</v>
      </c>
      <c r="Q223" s="21">
        <f>(E223+K223-J223-D223-I223+H223-2*C223)*27.211324570273</f>
        <v>-9.9505989895788201</v>
      </c>
      <c r="R223" s="21">
        <f>(M223+E223-G223+K223-J223-L223-D223+F223-I223+H223-2*C223)*27.211324570273</f>
        <v>-9.6042963205162959</v>
      </c>
      <c r="S223" s="20">
        <v>4.4400000000000004</v>
      </c>
      <c r="T223" s="21">
        <f>-Q223/2-S223</f>
        <v>0.53529949478940964</v>
      </c>
      <c r="U223" s="21">
        <f>-R223/2-S223</f>
        <v>0.36214816025814756</v>
      </c>
      <c r="V223" s="24">
        <v>0.39400000000000002</v>
      </c>
      <c r="W223" s="20">
        <f t="shared" si="10"/>
        <v>0.14129949478940962</v>
      </c>
      <c r="X223" s="20">
        <f t="shared" si="11"/>
        <v>3.1851839741852461E-2</v>
      </c>
    </row>
    <row r="224" spans="1:24" x14ac:dyDescent="0.2">
      <c r="A224" s="19" t="s">
        <v>83</v>
      </c>
      <c r="B224" s="19" t="s">
        <v>33</v>
      </c>
      <c r="C224" s="20">
        <f t="shared" si="9"/>
        <v>-0.42068146923305594</v>
      </c>
      <c r="D224" s="20">
        <v>-1451.1426100000001</v>
      </c>
      <c r="E224" s="20">
        <v>-1452.33464</v>
      </c>
      <c r="F224" s="20">
        <v>-1451.1837871973</v>
      </c>
      <c r="G224" s="20">
        <v>-1452.3976456907999</v>
      </c>
      <c r="H224" s="20">
        <v>-1450.8227436408999</v>
      </c>
      <c r="I224" s="20">
        <v>-1450.8353874072</v>
      </c>
      <c r="J224" s="20">
        <v>-1452.0342456912999</v>
      </c>
      <c r="K224" s="20">
        <v>-1452.0500707248</v>
      </c>
      <c r="L224" s="20">
        <v>-1451.1838928428999</v>
      </c>
      <c r="M224" s="20">
        <v>-1452.3978189386</v>
      </c>
      <c r="N224" s="20">
        <f>(M224-L224)/2*27.211324570273</f>
        <v>-16.516268497210085</v>
      </c>
      <c r="O224" s="20">
        <f>(E224-G224-D224+F224)/2*27.211324570273</f>
        <v>0.29699111075327222</v>
      </c>
      <c r="P224" s="20">
        <f>(K224-J224-I224+H224)/2*27.211324570273</f>
        <v>-4.3283247162447094E-2</v>
      </c>
      <c r="Q224" s="21">
        <f>(E224+K224-J224-D224-I224+H224-2*C224)*27.211324570273</f>
        <v>-9.6286817218317413</v>
      </c>
      <c r="R224" s="21">
        <f>(M224+E224-G224+K224-J224-L224-D224+F224-I224+H224-2*C224)*27.211324570273</f>
        <v>-9.6305212672261415</v>
      </c>
      <c r="S224" s="20">
        <v>4.4400000000000004</v>
      </c>
      <c r="T224" s="21">
        <f>-Q224/2-S224</f>
        <v>0.37434086091587027</v>
      </c>
      <c r="U224" s="21">
        <f>-R224/2-S224</f>
        <v>0.37526063361307038</v>
      </c>
      <c r="V224" s="24">
        <v>0.39400000000000002</v>
      </c>
      <c r="W224" s="20">
        <f t="shared" si="10"/>
        <v>1.9659139084129751E-2</v>
      </c>
      <c r="X224" s="20">
        <f t="shared" si="11"/>
        <v>1.8739366386929635E-2</v>
      </c>
    </row>
    <row r="225" spans="1:24" ht="15" customHeight="1" x14ac:dyDescent="0.2">
      <c r="A225" s="19" t="s">
        <v>83</v>
      </c>
      <c r="B225" s="19" t="s">
        <v>42</v>
      </c>
      <c r="C225" s="20">
        <f t="shared" si="9"/>
        <v>-0.42068146923305594</v>
      </c>
      <c r="D225" s="20">
        <v>-1451.1431700000001</v>
      </c>
      <c r="E225" s="20">
        <v>-1452.33527</v>
      </c>
      <c r="F225" s="20">
        <v>-1451.1843872561001</v>
      </c>
      <c r="G225" s="20">
        <v>-1452.3984010407</v>
      </c>
      <c r="H225" s="20">
        <v>-1450.8227422921</v>
      </c>
      <c r="I225" s="20">
        <v>-1450.8353742003001</v>
      </c>
      <c r="J225" s="20">
        <v>-1452.0342499973001</v>
      </c>
      <c r="K225" s="20">
        <v>-1452.0500663659</v>
      </c>
      <c r="L225" s="20">
        <v>-1451.1838932881001</v>
      </c>
      <c r="M225" s="20">
        <v>-1452.3978184604</v>
      </c>
      <c r="N225" s="20">
        <f>(M225-L225)/2*27.211324570273</f>
        <v>-16.516255933738893</v>
      </c>
      <c r="O225" s="20">
        <f>(E225-G225-D225+F225)/2*27.211324570273</f>
        <v>0.29815155265647064</v>
      </c>
      <c r="P225" s="20">
        <f>(K225-J225-I225+H225)/2*27.211324570273</f>
        <v>-4.3326692759793492E-2</v>
      </c>
      <c r="Q225" s="21">
        <f>(E225+K225-J225-D225-I225+H225-2*C225)*27.211324570273</f>
        <v>-9.6306734057415451</v>
      </c>
      <c r="R225" s="21">
        <f>(M225+E225-G225+K225-J225-L225-D225+F225-I225+H225-2*C225)*27.211324570273</f>
        <v>-9.6282621476844348</v>
      </c>
      <c r="S225" s="20">
        <v>4.4400000000000004</v>
      </c>
      <c r="T225" s="21">
        <f>-Q225/2-S225</f>
        <v>0.37533670287077214</v>
      </c>
      <c r="U225" s="21">
        <f>-R225/2-S225</f>
        <v>0.374131073842217</v>
      </c>
      <c r="V225" s="24">
        <v>0.39400000000000002</v>
      </c>
      <c r="W225" s="20">
        <f t="shared" si="10"/>
        <v>1.8663297129227874E-2</v>
      </c>
      <c r="X225" s="20">
        <f t="shared" si="11"/>
        <v>1.9868926157783018E-2</v>
      </c>
    </row>
    <row r="226" spans="1:24" ht="15" customHeight="1" x14ac:dyDescent="0.2">
      <c r="A226" s="19" t="s">
        <v>83</v>
      </c>
      <c r="B226" s="19" t="s">
        <v>43</v>
      </c>
      <c r="C226" s="20">
        <f t="shared" si="9"/>
        <v>-0.42068146923305594</v>
      </c>
      <c r="D226" s="20">
        <v>-1450.6993399999999</v>
      </c>
      <c r="E226" s="20">
        <v>-1451.9032199999999</v>
      </c>
      <c r="F226" s="20">
        <v>-1450.7410635688</v>
      </c>
      <c r="G226" s="20">
        <v>-1451.9676253895</v>
      </c>
      <c r="H226" s="20">
        <v>-1450.822839018</v>
      </c>
      <c r="I226" s="20">
        <v>-1450.8356917612</v>
      </c>
      <c r="J226" s="20">
        <v>-1452.0343416075</v>
      </c>
      <c r="K226" s="20">
        <v>-1452.0503558861001</v>
      </c>
      <c r="L226" s="20">
        <v>-1449.6314427910499</v>
      </c>
      <c r="M226" s="20">
        <v>-1450.85747835302</v>
      </c>
      <c r="N226" s="20">
        <f>(M226-L226)/2*27.211324570273</f>
        <v>-16.681025805732631</v>
      </c>
      <c r="O226" s="20">
        <f>(E226-G226-D226+F226)/2*27.211324570273</f>
        <v>0.30860119245584255</v>
      </c>
      <c r="P226" s="20">
        <f>(K226-J226-I226+H226)/2*27.211324570273</f>
        <v>-4.3014782955826475E-2</v>
      </c>
      <c r="Q226" s="21">
        <f>(E226+K226-J226-D226-I226+H226-2*C226)*27.211324570273</f>
        <v>-9.9505989895788201</v>
      </c>
      <c r="R226" s="21">
        <f>(M226+E226-G226+K226-J226-L226-D226+F226-I226+H226-2*C226)*27.211324570273</f>
        <v>-9.9362787924652274</v>
      </c>
      <c r="S226" s="20">
        <v>4.4400000000000004</v>
      </c>
      <c r="T226" s="21">
        <f>-Q226/2-S226</f>
        <v>0.53529949478940964</v>
      </c>
      <c r="U226" s="21">
        <f>-R226/2-S226</f>
        <v>0.5281393962326133</v>
      </c>
      <c r="V226" s="24">
        <v>0.39400000000000002</v>
      </c>
      <c r="W226" s="20">
        <f t="shared" si="10"/>
        <v>0.14129949478940962</v>
      </c>
      <c r="X226" s="20">
        <f t="shared" si="11"/>
        <v>0.13413939623261328</v>
      </c>
    </row>
    <row r="227" spans="1:24" x14ac:dyDescent="0.2">
      <c r="A227" s="19" t="s">
        <v>84</v>
      </c>
      <c r="B227" s="19" t="s">
        <v>27</v>
      </c>
      <c r="C227" s="20">
        <f t="shared" si="9"/>
        <v>-0.42068146923305594</v>
      </c>
      <c r="D227" s="20">
        <f>-2219.10205</f>
        <v>-2219.10205</v>
      </c>
      <c r="E227" s="20">
        <v>-2220.3316599999998</v>
      </c>
      <c r="F227" s="20">
        <v>-2219.1119708320002</v>
      </c>
      <c r="G227" s="20">
        <v>-2220.3658969040998</v>
      </c>
      <c r="H227" s="20">
        <v>-2219.5368400815</v>
      </c>
      <c r="I227" s="20">
        <v>-2219.5411195465999</v>
      </c>
      <c r="J227" s="20">
        <v>-2220.7708592582999</v>
      </c>
      <c r="K227" s="20">
        <v>-2220.7781913572999</v>
      </c>
      <c r="L227" s="20">
        <v>-2220.1293275373</v>
      </c>
      <c r="M227" s="20">
        <v>-2221.3787600198002</v>
      </c>
      <c r="N227" s="20">
        <f>(M227-L227)/2*27.211324570273</f>
        <v>-16.999356404977398</v>
      </c>
      <c r="O227" s="20">
        <f>(E227-G227-D227+F227)/2*27.211324570273</f>
        <v>0.33083626509004654</v>
      </c>
      <c r="P227" s="20">
        <f>(K227-J227-I227+H227)/2*27.211324570273</f>
        <v>-4.1533105924880728E-2</v>
      </c>
      <c r="Q227" s="21">
        <f>(E227+K227-J227-D227-I227+H227-2*C227)*27.211324570273</f>
        <v>-10.647783016699497</v>
      </c>
      <c r="R227" s="21">
        <f>(M227+E227-G227+K227-J227-L227-D227+F227-I227+H227-2*C227)*27.211324570273</f>
        <v>-10.525506491624462</v>
      </c>
      <c r="S227" s="20">
        <v>4.4400000000000004</v>
      </c>
      <c r="T227" s="21">
        <f>-Q227/2-S227</f>
        <v>0.88389150834974828</v>
      </c>
      <c r="U227" s="21">
        <f>-R227/2-S227</f>
        <v>0.82275324581223064</v>
      </c>
      <c r="V227" s="24">
        <v>0.7</v>
      </c>
      <c r="W227" s="20">
        <f t="shared" si="10"/>
        <v>0.18389150834974832</v>
      </c>
      <c r="X227" s="20">
        <f t="shared" si="11"/>
        <v>0.12275324581223068</v>
      </c>
    </row>
    <row r="228" spans="1:24" x14ac:dyDescent="0.2">
      <c r="A228" s="19" t="s">
        <v>84</v>
      </c>
      <c r="B228" s="19" t="s">
        <v>145</v>
      </c>
      <c r="C228" s="20">
        <f t="shared" si="9"/>
        <v>-0.42068146923305594</v>
      </c>
      <c r="D228" s="20">
        <v>-2218.8231300000002</v>
      </c>
      <c r="E228" s="20">
        <v>-2220.05015</v>
      </c>
      <c r="F228" s="20">
        <v>-2218.8342582864002</v>
      </c>
      <c r="G228" s="20">
        <v>-2220.0865390957001</v>
      </c>
      <c r="H228" s="20">
        <v>-2219.5372482838002</v>
      </c>
      <c r="I228" s="20">
        <v>-2219.5413083261001</v>
      </c>
      <c r="J228" s="20">
        <v>-2220.7712669603002</v>
      </c>
      <c r="K228" s="20">
        <v>-2220.7786260070002</v>
      </c>
      <c r="L228" s="20">
        <v>-2219.8471395024999</v>
      </c>
      <c r="M228" s="20">
        <v>-2221.0957246868002</v>
      </c>
      <c r="N228" s="20">
        <f>(M228-L228)/2*27.211324570273</f>
        <v>-16.987828351814553</v>
      </c>
      <c r="O228" s="20">
        <f>(E228-G228-D228+F228)/2*27.211324570273</f>
        <v>0.34369004038649403</v>
      </c>
      <c r="P228" s="20">
        <f>(K228-J228-I228+H228)/2*27.211324570273</f>
        <v>-4.488513974501248E-2</v>
      </c>
      <c r="Q228" s="21">
        <f>(E228+K228-J228-D228-I228+H228-2*C228)*27.211324570273</f>
        <v>-10.584009753688891</v>
      </c>
      <c r="R228" s="21">
        <f>(M228+E228-G228+K228-J228-L228-D228+F228-I228+H228-2*C228)*27.211324570273</f>
        <v>-10.483446902346142</v>
      </c>
      <c r="S228" s="20">
        <v>4.4400000000000004</v>
      </c>
      <c r="T228" s="21">
        <f>-Q228/2-S228</f>
        <v>0.85200487684444504</v>
      </c>
      <c r="U228" s="21">
        <f>-R228/2-S228</f>
        <v>0.80172345117307042</v>
      </c>
      <c r="V228" s="24">
        <v>0.7</v>
      </c>
      <c r="W228" s="20">
        <f t="shared" si="10"/>
        <v>0.15200487684444508</v>
      </c>
      <c r="X228" s="20">
        <f t="shared" si="11"/>
        <v>0.10172345117307047</v>
      </c>
    </row>
    <row r="229" spans="1:24" x14ac:dyDescent="0.2">
      <c r="A229" s="19" t="s">
        <v>84</v>
      </c>
      <c r="B229" s="19" t="s">
        <v>29</v>
      </c>
      <c r="C229" s="20">
        <f t="shared" si="9"/>
        <v>-0.42068146923305594</v>
      </c>
      <c r="D229" s="20">
        <v>-2219.1576700000001</v>
      </c>
      <c r="E229" s="20">
        <v>-2220.3937299999998</v>
      </c>
      <c r="F229" s="20">
        <v>-2219.1690629536001</v>
      </c>
      <c r="G229" s="20">
        <v>-2220.4294726940002</v>
      </c>
      <c r="H229" s="20">
        <v>-2219.5372606952001</v>
      </c>
      <c r="I229" s="20">
        <v>-2219.5413788627002</v>
      </c>
      <c r="J229" s="20">
        <v>-2220.7712286351002</v>
      </c>
      <c r="K229" s="20">
        <v>-2220.7785472137002</v>
      </c>
      <c r="L229" s="20">
        <v>-2220.1787596387999</v>
      </c>
      <c r="M229" s="20">
        <v>-2221.4347386753998</v>
      </c>
      <c r="N229" s="20">
        <f>(M229-L229)/2*27.211324570273</f>
        <v>-17.088426609189479</v>
      </c>
      <c r="O229" s="20">
        <f>(E229-G229-D229+F229)/2*27.211324570273</f>
        <v>0.33129434461775981</v>
      </c>
      <c r="P229" s="20">
        <f>(K229-J229-I229+H229)/2*27.211324570273</f>
        <v>-4.3543712598799238E-2</v>
      </c>
      <c r="Q229" s="21">
        <f>(E229+K229-J229-D229-I229+H229-2*C229)*27.211324570273</f>
        <v>-10.827317273521755</v>
      </c>
      <c r="R229" s="21">
        <f>(M229+E229-G229+K229-J229-L229-D229+F229-I229+H229-2*C229)*27.211324570273</f>
        <v>-10.706751954328663</v>
      </c>
      <c r="S229" s="20">
        <v>4.4400000000000004</v>
      </c>
      <c r="T229" s="21">
        <f>-Q229/2-S229</f>
        <v>0.97365863676087727</v>
      </c>
      <c r="U229" s="21">
        <f>-R229/2-S229</f>
        <v>0.91337597716433105</v>
      </c>
      <c r="V229" s="24">
        <v>0.7</v>
      </c>
      <c r="W229" s="20">
        <f t="shared" si="10"/>
        <v>0.27365863676087732</v>
      </c>
      <c r="X229" s="20">
        <f t="shared" si="11"/>
        <v>0.2133759771643311</v>
      </c>
    </row>
    <row r="230" spans="1:24" x14ac:dyDescent="0.2">
      <c r="A230" s="19" t="s">
        <v>84</v>
      </c>
      <c r="B230" s="19" t="s">
        <v>30</v>
      </c>
      <c r="C230" s="20">
        <f t="shared" si="9"/>
        <v>-0.42068146923305594</v>
      </c>
      <c r="D230" s="20">
        <v>-2219.3468699999999</v>
      </c>
      <c r="E230" s="20">
        <v>-2220.5727499999998</v>
      </c>
      <c r="F230" s="20">
        <v>-2219.3575645417</v>
      </c>
      <c r="G230" s="20">
        <v>-2220.6077754778998</v>
      </c>
      <c r="H230" s="20">
        <v>-2219.5372445835001</v>
      </c>
      <c r="I230" s="20">
        <v>-2219.5414059067998</v>
      </c>
      <c r="J230" s="20">
        <v>-2220.7712061789998</v>
      </c>
      <c r="K230" s="20">
        <v>-2220.7785256149</v>
      </c>
      <c r="L230" s="20">
        <v>-2220.3653815649</v>
      </c>
      <c r="M230" s="20">
        <v>-2221.6105197319998</v>
      </c>
      <c r="N230" s="20">
        <f>(M230-L230)/2*27.211324570273</f>
        <v>-16.94092939989465</v>
      </c>
      <c r="O230" s="20">
        <f>(E230-G230-D230+F230)/2*27.211324570273</f>
        <v>0.33103850101746191</v>
      </c>
      <c r="P230" s="20">
        <f>(K230-J230-I230+H230)/2*27.211324570273</f>
        <v>-4.296821349990107E-2</v>
      </c>
      <c r="Q230" s="21">
        <f>(E230+K230-J230-D230-I230+H230-2*C230)*27.211324570273</f>
        <v>-10.549154991192632</v>
      </c>
      <c r="R230" s="21">
        <f>(M230+E230-G230+K230-J230-L230-D230+F230-I230+H230-2*C230)*27.211324570273</f>
        <v>-10.411118224754182</v>
      </c>
      <c r="S230" s="20">
        <v>4.4400000000000004</v>
      </c>
      <c r="T230" s="21">
        <f>-Q230/2-S230</f>
        <v>0.83457749559631544</v>
      </c>
      <c r="U230" s="21">
        <f>-R230/2-S230</f>
        <v>0.7655591123770904</v>
      </c>
      <c r="V230" s="24">
        <v>0.7</v>
      </c>
      <c r="W230" s="20">
        <f t="shared" si="10"/>
        <v>0.13457749559631549</v>
      </c>
      <c r="X230" s="20">
        <f t="shared" si="11"/>
        <v>6.5559112377090445E-2</v>
      </c>
    </row>
    <row r="231" spans="1:24" x14ac:dyDescent="0.2">
      <c r="A231" s="19" t="s">
        <v>84</v>
      </c>
      <c r="B231" s="19" t="s">
        <v>31</v>
      </c>
      <c r="C231" s="20">
        <f t="shared" si="9"/>
        <v>-0.42068146923305594</v>
      </c>
      <c r="D231" s="20">
        <v>-2219.1576700000001</v>
      </c>
      <c r="E231" s="20">
        <v>-2220.3937299999998</v>
      </c>
      <c r="F231" s="20">
        <v>-2219.1690629536001</v>
      </c>
      <c r="G231" s="20">
        <v>-2220.4294726940002</v>
      </c>
      <c r="H231" s="20">
        <v>-2219.5372606952001</v>
      </c>
      <c r="I231" s="20">
        <v>-2219.5413788627002</v>
      </c>
      <c r="J231" s="20">
        <v>-2220.7712286351002</v>
      </c>
      <c r="K231" s="20">
        <v>-2220.7785472137002</v>
      </c>
      <c r="L231" s="20">
        <v>-2219.6590690501998</v>
      </c>
      <c r="M231" s="20">
        <v>-2220.9069624699</v>
      </c>
      <c r="N231" s="20">
        <f>(M231-L231)/2*27.211324570273</f>
        <v>-16.978416436284704</v>
      </c>
      <c r="O231" s="20">
        <f>(E231-G231-D231+F231)/2*27.211324570273</f>
        <v>0.33129434461775981</v>
      </c>
      <c r="P231" s="20">
        <f>(K231-J231-I231+H231)/2*27.211324570273</f>
        <v>-4.3543712598799238E-2</v>
      </c>
      <c r="Q231" s="21">
        <f>(E231+K231-J231-D231-I231+H231-2*C231)*27.211324570273</f>
        <v>-10.827317273521755</v>
      </c>
      <c r="R231" s="21">
        <f>(M231+E231-G231+K231-J231-L231-D231+F231-I231+H231-2*C231)*27.211324570273</f>
        <v>-10.486731608531484</v>
      </c>
      <c r="S231" s="20">
        <v>4.4400000000000004</v>
      </c>
      <c r="T231" s="21">
        <f>-Q231/2-S231</f>
        <v>0.97365863676087727</v>
      </c>
      <c r="U231" s="21">
        <f>-R231/2-S231</f>
        <v>0.80336580426574145</v>
      </c>
      <c r="V231" s="24">
        <v>0.7</v>
      </c>
      <c r="W231" s="20">
        <f t="shared" si="10"/>
        <v>0.27365863676087732</v>
      </c>
      <c r="X231" s="20">
        <f t="shared" si="11"/>
        <v>0.10336580426574149</v>
      </c>
    </row>
    <row r="232" spans="1:24" x14ac:dyDescent="0.2">
      <c r="A232" s="19" t="s">
        <v>84</v>
      </c>
      <c r="B232" s="19" t="s">
        <v>32</v>
      </c>
      <c r="C232" s="20">
        <f t="shared" si="9"/>
        <v>-0.42068146923305594</v>
      </c>
      <c r="D232" s="20">
        <v>-2219.3468699999999</v>
      </c>
      <c r="E232" s="20">
        <v>-2220.5727499999998</v>
      </c>
      <c r="F232" s="20">
        <v>-2219.3575645417</v>
      </c>
      <c r="G232" s="20">
        <v>-2220.6077754778998</v>
      </c>
      <c r="H232" s="20">
        <v>-2219.5372445835001</v>
      </c>
      <c r="I232" s="20">
        <v>-2219.5414059067998</v>
      </c>
      <c r="J232" s="20">
        <v>-2220.7712061789998</v>
      </c>
      <c r="K232" s="20">
        <v>-2220.7785256149</v>
      </c>
      <c r="L232" s="20">
        <v>-2219.8660060974998</v>
      </c>
      <c r="M232" s="20">
        <v>-2221.1031555288</v>
      </c>
      <c r="N232" s="20">
        <f>(M232-L232)/2*27.211324570273</f>
        <v>-16.832237358518761</v>
      </c>
      <c r="O232" s="20">
        <f>(E232-G232-D232+F232)/2*27.211324570273</f>
        <v>0.33103850101746191</v>
      </c>
      <c r="P232" s="20">
        <f>(K232-J232-I232+H232)/2*27.211324570273</f>
        <v>-4.296821349990107E-2</v>
      </c>
      <c r="Q232" s="21">
        <f>(E232+K232-J232-D232-I232+H232-2*C232)*27.211324570273</f>
        <v>-10.549154991192632</v>
      </c>
      <c r="R232" s="21">
        <f>(M232+E232-G232+K232-J232-L232-D232+F232-I232+H232-2*C232)*27.211324570273</f>
        <v>-10.193734142014772</v>
      </c>
      <c r="S232" s="20">
        <v>4.4400000000000004</v>
      </c>
      <c r="T232" s="21">
        <f>-Q232/2-S232</f>
        <v>0.83457749559631544</v>
      </c>
      <c r="U232" s="21">
        <f>-R232/2-S232</f>
        <v>0.65686707100738584</v>
      </c>
      <c r="V232" s="24">
        <v>0.7</v>
      </c>
      <c r="W232" s="20">
        <f t="shared" si="10"/>
        <v>0.13457749559631549</v>
      </c>
      <c r="X232" s="20">
        <f t="shared" si="11"/>
        <v>4.3132928992614117E-2</v>
      </c>
    </row>
    <row r="233" spans="1:24" x14ac:dyDescent="0.2">
      <c r="A233" s="19" t="s">
        <v>84</v>
      </c>
      <c r="B233" s="19" t="s">
        <v>33</v>
      </c>
      <c r="C233" s="20">
        <f t="shared" si="9"/>
        <v>-0.42068146923305594</v>
      </c>
      <c r="D233" s="20">
        <v>-2219.8558699999999</v>
      </c>
      <c r="E233" s="20">
        <v>-2221.0694800000001</v>
      </c>
      <c r="F233" s="20">
        <v>-2219.8662553697</v>
      </c>
      <c r="G233" s="20">
        <v>-2221.1035601806002</v>
      </c>
      <c r="H233" s="20">
        <v>-2219.5370606277002</v>
      </c>
      <c r="I233" s="20">
        <v>-2219.5412822735002</v>
      </c>
      <c r="J233" s="20">
        <v>-2220.7710570251002</v>
      </c>
      <c r="K233" s="20">
        <v>-2220.7782819982999</v>
      </c>
      <c r="L233" s="20">
        <v>-2219.8665051275998</v>
      </c>
      <c r="M233" s="20">
        <v>-2221.1037743039001</v>
      </c>
      <c r="N233" s="20">
        <f>(M233-L233)/2*27.211324570273</f>
        <v>-16.833866568550725</v>
      </c>
      <c r="O233" s="20">
        <f>(E233-G233-D233+F233)/2*27.211324570273</f>
        <v>0.32238359501552782</v>
      </c>
      <c r="P233" s="20">
        <f>(K233-J233-I233+H233)/2*27.211324570273</f>
        <v>-4.0862258332158799E-2</v>
      </c>
      <c r="Q233" s="21">
        <f>(E233+K233-J233-D233-I233+H233-2*C233)*27.211324570273</f>
        <v>-10.211060128412356</v>
      </c>
      <c r="R233" s="21">
        <f>(M233+E233-G233+K233-J233-L233-D233+F233-I233+H233-2*C233)*27.211324570273</f>
        <v>-10.210090463722342</v>
      </c>
      <c r="S233" s="20">
        <v>4.4400000000000004</v>
      </c>
      <c r="T233" s="21">
        <f>-Q233/2-S233</f>
        <v>0.66553006420617766</v>
      </c>
      <c r="U233" s="21">
        <f>-R233/2-S233</f>
        <v>0.66504523186117037</v>
      </c>
      <c r="V233" s="24">
        <v>0.7</v>
      </c>
      <c r="W233" s="20">
        <f t="shared" si="10"/>
        <v>3.4469935793822293E-2</v>
      </c>
      <c r="X233" s="20">
        <f t="shared" si="11"/>
        <v>3.4954768138829584E-2</v>
      </c>
    </row>
    <row r="234" spans="1:24" ht="15" customHeight="1" x14ac:dyDescent="0.2">
      <c r="A234" s="19" t="s">
        <v>84</v>
      </c>
      <c r="B234" s="19" t="s">
        <v>42</v>
      </c>
      <c r="C234" s="20">
        <f t="shared" si="9"/>
        <v>-0.42068146923305594</v>
      </c>
      <c r="D234" s="20">
        <v>-2219.8569299999999</v>
      </c>
      <c r="E234" s="20">
        <v>-2221.0700900000002</v>
      </c>
      <c r="F234" s="20">
        <v>-2219.8668491798999</v>
      </c>
      <c r="G234" s="20">
        <v>-2221.10427501</v>
      </c>
      <c r="H234" s="20">
        <v>-2219.5370800504002</v>
      </c>
      <c r="I234" s="20">
        <v>-2219.5412936203002</v>
      </c>
      <c r="J234" s="20">
        <v>-2220.7710506302001</v>
      </c>
      <c r="K234" s="20">
        <v>-2220.7782615554001</v>
      </c>
      <c r="L234" s="20">
        <v>-2219.8665049192</v>
      </c>
      <c r="M234" s="20">
        <v>-2221.1037737781999</v>
      </c>
      <c r="N234" s="20">
        <f>(M234-L234)/2*27.211324570273</f>
        <v>-16.833862251468386</v>
      </c>
      <c r="O234" s="20">
        <f>(E234-G234-D234+F234)/2*27.211324570273</f>
        <v>0.33015268940802528</v>
      </c>
      <c r="P234" s="20">
        <f>(K234-J234-I234+H234)/2*27.211324570273</f>
        <v>-4.0781003961279441E-2</v>
      </c>
      <c r="Q234" s="21">
        <f>(E234+K234-J234-D234-I234+H234-2*C234)*27.211324570273</f>
        <v>-10.198652523589205</v>
      </c>
      <c r="R234" s="21">
        <f>(M234+E234-G234+K234-J234-L234-D234+F234-I234+H234-2*C234)*27.211324570273</f>
        <v>-10.194381132043279</v>
      </c>
      <c r="S234" s="20">
        <v>4.4400000000000004</v>
      </c>
      <c r="T234" s="21">
        <f>-Q234/2-S234</f>
        <v>0.65932626179460208</v>
      </c>
      <c r="U234" s="21">
        <f>-R234/2-S234</f>
        <v>0.65719056602163928</v>
      </c>
      <c r="V234" s="24">
        <v>0.7</v>
      </c>
      <c r="W234" s="20">
        <f t="shared" si="10"/>
        <v>4.067373820539788E-2</v>
      </c>
      <c r="X234" s="20">
        <f t="shared" si="11"/>
        <v>4.2809433978360678E-2</v>
      </c>
    </row>
    <row r="235" spans="1:24" ht="15" customHeight="1" x14ac:dyDescent="0.2">
      <c r="A235" s="19" t="s">
        <v>84</v>
      </c>
      <c r="B235" s="19" t="s">
        <v>43</v>
      </c>
      <c r="C235" s="20">
        <f t="shared" si="9"/>
        <v>-0.42068146923305594</v>
      </c>
      <c r="D235" s="20">
        <v>-2219.3468699999999</v>
      </c>
      <c r="E235" s="20">
        <v>-2220.5727499999998</v>
      </c>
      <c r="F235" s="20">
        <v>-2219.3575645417</v>
      </c>
      <c r="G235" s="20">
        <v>-2220.6077754778998</v>
      </c>
      <c r="H235" s="20">
        <v>-2219.5372445835001</v>
      </c>
      <c r="I235" s="20">
        <v>-2219.5414059067998</v>
      </c>
      <c r="J235" s="20">
        <v>-2220.7712061789998</v>
      </c>
      <c r="K235" s="20">
        <v>-2220.7785256149</v>
      </c>
      <c r="L235" s="20">
        <v>-2217.60551913361</v>
      </c>
      <c r="M235" s="20">
        <v>-2218.85246612832</v>
      </c>
      <c r="N235" s="20">
        <f>(M235-L235)/2*27.211324570273</f>
        <v>-16.965539697490357</v>
      </c>
      <c r="O235" s="20">
        <f>(E235-G235-D235+F235)/2*27.211324570273</f>
        <v>0.33103850101746191</v>
      </c>
      <c r="P235" s="20">
        <f>(K235-J235-I235+H235)/2*27.211324570273</f>
        <v>-4.296821349990107E-2</v>
      </c>
      <c r="Q235" s="21">
        <f>(E235+K235-J235-D235-I235+H235-2*C235)*27.211324570273</f>
        <v>-10.549154991192632</v>
      </c>
      <c r="R235" s="21">
        <f>(M235+E235-G235+K235-J235-L235-D235+F235-I235+H235-2*C235)*27.211324570273</f>
        <v>-10.460338819957963</v>
      </c>
      <c r="S235" s="20">
        <v>4.4400000000000004</v>
      </c>
      <c r="T235" s="21">
        <f>-Q235/2-S235</f>
        <v>0.83457749559631544</v>
      </c>
      <c r="U235" s="21">
        <f>-R235/2-S235</f>
        <v>0.79016940997898111</v>
      </c>
      <c r="V235" s="24">
        <v>0.7</v>
      </c>
      <c r="W235" s="20">
        <f t="shared" si="10"/>
        <v>0.13457749559631549</v>
      </c>
      <c r="X235" s="20">
        <f t="shared" si="11"/>
        <v>9.0169409978981152E-2</v>
      </c>
    </row>
    <row r="236" spans="1:24" x14ac:dyDescent="0.2">
      <c r="A236" s="19" t="s">
        <v>85</v>
      </c>
      <c r="B236" s="19" t="s">
        <v>27</v>
      </c>
      <c r="C236" s="20">
        <f t="shared" si="9"/>
        <v>-0.42068146923305594</v>
      </c>
      <c r="D236" s="20">
        <f>-681.87358</f>
        <v>-681.87357999999995</v>
      </c>
      <c r="E236" s="20">
        <v>-683.08011999999997</v>
      </c>
      <c r="F236" s="20">
        <v>-681.94328773309996</v>
      </c>
      <c r="G236" s="20">
        <v>-683.17346752020001</v>
      </c>
      <c r="H236" s="20">
        <v>-682.07209679519997</v>
      </c>
      <c r="I236" s="20">
        <v>-682.09706983809997</v>
      </c>
      <c r="J236" s="20">
        <v>-683.28911189489997</v>
      </c>
      <c r="K236" s="20">
        <v>-683.31338854429998</v>
      </c>
      <c r="L236" s="20">
        <v>-682.68035497790004</v>
      </c>
      <c r="M236" s="20">
        <v>-683.90676664329999</v>
      </c>
      <c r="N236" s="20">
        <f>(M236-L236)/2*27.211324570273</f>
        <v>-16.686142941983555</v>
      </c>
      <c r="O236" s="20">
        <f>(E236-G236-D236+F236)/2*27.211324570273</f>
        <v>0.32163495977544704</v>
      </c>
      <c r="P236" s="20">
        <f>(K236-J236-I236+H236)/2*27.211324570273</f>
        <v>9.47489477846984E-3</v>
      </c>
      <c r="Q236" s="21">
        <f>(E236+K236-J236-D236-I236+H236-2*C236)*27.211324570273</f>
        <v>-9.9180017574607398</v>
      </c>
      <c r="R236" s="21">
        <f>(M236+E236-G236+K236-J236-L236-D236+F236-I236+H236-2*C236)*27.211324570273</f>
        <v>-9.8154661748561836</v>
      </c>
      <c r="S236" s="20">
        <v>4.4400000000000004</v>
      </c>
      <c r="T236" s="21">
        <f>-Q236/2-S236</f>
        <v>0.51900087873036949</v>
      </c>
      <c r="U236" s="21">
        <f>-R236/2-S236</f>
        <v>0.46773308742809139</v>
      </c>
      <c r="V236" s="24">
        <v>0.28000000000000003</v>
      </c>
      <c r="W236" s="20">
        <f t="shared" si="10"/>
        <v>0.23900087873036946</v>
      </c>
      <c r="X236" s="20">
        <f t="shared" si="11"/>
        <v>0.18773308742809136</v>
      </c>
    </row>
    <row r="237" spans="1:24" x14ac:dyDescent="0.2">
      <c r="A237" s="19" t="s">
        <v>85</v>
      </c>
      <c r="B237" s="19" t="s">
        <v>145</v>
      </c>
      <c r="C237" s="20">
        <f t="shared" si="9"/>
        <v>-0.42068146923305594</v>
      </c>
      <c r="D237" s="20">
        <v>-681.57878000000005</v>
      </c>
      <c r="E237" s="20">
        <v>-682.78737000000001</v>
      </c>
      <c r="F237" s="20">
        <v>-681.64986786650002</v>
      </c>
      <c r="G237" s="20">
        <v>-682.88119298330002</v>
      </c>
      <c r="H237" s="20">
        <v>-682.07203578220003</v>
      </c>
      <c r="I237" s="20">
        <v>-682.0966579633</v>
      </c>
      <c r="J237" s="20">
        <v>-683.28919648479996</v>
      </c>
      <c r="K237" s="20">
        <v>-683.31291321970002</v>
      </c>
      <c r="L237" s="20">
        <v>-682.39672003210001</v>
      </c>
      <c r="M237" s="20">
        <v>-683.62599575870001</v>
      </c>
      <c r="N237" s="20">
        <f>(M237-L237)/2*27.211324570273</f>
        <v>-16.725110391435496</v>
      </c>
      <c r="O237" s="20">
        <f>(E237-G237-D237+F237)/2*27.211324570273</f>
        <v>0.30932632119460785</v>
      </c>
      <c r="P237" s="20">
        <f>(K237-J237-I237+H237)/2*27.211324570273</f>
        <v>1.2319195213315386E-2</v>
      </c>
      <c r="Q237" s="21">
        <f>(E237+K237-J237-D237-I237+H237-2*C237)*27.211324570273</f>
        <v>-9.9680963719584792</v>
      </c>
      <c r="R237" s="21">
        <f>(M237+E237-G237+K237-J237-L237-D237+F237-I237+H237-2*C237)*27.211324570273</f>
        <v>-9.912329750052054</v>
      </c>
      <c r="S237" s="20">
        <v>4.4400000000000004</v>
      </c>
      <c r="T237" s="21">
        <f>-Q237/2-S237</f>
        <v>0.54404818597923921</v>
      </c>
      <c r="U237" s="21">
        <f>-R237/2-S237</f>
        <v>0.51616487502602659</v>
      </c>
      <c r="V237" s="24">
        <v>0.28000000000000003</v>
      </c>
      <c r="W237" s="20">
        <f t="shared" si="10"/>
        <v>0.26404818597923918</v>
      </c>
      <c r="X237" s="20">
        <f t="shared" si="11"/>
        <v>0.23616487502602657</v>
      </c>
    </row>
    <row r="238" spans="1:24" x14ac:dyDescent="0.2">
      <c r="A238" s="19" t="s">
        <v>85</v>
      </c>
      <c r="B238" s="19" t="s">
        <v>29</v>
      </c>
      <c r="C238" s="20">
        <f t="shared" si="9"/>
        <v>-0.42068146923305594</v>
      </c>
      <c r="D238" s="20">
        <v>-682.00752999999997</v>
      </c>
      <c r="E238" s="20">
        <v>-683.22257000000002</v>
      </c>
      <c r="F238" s="20">
        <v>-682.07839124609995</v>
      </c>
      <c r="G238" s="20">
        <v>-683.31726299720003</v>
      </c>
      <c r="H238" s="20">
        <v>-682.07230220630004</v>
      </c>
      <c r="I238" s="20">
        <v>-682.09705133969999</v>
      </c>
      <c r="J238" s="20">
        <v>-683.28926751270001</v>
      </c>
      <c r="K238" s="20">
        <v>-683.31331458930003</v>
      </c>
      <c r="L238" s="20">
        <v>-682.80984969489998</v>
      </c>
      <c r="M238" s="20">
        <v>-684.04524709400005</v>
      </c>
      <c r="N238" s="20">
        <f>(M238-L238)/2*27.211324570273</f>
        <v>-16.80839980009149</v>
      </c>
      <c r="O238" s="20">
        <f>(E238-G238-D238+F238)/2*27.211324570273</f>
        <v>0.32424675713048223</v>
      </c>
      <c r="P238" s="20">
        <f>(K238-J238-I238+H238)/2*27.211324570273</f>
        <v>9.5519477247415843E-3</v>
      </c>
      <c r="Q238" s="21">
        <f>(E238+K238-J238-D238-I238+H238-2*C238)*27.211324570273</f>
        <v>-10.149143910419328</v>
      </c>
      <c r="R238" s="21">
        <f>(M238+E238-G238+K238-J238-L238-D238+F238-I238+H238-2*C238)*27.211324570273</f>
        <v>-10.054602190472531</v>
      </c>
      <c r="S238" s="20">
        <v>4.4400000000000004</v>
      </c>
      <c r="T238" s="21">
        <f>-Q238/2-S238</f>
        <v>0.63457195520966359</v>
      </c>
      <c r="U238" s="21">
        <f>-R238/2-S238</f>
        <v>0.58730109523626517</v>
      </c>
      <c r="V238" s="24">
        <v>0.28000000000000003</v>
      </c>
      <c r="W238" s="20">
        <f t="shared" si="10"/>
        <v>0.35457195520966356</v>
      </c>
      <c r="X238" s="20">
        <f t="shared" si="11"/>
        <v>0.30730109523626514</v>
      </c>
    </row>
    <row r="239" spans="1:24" x14ac:dyDescent="0.2">
      <c r="A239" s="19" t="s">
        <v>85</v>
      </c>
      <c r="B239" s="19" t="s">
        <v>30</v>
      </c>
      <c r="C239" s="20">
        <f t="shared" si="9"/>
        <v>-0.42068146923305594</v>
      </c>
      <c r="D239" s="20">
        <v>-682.02079000000003</v>
      </c>
      <c r="E239" s="20">
        <v>-683.22694999999999</v>
      </c>
      <c r="F239" s="20">
        <v>-682.09110469289999</v>
      </c>
      <c r="G239" s="20">
        <v>-683.32007178629999</v>
      </c>
      <c r="H239" s="20">
        <v>-682.0723742683</v>
      </c>
      <c r="I239" s="20">
        <v>-682.09703739689996</v>
      </c>
      <c r="J239" s="20">
        <v>-683.28938728759999</v>
      </c>
      <c r="K239" s="20">
        <v>-683.3133055646</v>
      </c>
      <c r="L239" s="20">
        <v>-682.83421697300003</v>
      </c>
      <c r="M239" s="20">
        <v>-684.05908125170004</v>
      </c>
      <c r="N239" s="20">
        <f>(M239-L239)/2*27.211324570273</f>
        <v>-16.66508972111966</v>
      </c>
      <c r="O239" s="20">
        <f>(E239-G239-D239+F239)/2*27.211324570273</f>
        <v>0.31030561050660577</v>
      </c>
      <c r="P239" s="20">
        <f>(K239-J239-I239+H239)/2*27.211324570273</f>
        <v>1.0134199321616954E-2</v>
      </c>
      <c r="Q239" s="21">
        <f>(E239+K239-J239-D239-I239+H239-2*C239)*27.211324570273</f>
        <v>-9.9063428450391005</v>
      </c>
      <c r="R239" s="21">
        <f>(M239+E239-G239+K239-J239-L239-D239+F239-I239+H239-2*C239)*27.211324570273</f>
        <v>-9.7946998225828743</v>
      </c>
      <c r="S239" s="20">
        <v>4.4400000000000004</v>
      </c>
      <c r="T239" s="21">
        <f>-Q239/2-S239</f>
        <v>0.51317142251954984</v>
      </c>
      <c r="U239" s="21">
        <f>-R239/2-S239</f>
        <v>0.45734991129143676</v>
      </c>
      <c r="V239" s="24">
        <v>0.28000000000000003</v>
      </c>
      <c r="W239" s="20">
        <f t="shared" si="10"/>
        <v>0.23317142251954981</v>
      </c>
      <c r="X239" s="20">
        <f t="shared" si="11"/>
        <v>0.17734991129143673</v>
      </c>
    </row>
    <row r="240" spans="1:24" x14ac:dyDescent="0.2">
      <c r="A240" s="19" t="s">
        <v>85</v>
      </c>
      <c r="B240" s="19" t="s">
        <v>31</v>
      </c>
      <c r="C240" s="20">
        <f t="shared" si="9"/>
        <v>-0.42068146923305594</v>
      </c>
      <c r="D240" s="20">
        <v>-682.00752999999997</v>
      </c>
      <c r="E240" s="20">
        <v>-683.22257000000002</v>
      </c>
      <c r="F240" s="20">
        <v>-682.07839124609995</v>
      </c>
      <c r="G240" s="20">
        <v>-683.31726299720003</v>
      </c>
      <c r="H240" s="20">
        <v>-682.07230220630004</v>
      </c>
      <c r="I240" s="20">
        <v>-682.09705133969999</v>
      </c>
      <c r="J240" s="20">
        <v>-683.28926751270001</v>
      </c>
      <c r="K240" s="20">
        <v>-683.31331458930003</v>
      </c>
      <c r="L240" s="20">
        <v>-682.43486337829995</v>
      </c>
      <c r="M240" s="20">
        <v>-683.66224000540001</v>
      </c>
      <c r="N240" s="20">
        <f>(M240-L240)/2*27.211324570273</f>
        <v>-16.699271884993287</v>
      </c>
      <c r="O240" s="20">
        <f>(E240-G240-D240+F240)/2*27.211324570273</f>
        <v>0.32424675713048223</v>
      </c>
      <c r="P240" s="20">
        <f>(K240-J240-I240+H240)/2*27.211324570273</f>
        <v>9.5519477247415843E-3</v>
      </c>
      <c r="Q240" s="21">
        <f>(E240+K240-J240-D240-I240+H240-2*C240)*27.211324570273</f>
        <v>-10.149143910419328</v>
      </c>
      <c r="R240" s="21">
        <f>(M240+E240-G240+K240-J240-L240-D240+F240-I240+H240-2*C240)*27.211324570273</f>
        <v>-9.8363463602792223</v>
      </c>
      <c r="S240" s="20">
        <v>4.4400000000000004</v>
      </c>
      <c r="T240" s="21">
        <f>-Q240/2-S240</f>
        <v>0.63457195520966359</v>
      </c>
      <c r="U240" s="21">
        <f>-R240/2-S240</f>
        <v>0.47817318013961074</v>
      </c>
      <c r="V240" s="24">
        <v>0.28000000000000003</v>
      </c>
      <c r="W240" s="20">
        <f t="shared" si="10"/>
        <v>0.35457195520966356</v>
      </c>
      <c r="X240" s="20">
        <f t="shared" si="11"/>
        <v>0.19817318013961072</v>
      </c>
    </row>
    <row r="241" spans="1:24" x14ac:dyDescent="0.2">
      <c r="A241" s="19" t="s">
        <v>85</v>
      </c>
      <c r="B241" s="19" t="s">
        <v>32</v>
      </c>
      <c r="C241" s="20">
        <f t="shared" si="9"/>
        <v>-0.42068146923305594</v>
      </c>
      <c r="D241" s="20">
        <v>-682.02079000000003</v>
      </c>
      <c r="E241" s="20">
        <v>-683.22694999999999</v>
      </c>
      <c r="F241" s="20">
        <v>-682.09110469289999</v>
      </c>
      <c r="G241" s="20">
        <v>-683.32007178629999</v>
      </c>
      <c r="H241" s="20">
        <v>-682.0723742683</v>
      </c>
      <c r="I241" s="20">
        <v>-682.09703739689996</v>
      </c>
      <c r="J241" s="20">
        <v>-683.28938728759999</v>
      </c>
      <c r="K241" s="20">
        <v>-683.3133055646</v>
      </c>
      <c r="L241" s="20">
        <v>-682.46811862100003</v>
      </c>
      <c r="M241" s="20">
        <v>-683.68483574029995</v>
      </c>
      <c r="N241" s="20">
        <f>(M241-L241)/2*27.211324570273</f>
        <v>-16.554242221738779</v>
      </c>
      <c r="O241" s="20">
        <f>(E241-G241-D241+F241)/2*27.211324570273</f>
        <v>0.31030561050660577</v>
      </c>
      <c r="P241" s="20">
        <f>(K241-J241-I241+H241)/2*27.211324570273</f>
        <v>1.0134199321616954E-2</v>
      </c>
      <c r="Q241" s="21">
        <f>(E241+K241-J241-D241-I241+H241-2*C241)*27.211324570273</f>
        <v>-9.9063428450391005</v>
      </c>
      <c r="R241" s="21">
        <f>(M241+E241-G241+K241-J241-L241-D241+F241-I241+H241-2*C241)*27.211324570273</f>
        <v>-9.5730048238180192</v>
      </c>
      <c r="S241" s="20">
        <v>4.4400000000000004</v>
      </c>
      <c r="T241" s="21">
        <f>-Q241/2-S241</f>
        <v>0.51317142251954984</v>
      </c>
      <c r="U241" s="21">
        <f>-R241/2-S241</f>
        <v>0.34650241190900921</v>
      </c>
      <c r="V241" s="24">
        <v>0.28000000000000003</v>
      </c>
      <c r="W241" s="20">
        <f t="shared" si="10"/>
        <v>0.23317142251954981</v>
      </c>
      <c r="X241" s="20">
        <f t="shared" si="11"/>
        <v>6.6502411909009185E-2</v>
      </c>
    </row>
    <row r="242" spans="1:24" x14ac:dyDescent="0.2">
      <c r="A242" s="19" t="s">
        <v>85</v>
      </c>
      <c r="B242" s="19" t="s">
        <v>33</v>
      </c>
      <c r="C242" s="20">
        <f t="shared" si="9"/>
        <v>-0.42068146923305594</v>
      </c>
      <c r="D242" s="20">
        <v>-682.39919999999995</v>
      </c>
      <c r="E242" s="20">
        <v>-683.59339999999997</v>
      </c>
      <c r="F242" s="20">
        <v>-682.46890588029999</v>
      </c>
      <c r="G242" s="20">
        <v>-683.68561657930002</v>
      </c>
      <c r="H242" s="20">
        <v>-682.07245902880004</v>
      </c>
      <c r="I242" s="20">
        <v>-682.09697854939998</v>
      </c>
      <c r="J242" s="20">
        <v>-683.28949973270005</v>
      </c>
      <c r="K242" s="20">
        <v>-683.31315366759998</v>
      </c>
      <c r="L242" s="20">
        <v>-682.46849324779998</v>
      </c>
      <c r="M242" s="20">
        <v>-683.68522347930002</v>
      </c>
      <c r="N242" s="20">
        <f>(M242-L242)/2*27.211324570273</f>
        <v>-16.554420621905457</v>
      </c>
      <c r="O242" s="20">
        <f>(E242-G242-D242+F242)/2*27.211324570273</f>
        <v>0.30627296839647655</v>
      </c>
      <c r="P242" s="20">
        <f>(K242-J242-I242+H242)/2*27.211324570273</f>
        <v>1.177686671320894E-2</v>
      </c>
      <c r="Q242" s="21">
        <f>(E242+K242-J242-D242-I242+H242-2*C242)*27.211324570273</f>
        <v>-9.5776100683911434</v>
      </c>
      <c r="R242" s="21">
        <f>(M242+E242-G242+K242-J242-L242-D242+F242-I242+H242-2*C242)*27.211324570273</f>
        <v>-9.5781415735915409</v>
      </c>
      <c r="S242" s="20">
        <v>4.4400000000000004</v>
      </c>
      <c r="T242" s="21">
        <f>-Q242/2-S242</f>
        <v>0.3488050341955713</v>
      </c>
      <c r="U242" s="21">
        <f>-R242/2-S242</f>
        <v>0.34907078679577008</v>
      </c>
      <c r="V242" s="24">
        <v>0.28000000000000003</v>
      </c>
      <c r="W242" s="20">
        <f t="shared" si="10"/>
        <v>6.8805034195571269E-2</v>
      </c>
      <c r="X242" s="20">
        <f t="shared" si="11"/>
        <v>6.9070786795770056E-2</v>
      </c>
    </row>
    <row r="243" spans="1:24" ht="15" customHeight="1" x14ac:dyDescent="0.2">
      <c r="A243" s="19" t="s">
        <v>85</v>
      </c>
      <c r="B243" s="19" t="s">
        <v>42</v>
      </c>
      <c r="C243" s="20">
        <f t="shared" si="9"/>
        <v>-0.42068146923305594</v>
      </c>
      <c r="D243" s="20">
        <v>-682.39901999999995</v>
      </c>
      <c r="E243" s="20">
        <v>-683.59364000000005</v>
      </c>
      <c r="F243" s="20">
        <v>-682.46924526429996</v>
      </c>
      <c r="G243" s="20">
        <v>-683.68588424339998</v>
      </c>
      <c r="H243" s="20">
        <v>-682.07247843749997</v>
      </c>
      <c r="I243" s="20">
        <v>-682.09702425909995</v>
      </c>
      <c r="J243" s="20">
        <v>-683.2894902923</v>
      </c>
      <c r="K243" s="20">
        <v>-683.31313957340001</v>
      </c>
      <c r="L243" s="20">
        <v>-682.46849511189998</v>
      </c>
      <c r="M243" s="20">
        <v>-683.68522299949996</v>
      </c>
      <c r="N243" s="20">
        <f>(M243-L243)/2*27.211324570273</f>
        <v>-16.554388731592752</v>
      </c>
      <c r="O243" s="20">
        <f>(E243-G243-D243+F243)/2*27.211324570273</f>
        <v>0.29958279349706757</v>
      </c>
      <c r="P243" s="20">
        <f>(K243-J243-I243+H243)/2*27.211324570273</f>
        <v>1.2198027267673838E-2</v>
      </c>
      <c r="Q243" s="21">
        <f>(E243+K243-J243-D243-I243+H243-2*C243)*27.211324570273</f>
        <v>-9.5881965036038093</v>
      </c>
      <c r="R243" s="21">
        <f>(M243+E243-G243+K243-J243-L243-D243+F243-I243+H243-2*C243)*27.211324570273</f>
        <v>-9.5906158216560211</v>
      </c>
      <c r="S243" s="20">
        <v>4.4400000000000004</v>
      </c>
      <c r="T243" s="21">
        <f>-Q243/2-S243</f>
        <v>0.35409825180190424</v>
      </c>
      <c r="U243" s="21">
        <f>-R243/2-S243</f>
        <v>0.35530791082801017</v>
      </c>
      <c r="V243" s="24">
        <v>0.28000000000000003</v>
      </c>
      <c r="W243" s="20">
        <f t="shared" si="10"/>
        <v>7.4098251801904214E-2</v>
      </c>
      <c r="X243" s="20">
        <f t="shared" si="11"/>
        <v>7.5307910828010138E-2</v>
      </c>
    </row>
    <row r="244" spans="1:24" ht="15" customHeight="1" x14ac:dyDescent="0.2">
      <c r="A244" s="19" t="s">
        <v>85</v>
      </c>
      <c r="B244" s="19" t="s">
        <v>43</v>
      </c>
      <c r="C244" s="20">
        <f t="shared" si="9"/>
        <v>-0.42068146923305594</v>
      </c>
      <c r="D244" s="20">
        <v>-682.02079000000003</v>
      </c>
      <c r="E244" s="20">
        <v>-683.22694999999999</v>
      </c>
      <c r="F244" s="20">
        <v>-682.09110469289999</v>
      </c>
      <c r="G244" s="20">
        <v>-683.32007178629999</v>
      </c>
      <c r="H244" s="20">
        <v>-682.0723742683</v>
      </c>
      <c r="I244" s="20">
        <v>-682.09703739689996</v>
      </c>
      <c r="J244" s="20">
        <v>-683.28938728759999</v>
      </c>
      <c r="K244" s="20">
        <v>-683.3133055646</v>
      </c>
      <c r="L244" s="20">
        <v>-681.62907176371903</v>
      </c>
      <c r="M244" s="20">
        <v>-682.85630167511704</v>
      </c>
      <c r="N244" s="20">
        <f>(M244-L244)/2*27.211324570273</f>
        <v>-16.697275720699349</v>
      </c>
      <c r="O244" s="20">
        <f>(E244-G244-D244+F244)/2*27.211324570273</f>
        <v>0.31030561050660577</v>
      </c>
      <c r="P244" s="20">
        <f>(K244-J244-I244+H244)/2*27.211324570273</f>
        <v>1.0134199321616954E-2</v>
      </c>
      <c r="Q244" s="21">
        <f>(E244+K244-J244-D244-I244+H244-2*C244)*27.211324570273</f>
        <v>-9.9063428450391005</v>
      </c>
      <c r="R244" s="21">
        <f>(M244+E244-G244+K244-J244-L244-D244+F244-I244+H244-2*C244)*27.211324570273</f>
        <v>-9.8590718217422495</v>
      </c>
      <c r="S244" s="20">
        <v>4.4400000000000004</v>
      </c>
      <c r="T244" s="21">
        <f>-Q244/2-S244</f>
        <v>0.51317142251954984</v>
      </c>
      <c r="U244" s="21">
        <f>-R244/2-S244</f>
        <v>0.48953591087112436</v>
      </c>
      <c r="V244" s="24">
        <v>0.28000000000000003</v>
      </c>
      <c r="W244" s="20">
        <f t="shared" si="10"/>
        <v>0.23317142251954981</v>
      </c>
      <c r="X244" s="20">
        <f t="shared" si="11"/>
        <v>0.20953591087112433</v>
      </c>
    </row>
    <row r="245" spans="1:24" x14ac:dyDescent="0.2">
      <c r="A245" s="19" t="s">
        <v>86</v>
      </c>
      <c r="B245" s="19" t="s">
        <v>27</v>
      </c>
      <c r="C245" s="20">
        <f t="shared" si="9"/>
        <v>-0.42068146923305594</v>
      </c>
      <c r="D245" s="20">
        <f>-777.83744</f>
        <v>-777.83744000000002</v>
      </c>
      <c r="E245" s="20">
        <v>-779.06326000000001</v>
      </c>
      <c r="F245" s="20">
        <v>-777.8569164905</v>
      </c>
      <c r="G245" s="20">
        <v>-779.10563185169997</v>
      </c>
      <c r="H245" s="20">
        <v>-778.07189524670002</v>
      </c>
      <c r="I245" s="20">
        <v>-778.07549999729997</v>
      </c>
      <c r="J245" s="20">
        <v>-779.30458559939996</v>
      </c>
      <c r="K245" s="20">
        <v>-779.31279862559995</v>
      </c>
      <c r="L245" s="20">
        <v>-778.72469316980005</v>
      </c>
      <c r="M245" s="20">
        <v>-779.97004513889999</v>
      </c>
      <c r="N245" s="20">
        <f>(M245-L245)/2*27.211324570273</f>
        <v>-16.94383831770357</v>
      </c>
      <c r="O245" s="20">
        <f>(E245-G245-D245+F245)/2*27.211324570273</f>
        <v>0.3115065523830281</v>
      </c>
      <c r="P245" s="20">
        <f>(K245-J245-I245+H245)/2*27.211324570273</f>
        <v>-6.2698641531097749E-2</v>
      </c>
      <c r="Q245" s="21">
        <f>(E245+K245-J245-D245-I245+H245-2*C245)*27.211324570273</f>
        <v>-10.586983167791118</v>
      </c>
      <c r="R245" s="21">
        <f>(M245+E245-G245+K245-J245-L245-D245+F245-I245+H245-2*C245)*27.211324570273</f>
        <v>-10.495460813700182</v>
      </c>
      <c r="S245" s="20">
        <v>4.4400000000000004</v>
      </c>
      <c r="T245" s="21">
        <f>-Q245/2-S245</f>
        <v>0.85349158389555857</v>
      </c>
      <c r="U245" s="21">
        <f>-R245/2-S245</f>
        <v>0.80773040685009079</v>
      </c>
      <c r="V245" s="24">
        <v>0.70699999999999996</v>
      </c>
      <c r="W245" s="20">
        <f t="shared" si="10"/>
        <v>0.14649158389555861</v>
      </c>
      <c r="X245" s="20">
        <f t="shared" si="11"/>
        <v>0.10073040685009083</v>
      </c>
    </row>
    <row r="246" spans="1:24" x14ac:dyDescent="0.2">
      <c r="A246" s="19" t="s">
        <v>86</v>
      </c>
      <c r="B246" s="19" t="s">
        <v>145</v>
      </c>
      <c r="C246" s="20">
        <f t="shared" si="9"/>
        <v>-0.42068146923305594</v>
      </c>
      <c r="D246" s="20">
        <v>-777.53680999999995</v>
      </c>
      <c r="E246" s="20">
        <v>-778.76023999999995</v>
      </c>
      <c r="F246" s="20">
        <v>-777.55736666409996</v>
      </c>
      <c r="G246" s="20">
        <v>-778.80387551419994</v>
      </c>
      <c r="H246" s="20">
        <v>-778.07190283759996</v>
      </c>
      <c r="I246" s="20">
        <v>-778.07521354159996</v>
      </c>
      <c r="J246" s="20">
        <v>-779.30468945860002</v>
      </c>
      <c r="K246" s="20">
        <v>-779.31271780730003</v>
      </c>
      <c r="L246" s="20">
        <v>-778.42893342499997</v>
      </c>
      <c r="M246" s="20">
        <v>-779.67391454690005</v>
      </c>
      <c r="N246" s="20">
        <f>(M246-L246)/2*27.211324570273</f>
        <v>-16.938792695942876</v>
      </c>
      <c r="O246" s="20">
        <f>(E246-G246-D246+F246)/2*27.211324570273</f>
        <v>0.31400304038958804</v>
      </c>
      <c r="P246" s="20">
        <f>(K246-J246-I246+H246)/2*27.211324570273</f>
        <v>-6.41866805695777E-2</v>
      </c>
      <c r="Q246" s="21">
        <f>(E246+K246-J246-D246-I246+H246-2*C246)*27.211324570273</f>
        <v>-10.524924180151551</v>
      </c>
      <c r="R246" s="21">
        <f>(M246+E246-G246+K246-J246-L246-D246+F246-I246+H246-2*C246)*27.211324570273</f>
        <v>-10.483352672248822</v>
      </c>
      <c r="S246" s="20">
        <v>4.4400000000000004</v>
      </c>
      <c r="T246" s="21">
        <f>-Q246/2-S246</f>
        <v>0.82246209007577509</v>
      </c>
      <c r="U246" s="21">
        <f>-R246/2-S246</f>
        <v>0.80167633612441058</v>
      </c>
      <c r="V246" s="24">
        <v>0.70699999999999996</v>
      </c>
      <c r="W246" s="20">
        <f t="shared" si="10"/>
        <v>0.11546209007577513</v>
      </c>
      <c r="X246" s="20">
        <f t="shared" si="11"/>
        <v>9.4676336124410621E-2</v>
      </c>
    </row>
    <row r="247" spans="1:24" x14ac:dyDescent="0.2">
      <c r="A247" s="19" t="s">
        <v>86</v>
      </c>
      <c r="B247" s="19" t="s">
        <v>29</v>
      </c>
      <c r="C247" s="20">
        <f t="shared" si="9"/>
        <v>-0.42068146923305594</v>
      </c>
      <c r="D247" s="20">
        <v>-777.94991000000005</v>
      </c>
      <c r="E247" s="20">
        <v>-779.18115999999998</v>
      </c>
      <c r="F247" s="20">
        <v>-777.9702922962</v>
      </c>
      <c r="G247" s="20">
        <v>-779.22456858060002</v>
      </c>
      <c r="H247" s="20">
        <v>-778.07205478770004</v>
      </c>
      <c r="I247" s="20">
        <v>-778.07546192330005</v>
      </c>
      <c r="J247" s="20">
        <v>-779.30478654399997</v>
      </c>
      <c r="K247" s="20">
        <v>-779.31294542180001</v>
      </c>
      <c r="L247" s="20">
        <v>-778.83275960829997</v>
      </c>
      <c r="M247" s="20">
        <v>-780.08397841359999</v>
      </c>
      <c r="N247" s="20">
        <f>(M247-L247)/2*27.211324570273</f>
        <v>-17.023660509724131</v>
      </c>
      <c r="O247" s="20">
        <f>(E247-G247-D247+F247)/2*27.211324570273</f>
        <v>0.31328784922911818</v>
      </c>
      <c r="P247" s="20">
        <f>(K247-J247-I247+H247)/2*27.211324570273</f>
        <v>-6.4650599639616238E-2</v>
      </c>
      <c r="Q247" s="21">
        <f>(E247+K247-J247-D247-I247+H247-2*C247)*27.211324570273</f>
        <v>-10.738644576426006</v>
      </c>
      <c r="R247" s="21">
        <f>(M247+E247-G247+K247-J247-L247-D247+F247-I247+H247-2*C247)*27.211324570273</f>
        <v>-10.655446520269257</v>
      </c>
      <c r="S247" s="20">
        <v>4.4400000000000004</v>
      </c>
      <c r="T247" s="21">
        <f>-Q247/2-S247</f>
        <v>0.92932228821300278</v>
      </c>
      <c r="U247" s="21">
        <f>-R247/2-S247</f>
        <v>0.88772326013462788</v>
      </c>
      <c r="V247" s="24">
        <v>0.70699999999999996</v>
      </c>
      <c r="W247" s="20">
        <f t="shared" si="10"/>
        <v>0.22232228821300282</v>
      </c>
      <c r="X247" s="20">
        <f t="shared" si="11"/>
        <v>0.18072326013462792</v>
      </c>
    </row>
    <row r="248" spans="1:24" x14ac:dyDescent="0.2">
      <c r="A248" s="19" t="s">
        <v>86</v>
      </c>
      <c r="B248" s="19" t="s">
        <v>30</v>
      </c>
      <c r="C248" s="20">
        <f t="shared" si="9"/>
        <v>-0.42068146923305594</v>
      </c>
      <c r="D248" s="20">
        <v>-777.99203999999997</v>
      </c>
      <c r="E248" s="20">
        <v>-779.21356000000003</v>
      </c>
      <c r="F248" s="20">
        <v>-778.01208813810001</v>
      </c>
      <c r="G248" s="20">
        <v>-779.25657549810001</v>
      </c>
      <c r="H248" s="20">
        <v>-778.07213319820005</v>
      </c>
      <c r="I248" s="20">
        <v>-778.07556908610002</v>
      </c>
      <c r="J248" s="20">
        <v>-779.30490281660002</v>
      </c>
      <c r="K248" s="20">
        <v>-779.3130328359</v>
      </c>
      <c r="L248" s="20">
        <v>-778.88860746700004</v>
      </c>
      <c r="M248" s="20">
        <v>-780.12937244499994</v>
      </c>
      <c r="N248" s="20">
        <f>(M248-L248)/2*27.211324570273</f>
        <v>-16.881429265891484</v>
      </c>
      <c r="O248" s="20">
        <f>(E248-G248-D248+F248)/2*27.211324570273</f>
        <v>0.31248614374031874</v>
      </c>
      <c r="P248" s="20">
        <f>(K248-J248-I248+H248)/2*27.211324570273</f>
        <v>-6.3866766550659995E-2</v>
      </c>
      <c r="Q248" s="21">
        <f>(E248+K248-J248-D248-I248+H248-2*C248)*27.211324570273</f>
        <v>-10.472310722179598</v>
      </c>
      <c r="R248" s="21">
        <f>(M248+E248-G248+K248-J248-L248-D248+F248-I248+H248-2*C248)*27.211324570273</f>
        <v>-10.371019777403651</v>
      </c>
      <c r="S248" s="20">
        <v>4.4400000000000004</v>
      </c>
      <c r="T248" s="21">
        <f>-Q248/2-S248</f>
        <v>0.79615536108979867</v>
      </c>
      <c r="U248" s="21">
        <f>-R248/2-S248</f>
        <v>0.74550988870182522</v>
      </c>
      <c r="V248" s="24">
        <v>0.70699999999999996</v>
      </c>
      <c r="W248" s="20">
        <f t="shared" si="10"/>
        <v>8.9155361089798713E-2</v>
      </c>
      <c r="X248" s="20">
        <f t="shared" si="11"/>
        <v>3.8509888701825257E-2</v>
      </c>
    </row>
    <row r="249" spans="1:24" x14ac:dyDescent="0.2">
      <c r="A249" s="19" t="s">
        <v>86</v>
      </c>
      <c r="B249" s="19" t="s">
        <v>31</v>
      </c>
      <c r="C249" s="20">
        <f t="shared" si="9"/>
        <v>-0.42068146923305594</v>
      </c>
      <c r="D249" s="20">
        <v>-777.94991000000005</v>
      </c>
      <c r="E249" s="20">
        <v>-779.18115999999998</v>
      </c>
      <c r="F249" s="20">
        <v>-777.9702922962</v>
      </c>
      <c r="G249" s="20">
        <v>-779.22456858060002</v>
      </c>
      <c r="H249" s="20">
        <v>-778.07205478770004</v>
      </c>
      <c r="I249" s="20">
        <v>-778.07546192330005</v>
      </c>
      <c r="J249" s="20">
        <v>-779.30478654399997</v>
      </c>
      <c r="K249" s="20">
        <v>-779.31294542180001</v>
      </c>
      <c r="L249" s="20">
        <v>-778.45802901720003</v>
      </c>
      <c r="M249" s="20">
        <v>-779.70136297409999</v>
      </c>
      <c r="N249" s="20">
        <f>(M249-L249)/2*27.211324570273</f>
        <v>-16.916381925223316</v>
      </c>
      <c r="O249" s="20">
        <f>(E249-G249-D249+F249)/2*27.211324570273</f>
        <v>0.31328784922911818</v>
      </c>
      <c r="P249" s="20">
        <f>(K249-J249-I249+H249)/2*27.211324570273</f>
        <v>-6.4650599639616238E-2</v>
      </c>
      <c r="Q249" s="21">
        <f>(E249+K249-J249-D249-I249+H249-2*C249)*27.211324570273</f>
        <v>-10.738644576426006</v>
      </c>
      <c r="R249" s="21">
        <f>(M249+E249-G249+K249-J249-L249-D249+F249-I249+H249-2*C249)*27.211324570273</f>
        <v>-10.440889351270721</v>
      </c>
      <c r="S249" s="20">
        <v>4.4400000000000004</v>
      </c>
      <c r="T249" s="21">
        <f>-Q249/2-S249</f>
        <v>0.92932228821300278</v>
      </c>
      <c r="U249" s="21">
        <f>-R249/2-S249</f>
        <v>0.78044467563536024</v>
      </c>
      <c r="V249" s="24">
        <v>0.70699999999999996</v>
      </c>
      <c r="W249" s="20">
        <f t="shared" si="10"/>
        <v>0.22232228821300282</v>
      </c>
      <c r="X249" s="20">
        <f t="shared" si="11"/>
        <v>7.3444675635360279E-2</v>
      </c>
    </row>
    <row r="250" spans="1:24" x14ac:dyDescent="0.2">
      <c r="A250" s="19" t="s">
        <v>86</v>
      </c>
      <c r="B250" s="19" t="s">
        <v>32</v>
      </c>
      <c r="C250" s="20">
        <f t="shared" si="9"/>
        <v>-0.42068146923305594</v>
      </c>
      <c r="D250" s="20">
        <v>-777.99203999999997</v>
      </c>
      <c r="E250" s="20">
        <v>-779.21356000000003</v>
      </c>
      <c r="F250" s="20">
        <v>-778.01208813810001</v>
      </c>
      <c r="G250" s="20">
        <v>-779.25657549810001</v>
      </c>
      <c r="H250" s="20">
        <v>-778.07213319820005</v>
      </c>
      <c r="I250" s="20">
        <v>-778.07556908610002</v>
      </c>
      <c r="J250" s="20">
        <v>-779.30490281660002</v>
      </c>
      <c r="K250" s="20">
        <v>-779.3130328359</v>
      </c>
      <c r="L250" s="20">
        <v>-778.52206407239998</v>
      </c>
      <c r="M250" s="20">
        <v>-779.75486707430002</v>
      </c>
      <c r="N250" s="20">
        <f>(M250-L250)/2*27.211324570273</f>
        <v>-16.773101307954409</v>
      </c>
      <c r="O250" s="20">
        <f>(E250-G250-D250+F250)/2*27.211324570273</f>
        <v>0.31248614374031874</v>
      </c>
      <c r="P250" s="20">
        <f>(K250-J250-I250+H250)/2*27.211324570273</f>
        <v>-6.3866766550659995E-2</v>
      </c>
      <c r="Q250" s="21">
        <f>(E250+K250-J250-D250-I250+H250-2*C250)*27.211324570273</f>
        <v>-10.472310722179598</v>
      </c>
      <c r="R250" s="21">
        <f>(M250+E250-G250+K250-J250-L250-D250+F250-I250+H250-2*C250)*27.211324570273</f>
        <v>-10.154363861532591</v>
      </c>
      <c r="S250" s="20">
        <v>4.4400000000000004</v>
      </c>
      <c r="T250" s="21">
        <f>-Q250/2-S250</f>
        <v>0.79615536108979867</v>
      </c>
      <c r="U250" s="21">
        <f>-R250/2-S250</f>
        <v>0.63718193076629515</v>
      </c>
      <c r="V250" s="24">
        <v>0.70699999999999996</v>
      </c>
      <c r="W250" s="20">
        <f t="shared" si="10"/>
        <v>8.9155361089798713E-2</v>
      </c>
      <c r="X250" s="20">
        <f t="shared" si="11"/>
        <v>6.9818069233704816E-2</v>
      </c>
    </row>
    <row r="251" spans="1:24" x14ac:dyDescent="0.2">
      <c r="A251" s="19" t="s">
        <v>86</v>
      </c>
      <c r="B251" s="19" t="s">
        <v>33</v>
      </c>
      <c r="C251" s="20">
        <f t="shared" si="9"/>
        <v>-0.42068146923305594</v>
      </c>
      <c r="D251" s="20">
        <v>-778.50268000000005</v>
      </c>
      <c r="E251" s="20">
        <v>-779.71304999999995</v>
      </c>
      <c r="F251" s="20">
        <v>-778.52278797600002</v>
      </c>
      <c r="G251" s="20">
        <v>-779.75561700850005</v>
      </c>
      <c r="H251" s="20">
        <v>-778.07206130149996</v>
      </c>
      <c r="I251" s="20">
        <v>-778.07568294719999</v>
      </c>
      <c r="J251" s="20">
        <v>-779.30490395519996</v>
      </c>
      <c r="K251" s="20">
        <v>-779.31311861330005</v>
      </c>
      <c r="L251" s="20">
        <v>-778.5223564053</v>
      </c>
      <c r="M251" s="20">
        <v>-779.75522871620001</v>
      </c>
      <c r="N251" s="20">
        <f>(M251-L251)/2*27.211324570273</f>
        <v>-16.7740443028013</v>
      </c>
      <c r="O251" s="20">
        <f>(E251-G251-D251+F251)/2*27.211324570273</f>
        <v>0.30557001144777235</v>
      </c>
      <c r="P251" s="20">
        <f>(K251-J251-I251+H251)/2*27.211324570273</f>
        <v>-6.2490975586532875E-2</v>
      </c>
      <c r="Q251" s="21">
        <f>(E251+K251-J251-D251-I251+H251-2*C251)*27.211324570273</f>
        <v>-10.166152871288528</v>
      </c>
      <c r="R251" s="21">
        <f>(M251+E251-G251+K251-J251-L251-D251+F251-I251+H251-2*C251)*27.211324570273</f>
        <v>-10.167330533886311</v>
      </c>
      <c r="S251" s="20">
        <v>4.4400000000000004</v>
      </c>
      <c r="T251" s="21">
        <f>-Q251/2-S251</f>
        <v>0.64307643564426353</v>
      </c>
      <c r="U251" s="21">
        <f>-R251/2-S251</f>
        <v>0.64366526694315507</v>
      </c>
      <c r="V251" s="24">
        <v>0.70699999999999996</v>
      </c>
      <c r="W251" s="20">
        <f t="shared" si="10"/>
        <v>6.3923564355736429E-2</v>
      </c>
      <c r="X251" s="20">
        <f t="shared" si="11"/>
        <v>6.3334733056844894E-2</v>
      </c>
    </row>
    <row r="252" spans="1:24" ht="15" customHeight="1" x14ac:dyDescent="0.2">
      <c r="A252" s="19" t="s">
        <v>86</v>
      </c>
      <c r="B252" s="19" t="s">
        <v>42</v>
      </c>
      <c r="C252" s="20">
        <f t="shared" si="9"/>
        <v>-0.42068146923305594</v>
      </c>
      <c r="D252" s="20">
        <v>-778.50260000000003</v>
      </c>
      <c r="E252" s="20">
        <v>-779.71284000000003</v>
      </c>
      <c r="F252" s="20">
        <v>-778.52248290720001</v>
      </c>
      <c r="G252" s="20">
        <v>-779.75546590689999</v>
      </c>
      <c r="H252" s="20">
        <v>-778.07208852379995</v>
      </c>
      <c r="I252" s="20">
        <v>-778.07571353510002</v>
      </c>
      <c r="J252" s="20">
        <v>-779.30490483719996</v>
      </c>
      <c r="K252" s="20">
        <v>-779.31311954</v>
      </c>
      <c r="L252" s="20">
        <v>-778.52235585469998</v>
      </c>
      <c r="M252" s="20">
        <v>-779.75522802190005</v>
      </c>
      <c r="N252" s="20">
        <f>(M252-L252)/2*27.211324570273</f>
        <v>-16.774042347668509</v>
      </c>
      <c r="O252" s="20">
        <f>(E252-G252-D252+F252)/2*27.211324570273</f>
        <v>0.30943357326877613</v>
      </c>
      <c r="P252" s="20">
        <f>(K252-J252-I252+H252)/2*27.211324570273</f>
        <v>-6.2445792541594408E-2</v>
      </c>
      <c r="Q252" s="21">
        <f>(E252+K252-J252-D252-I252+H252-2*C252)*27.211324570273</f>
        <v>-10.162525033010354</v>
      </c>
      <c r="R252" s="21">
        <f>(M252+E252-G252+K252-J252-L252-D252+F252-I252+H252-2*C252)*27.211324570273</f>
        <v>-10.159509133882652</v>
      </c>
      <c r="S252" s="20">
        <v>4.4400000000000004</v>
      </c>
      <c r="T252" s="21">
        <f>-Q252/2-S252</f>
        <v>0.64126251650517663</v>
      </c>
      <c r="U252" s="21">
        <f>-R252/2-S252</f>
        <v>0.63975456694132582</v>
      </c>
      <c r="V252" s="24">
        <v>0.70699999999999996</v>
      </c>
      <c r="W252" s="20">
        <f t="shared" si="10"/>
        <v>6.5737483494823334E-2</v>
      </c>
      <c r="X252" s="20">
        <f t="shared" si="11"/>
        <v>6.7245433058674142E-2</v>
      </c>
    </row>
    <row r="253" spans="1:24" ht="15" customHeight="1" x14ac:dyDescent="0.2">
      <c r="A253" s="19" t="s">
        <v>86</v>
      </c>
      <c r="B253" s="19" t="s">
        <v>43</v>
      </c>
      <c r="C253" s="20">
        <f t="shared" si="9"/>
        <v>-0.42068146923305594</v>
      </c>
      <c r="D253" s="20">
        <v>-777.99203999999997</v>
      </c>
      <c r="E253" s="20">
        <v>-779.21356000000003</v>
      </c>
      <c r="F253" s="20">
        <v>-778.01208813810001</v>
      </c>
      <c r="G253" s="20">
        <v>-779.25657549810001</v>
      </c>
      <c r="H253" s="20">
        <v>-778.07213319820005</v>
      </c>
      <c r="I253" s="20">
        <v>-778.07556908610002</v>
      </c>
      <c r="J253" s="20">
        <v>-779.30490281660002</v>
      </c>
      <c r="K253" s="20">
        <v>-779.3130328359</v>
      </c>
      <c r="L253" s="20">
        <v>-777.62870927772303</v>
      </c>
      <c r="M253" s="20">
        <v>-778.87027637872097</v>
      </c>
      <c r="N253" s="20">
        <f>(M253-L253)/2*27.211324570273</f>
        <v>-16.892342680513938</v>
      </c>
      <c r="O253" s="20">
        <f>(E253-G253-D253+F253)/2*27.211324570273</f>
        <v>0.31248614374031874</v>
      </c>
      <c r="P253" s="20">
        <f>(K253-J253-I253+H253)/2*27.211324570273</f>
        <v>-6.3866766550659995E-2</v>
      </c>
      <c r="Q253" s="21">
        <f>(E253+K253-J253-D253-I253+H253-2*C253)*27.211324570273</f>
        <v>-10.472310722179598</v>
      </c>
      <c r="R253" s="21">
        <f>(M253+E253-G253+K253-J253-L253-D253+F253-I253+H253-2*C253)*27.211324570273</f>
        <v>-10.392846606654748</v>
      </c>
      <c r="S253" s="20">
        <v>4.4400000000000004</v>
      </c>
      <c r="T253" s="21">
        <f>-Q253/2-S253</f>
        <v>0.79615536108979867</v>
      </c>
      <c r="U253" s="21">
        <f>-R253/2-S253</f>
        <v>0.75642330332737373</v>
      </c>
      <c r="V253" s="24">
        <v>0.70699999999999996</v>
      </c>
      <c r="W253" s="20">
        <f t="shared" si="10"/>
        <v>8.9155361089798713E-2</v>
      </c>
      <c r="X253" s="20">
        <f t="shared" si="11"/>
        <v>4.9423303327373769E-2</v>
      </c>
    </row>
    <row r="255" spans="1:24" x14ac:dyDescent="0.2">
      <c r="B255" s="19"/>
    </row>
    <row r="256" spans="1:24" x14ac:dyDescent="0.2">
      <c r="B256" s="19"/>
    </row>
    <row r="257" spans="2:2" x14ac:dyDescent="0.2">
      <c r="B257" s="19"/>
    </row>
    <row r="258" spans="2:2" x14ac:dyDescent="0.2">
      <c r="B258" s="19"/>
    </row>
    <row r="259" spans="2:2" x14ac:dyDescent="0.2">
      <c r="B259" s="19"/>
    </row>
    <row r="260" spans="2:2" x14ac:dyDescent="0.2">
      <c r="B260" s="19"/>
    </row>
    <row r="261" spans="2:2" x14ac:dyDescent="0.2">
      <c r="B261" s="19"/>
    </row>
    <row r="262" spans="2:2" x14ac:dyDescent="0.2">
      <c r="B262" s="19"/>
    </row>
    <row r="263" spans="2:2" x14ac:dyDescent="0.2">
      <c r="B263" s="19"/>
    </row>
    <row r="264" spans="2:2" x14ac:dyDescent="0.2">
      <c r="B264" s="19"/>
    </row>
    <row r="265" spans="2:2" x14ac:dyDescent="0.2">
      <c r="B265" s="19"/>
    </row>
    <row r="266" spans="2:2" x14ac:dyDescent="0.2">
      <c r="B266" s="19"/>
    </row>
    <row r="267" spans="2:2" x14ac:dyDescent="0.2">
      <c r="B267" s="19"/>
    </row>
    <row r="268" spans="2:2" x14ac:dyDescent="0.2">
      <c r="B268" s="19"/>
    </row>
    <row r="269" spans="2:2" x14ac:dyDescent="0.2">
      <c r="B269" s="19"/>
    </row>
    <row r="270" spans="2:2" x14ac:dyDescent="0.2">
      <c r="B270" s="19"/>
    </row>
    <row r="271" spans="2:2" x14ac:dyDescent="0.2">
      <c r="B271" s="19"/>
    </row>
    <row r="272" spans="2:2" x14ac:dyDescent="0.2">
      <c r="B272" s="19"/>
    </row>
    <row r="273" spans="2:2" x14ac:dyDescent="0.2">
      <c r="B273" s="19"/>
    </row>
    <row r="274" spans="2:2" x14ac:dyDescent="0.2">
      <c r="B274" s="19"/>
    </row>
    <row r="275" spans="2:2" x14ac:dyDescent="0.2">
      <c r="B275" s="19"/>
    </row>
    <row r="276" spans="2:2" x14ac:dyDescent="0.2">
      <c r="B276" s="19"/>
    </row>
    <row r="277" spans="2:2" x14ac:dyDescent="0.2">
      <c r="B277" s="19"/>
    </row>
    <row r="278" spans="2:2" x14ac:dyDescent="0.2">
      <c r="B278" s="19"/>
    </row>
    <row r="279" spans="2:2" x14ac:dyDescent="0.2">
      <c r="B279" s="19"/>
    </row>
    <row r="280" spans="2:2" x14ac:dyDescent="0.2">
      <c r="B280" s="19"/>
    </row>
    <row r="281" spans="2:2" x14ac:dyDescent="0.2">
      <c r="B281" s="19"/>
    </row>
  </sheetData>
  <phoneticPr fontId="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7E94-53EF-6E48-AA53-6976247D6C7F}">
  <dimension ref="A1:AS238"/>
  <sheetViews>
    <sheetView zoomScaleNormal="100" workbookViewId="0">
      <selection activeCell="AL32" sqref="AL32"/>
    </sheetView>
  </sheetViews>
  <sheetFormatPr baseColWidth="10" defaultColWidth="8.83203125" defaultRowHeight="15" x14ac:dyDescent="0.2"/>
  <cols>
    <col min="1" max="1" width="14.83203125" style="25" customWidth="1"/>
    <col min="2" max="2" width="15" style="19" customWidth="1"/>
    <col min="3" max="3" width="8.83203125" style="20" customWidth="1"/>
    <col min="4" max="13" width="11.83203125" style="20" customWidth="1"/>
    <col min="14" max="14" width="11.5" style="20" customWidth="1"/>
    <col min="15" max="19" width="11.83203125" style="20" customWidth="1"/>
    <col min="20" max="20" width="12.6640625" style="19" customWidth="1"/>
    <col min="21" max="21" width="11" style="19" customWidth="1"/>
    <col min="22" max="22" width="12.33203125" style="19" customWidth="1"/>
    <col min="23" max="25" width="11.5" style="19" customWidth="1"/>
    <col min="26" max="26" width="9.83203125" style="19" customWidth="1"/>
    <col min="27" max="27" width="10" style="19" customWidth="1"/>
    <col min="28" max="28" width="8.33203125" style="19" customWidth="1"/>
    <col min="29" max="29" width="8.1640625" style="19" customWidth="1"/>
    <col min="30" max="30" width="5.6640625" style="19" customWidth="1"/>
    <col min="31" max="31" width="6.6640625" style="19" customWidth="1"/>
    <col min="32" max="32" width="9.6640625" style="19" customWidth="1"/>
    <col min="33" max="33" width="11.6640625" style="19" customWidth="1"/>
    <col min="34" max="34" width="8.83203125" style="19" customWidth="1"/>
    <col min="35" max="35" width="9.5" style="19" customWidth="1"/>
    <col min="36" max="36" width="12.33203125" style="22" customWidth="1"/>
    <col min="37" max="37" width="11.5" style="21" customWidth="1"/>
    <col min="38" max="41" width="8.83203125" style="19"/>
    <col min="42" max="42" width="12.83203125" style="19" customWidth="1"/>
    <col min="43" max="43" width="11.1640625" style="19" customWidth="1"/>
    <col min="44" max="45" width="9.83203125" style="19" customWidth="1"/>
    <col min="46" max="16384" width="8.83203125" style="19"/>
  </cols>
  <sheetData>
    <row r="1" spans="1:45" x14ac:dyDescent="0.2">
      <c r="A1" s="25" t="s">
        <v>39</v>
      </c>
      <c r="B1" s="19" t="s">
        <v>40</v>
      </c>
      <c r="C1" s="20" t="s">
        <v>44</v>
      </c>
      <c r="D1" s="20" t="s">
        <v>0</v>
      </c>
      <c r="E1" s="20" t="s">
        <v>1</v>
      </c>
      <c r="F1" s="20" t="s">
        <v>87</v>
      </c>
      <c r="G1" s="20" t="s">
        <v>3</v>
      </c>
      <c r="H1" s="20" t="s">
        <v>4</v>
      </c>
      <c r="I1" s="20" t="s">
        <v>88</v>
      </c>
      <c r="J1" s="20" t="s">
        <v>6</v>
      </c>
      <c r="K1" s="20" t="s">
        <v>89</v>
      </c>
      <c r="L1" s="20" t="s">
        <v>90</v>
      </c>
      <c r="M1" s="20" t="s">
        <v>8</v>
      </c>
      <c r="N1" s="20" t="s">
        <v>91</v>
      </c>
      <c r="O1" s="20" t="s">
        <v>92</v>
      </c>
      <c r="P1" s="20" t="s">
        <v>93</v>
      </c>
      <c r="Q1" s="20" t="s">
        <v>12</v>
      </c>
      <c r="R1" s="20" t="s">
        <v>13</v>
      </c>
      <c r="S1" s="20" t="s">
        <v>94</v>
      </c>
      <c r="T1" s="20" t="s">
        <v>183</v>
      </c>
      <c r="U1" s="20" t="s">
        <v>184</v>
      </c>
      <c r="V1" s="20" t="s">
        <v>185</v>
      </c>
      <c r="W1" s="20" t="s">
        <v>186</v>
      </c>
      <c r="X1" s="20" t="s">
        <v>187</v>
      </c>
      <c r="Y1" s="20" t="s">
        <v>188</v>
      </c>
      <c r="Z1" s="21" t="s">
        <v>189</v>
      </c>
      <c r="AA1" s="21" t="s">
        <v>95</v>
      </c>
      <c r="AB1" s="21" t="s">
        <v>15</v>
      </c>
      <c r="AC1" s="21" t="s">
        <v>16</v>
      </c>
      <c r="AD1" s="20" t="s">
        <v>19</v>
      </c>
      <c r="AE1" s="20" t="s">
        <v>96</v>
      </c>
      <c r="AF1" s="21" t="s">
        <v>97</v>
      </c>
      <c r="AG1" s="21" t="s">
        <v>98</v>
      </c>
      <c r="AH1" s="21" t="s">
        <v>20</v>
      </c>
      <c r="AI1" s="21" t="s">
        <v>21</v>
      </c>
      <c r="AJ1" s="22" t="s">
        <v>99</v>
      </c>
      <c r="AK1" s="21" t="s">
        <v>24</v>
      </c>
      <c r="AL1" s="21" t="s">
        <v>100</v>
      </c>
      <c r="AM1" s="21" t="s">
        <v>101</v>
      </c>
      <c r="AN1" s="21" t="s">
        <v>102</v>
      </c>
      <c r="AO1" s="21" t="s">
        <v>103</v>
      </c>
      <c r="AP1" s="21" t="s">
        <v>170</v>
      </c>
      <c r="AQ1" s="21" t="s">
        <v>171</v>
      </c>
      <c r="AR1" s="21" t="s">
        <v>172</v>
      </c>
      <c r="AS1" s="21" t="s">
        <v>173</v>
      </c>
    </row>
    <row r="2" spans="1:45" s="20" customFormat="1" x14ac:dyDescent="0.2">
      <c r="A2" s="26" t="s">
        <v>112</v>
      </c>
      <c r="B2" s="19" t="s">
        <v>27</v>
      </c>
      <c r="C2" s="20">
        <f t="shared" ref="C2:C65" si="0">-11.4473/27.211324570273</f>
        <v>-0.42068146923305594</v>
      </c>
      <c r="D2" s="20">
        <v>-381.16278999999997</v>
      </c>
      <c r="E2" s="20">
        <v>-381.24534999999997</v>
      </c>
      <c r="F2" s="20">
        <v>-382.38560999999999</v>
      </c>
      <c r="G2" s="20">
        <v>-381.21874065060001</v>
      </c>
      <c r="H2" s="20">
        <v>-381.29914736990003</v>
      </c>
      <c r="I2" s="20">
        <v>-382.46444730399998</v>
      </c>
      <c r="J2" s="20">
        <v>-381.28694448409999</v>
      </c>
      <c r="K2" s="20">
        <v>-381.29591375699999</v>
      </c>
      <c r="L2" s="20">
        <v>-381.30030424149999</v>
      </c>
      <c r="M2" s="20">
        <v>-381.34607015260002</v>
      </c>
      <c r="N2" s="20">
        <v>-381.42875597260002</v>
      </c>
      <c r="O2" s="20">
        <v>-382.5154466418</v>
      </c>
      <c r="P2" s="20">
        <v>-382.53344381440002</v>
      </c>
      <c r="Q2" s="20">
        <v>-381.62772968619998</v>
      </c>
      <c r="R2" s="20">
        <v>-381.70561321650001</v>
      </c>
      <c r="S2" s="20">
        <v>-382.87155943469998</v>
      </c>
      <c r="T2" s="20">
        <f>(S2-Q2)/2*27.211324570273</f>
        <v>-16.923127498297141</v>
      </c>
      <c r="U2" s="20">
        <f>(R2-Q2)*27.211324570273</f>
        <v>-2.1193140216727486</v>
      </c>
      <c r="V2" s="20">
        <f>(F2-I2-D2+G2)/2*27.211324570273</f>
        <v>0.31138807699670129</v>
      </c>
      <c r="W2" s="20">
        <f>(E2-H2-D2+G2)*27.211324570273</f>
        <v>-5.8593620018217461E-2</v>
      </c>
      <c r="X2" s="20">
        <f>(P2-O2-K2+J2)/2*27.211324570273</f>
        <v>-0.12283055446249595</v>
      </c>
      <c r="Y2" s="20">
        <f>(N2-M2-L2+J2)*27.211324570273</f>
        <v>-1.8864539905876176</v>
      </c>
      <c r="Z2" s="21">
        <f>(F2+P2-O2-D2-K2+J2-2*C2)*27.211324570273</f>
        <v>-10.625613019948119</v>
      </c>
      <c r="AA2" s="21">
        <f>(S2+F2-I2+P2-O2-Q2-D2+G2-K2+J2-2*C2)*27.211324570273</f>
        <v>-10.574539951525873</v>
      </c>
      <c r="AB2" s="21">
        <f>(E2+N2-M2-D2-L2+J2)*27.211324570273</f>
        <v>-4.1330209471109267</v>
      </c>
      <c r="AC2" s="21">
        <f>(R2+E2-H2+N2-M2-Q2-D2+G2-L2+J2)*27.211324570273</f>
        <v>-4.0643616322801304</v>
      </c>
      <c r="AD2" s="20">
        <v>4.84</v>
      </c>
      <c r="AE2" s="20">
        <v>4.4400000000000004</v>
      </c>
      <c r="AF2" s="21">
        <f>-Z2/2-AE2</f>
        <v>0.87280650997405917</v>
      </c>
      <c r="AG2" s="21">
        <f>-AA2/2-AE2</f>
        <v>0.84726997576293606</v>
      </c>
      <c r="AH2" s="21">
        <f>-AB2-AD2</f>
        <v>-0.70697905288907315</v>
      </c>
      <c r="AI2" s="21">
        <f>-AC2-AD2</f>
        <v>-0.77563836771986949</v>
      </c>
      <c r="AJ2" s="22">
        <v>0.64300000000000002</v>
      </c>
      <c r="AK2" s="21">
        <v>-0.88149999999999995</v>
      </c>
      <c r="AL2" s="27">
        <f>AF2+(0.69-AF$2)</f>
        <v>0.69</v>
      </c>
      <c r="AM2" s="27">
        <f>AG2+(0.69-AG$2)</f>
        <v>0.69</v>
      </c>
      <c r="AN2" s="27">
        <f>AH2+(-0.8815-AH$2)</f>
        <v>-0.88149999999999995</v>
      </c>
      <c r="AO2" s="27">
        <f>AI2+(-0.8815-AI$2)</f>
        <v>-0.88149999999999995</v>
      </c>
      <c r="AP2" s="20">
        <f>ABS(AL2-AJ2)</f>
        <v>4.6999999999999931E-2</v>
      </c>
      <c r="AQ2" s="20">
        <f>ABS(AM2-AJ2)</f>
        <v>4.6999999999999931E-2</v>
      </c>
      <c r="AR2" s="20">
        <f>ABS(AN2-AK2)</f>
        <v>0</v>
      </c>
      <c r="AS2" s="20">
        <f>ABS(AO2-AK2)</f>
        <v>0</v>
      </c>
    </row>
    <row r="3" spans="1:45" s="20" customFormat="1" ht="15" customHeight="1" x14ac:dyDescent="0.2">
      <c r="A3" s="26" t="s">
        <v>112</v>
      </c>
      <c r="B3" s="19" t="s">
        <v>145</v>
      </c>
      <c r="C3" s="20">
        <f t="shared" si="0"/>
        <v>-0.42068146923305594</v>
      </c>
      <c r="D3" s="20">
        <v>-380.97422999999998</v>
      </c>
      <c r="E3" s="20">
        <v>-381.05284</v>
      </c>
      <c r="F3" s="20">
        <v>-382.19517000000002</v>
      </c>
      <c r="G3" s="20">
        <v>-381.03100616969999</v>
      </c>
      <c r="H3" s="20">
        <v>-381.1076627699</v>
      </c>
      <c r="I3" s="20">
        <v>-382.2747575628</v>
      </c>
      <c r="J3" s="20">
        <v>-381.28716589409999</v>
      </c>
      <c r="K3" s="20">
        <v>-381.29573987139997</v>
      </c>
      <c r="L3" s="20">
        <v>-381.30032689860002</v>
      </c>
      <c r="M3" s="20">
        <v>-381.34635117620002</v>
      </c>
      <c r="N3" s="20">
        <v>-381.42900576699998</v>
      </c>
      <c r="O3" s="20">
        <v>-382.51559156119998</v>
      </c>
      <c r="P3" s="20">
        <v>-382.533344403</v>
      </c>
      <c r="Q3" s="20">
        <v>-381.4465301816</v>
      </c>
      <c r="R3" s="20">
        <v>-381.5219409691</v>
      </c>
      <c r="S3" s="20">
        <v>-382.68950236569998</v>
      </c>
      <c r="T3" s="20">
        <f>(S3-Q3)/2*27.211324570273</f>
        <v>-16.911459766682885</v>
      </c>
      <c r="U3" s="20">
        <f>(R3-Q3)*27.211324570273</f>
        <v>-2.052027414762509</v>
      </c>
      <c r="V3" s="20">
        <f>(F3-I3-D3+G3)/2*27.211324570273</f>
        <v>0.31036411077170056</v>
      </c>
      <c r="W3" s="20">
        <f>(E3-H3-D3+G3)*27.211324570273</f>
        <v>-5.3154595973731719E-2</v>
      </c>
      <c r="X3" s="20">
        <f>(P3-O3-K3+J3)/2*27.211324570273</f>
        <v>-0.12488453054842624</v>
      </c>
      <c r="Y3" s="20">
        <f>(N3-M3-L3+J3)*27.211324570273</f>
        <v>-1.891012532359599</v>
      </c>
      <c r="Z3" s="21">
        <f>(F3+P3-O3-D3-K3+J3-2*C3)*27.211324570273</f>
        <v>-10.57856368192555</v>
      </c>
      <c r="AA3" s="21">
        <f>(S3+F3-I3+P3-O3-Q3-D3+G3-K3+J3-2*C3)*27.211324570273</f>
        <v>-10.55736037291922</v>
      </c>
      <c r="AB3" s="21">
        <f>(E3+N3-M3-D3-L3+J3)*27.211324570273</f>
        <v>-4.0300947568294685</v>
      </c>
      <c r="AC3" s="21">
        <f>(R3+E3-H3+N3-M3-Q3-D3+G3-L3+J3)*27.211324570273</f>
        <v>-3.9961945430927459</v>
      </c>
      <c r="AD3" s="20">
        <v>4.84</v>
      </c>
      <c r="AE3" s="20">
        <v>4.4400000000000004</v>
      </c>
      <c r="AF3" s="21">
        <f>-Z3/2-AE3</f>
        <v>0.84928184096277448</v>
      </c>
      <c r="AG3" s="21">
        <f>-AA3/2-AE3</f>
        <v>0.83868018645960962</v>
      </c>
      <c r="AH3" s="21">
        <f>-AB3-AD3</f>
        <v>-0.80990524317053136</v>
      </c>
      <c r="AI3" s="21">
        <f>-AC3-AD3</f>
        <v>-0.84380545690725395</v>
      </c>
      <c r="AJ3" s="22">
        <v>0.64300000000000002</v>
      </c>
      <c r="AK3" s="21">
        <v>-0.88149999999999995</v>
      </c>
      <c r="AL3" s="27">
        <f>AF3+(0.69-AF$3)</f>
        <v>0.69</v>
      </c>
      <c r="AM3" s="27">
        <f>AG3+(0.69-AG$3)</f>
        <v>0.69</v>
      </c>
      <c r="AN3" s="27">
        <f>AH3+(-0.8815-AH$3)</f>
        <v>-0.88149999999999995</v>
      </c>
      <c r="AO3" s="27">
        <f>AI3+(-0.8815-AI$3)</f>
        <v>-0.88149999999999995</v>
      </c>
      <c r="AP3" s="20">
        <f t="shared" ref="AP3:AP66" si="1">ABS(AL3-AJ3)</f>
        <v>4.6999999999999931E-2</v>
      </c>
      <c r="AQ3" s="20">
        <f t="shared" ref="AQ3:AQ66" si="2">ABS(AM3-AJ3)</f>
        <v>4.6999999999999931E-2</v>
      </c>
      <c r="AR3" s="20">
        <f t="shared" ref="AR3:AR66" si="3">ABS(AN3-AK3)</f>
        <v>0</v>
      </c>
      <c r="AS3" s="20">
        <f t="shared" ref="AS3:AS66" si="4">ABS(AO3-AK3)</f>
        <v>0</v>
      </c>
    </row>
    <row r="4" spans="1:45" s="20" customFormat="1" ht="15" customHeight="1" x14ac:dyDescent="0.2">
      <c r="A4" s="26" t="s">
        <v>112</v>
      </c>
      <c r="B4" s="19" t="s">
        <v>29</v>
      </c>
      <c r="C4" s="20">
        <f t="shared" si="0"/>
        <v>-0.42068146923305594</v>
      </c>
      <c r="D4" s="20">
        <v>-381.26569999999998</v>
      </c>
      <c r="E4" s="20">
        <v>-381.34438</v>
      </c>
      <c r="F4" s="20">
        <v>-382.49281000000002</v>
      </c>
      <c r="G4" s="20">
        <v>-381.3226416146</v>
      </c>
      <c r="H4" s="20">
        <v>-381.39934010450003</v>
      </c>
      <c r="I4" s="20">
        <v>-382.5726576216</v>
      </c>
      <c r="J4" s="20">
        <v>-381.28709819379998</v>
      </c>
      <c r="K4" s="20">
        <v>-381.295794086</v>
      </c>
      <c r="L4" s="20">
        <v>-381.30033202229998</v>
      </c>
      <c r="M4" s="20">
        <v>-381.34620431010001</v>
      </c>
      <c r="N4" s="20">
        <v>-381.42888852380003</v>
      </c>
      <c r="O4" s="20">
        <v>-382.51549226330002</v>
      </c>
      <c r="P4" s="20">
        <v>-382.53344727439998</v>
      </c>
      <c r="Q4" s="20">
        <v>-381.72634155920002</v>
      </c>
      <c r="R4" s="20">
        <v>-381.80033027690001</v>
      </c>
      <c r="S4" s="20">
        <v>-382.97488505820002</v>
      </c>
      <c r="T4" s="20">
        <f>(S4-Q4)/2*27.211324570273</f>
        <v>-16.987261195696568</v>
      </c>
      <c r="U4" s="20">
        <f>(R4-Q4)*27.211324570273</f>
        <v>-2.0133310118727321</v>
      </c>
      <c r="V4" s="20">
        <f>(F4-I4-D4+G4)/2*27.211324570273</f>
        <v>0.31165139554243498</v>
      </c>
      <c r="W4" s="20">
        <f>(E4-H4-D4+G4)*27.211324570273</f>
        <v>-5.3919514470235901E-2</v>
      </c>
      <c r="X4" s="20">
        <f>(P4-O4-K4+J4)/2*27.211324570273</f>
        <v>-0.12597644481042092</v>
      </c>
      <c r="Y4" s="20">
        <f>(N4-M4-L4+J4)*27.211324570273</f>
        <v>-1.8898369732080624</v>
      </c>
      <c r="Z4" s="21">
        <f>(F4+P4-O4-D4-K4+J4-2*C4)*27.211324570273</f>
        <v>-10.748641383049598</v>
      </c>
      <c r="AA4" s="21">
        <f>(S4+F4-I4+P4-O4-Q4-D4+G4-K4+J4-2*C4)*27.211324570273</f>
        <v>-10.708572489929105</v>
      </c>
      <c r="AB4" s="21">
        <f>(E4+N4-M4-D4-L4+J4)*27.211324570273</f>
        <v>-4.0308239903961356</v>
      </c>
      <c r="AC4" s="21">
        <f>(R4+E4-H4+N4-M4-Q4-D4+G4-L4+J4)*27.211324570273</f>
        <v>-3.9570874995510303</v>
      </c>
      <c r="AD4" s="20">
        <v>4.84</v>
      </c>
      <c r="AE4" s="20">
        <v>4.4400000000000004</v>
      </c>
      <c r="AF4" s="21">
        <f>-Z4/2-AE4</f>
        <v>0.9343206915247988</v>
      </c>
      <c r="AG4" s="21">
        <f>-AA4/2-AE4</f>
        <v>0.91428624496455235</v>
      </c>
      <c r="AH4" s="21">
        <f>-AB4-AD4</f>
        <v>-0.80917600960386427</v>
      </c>
      <c r="AI4" s="21">
        <f>-AC4-AD4</f>
        <v>-0.88291250044896952</v>
      </c>
      <c r="AJ4" s="22">
        <v>0.64300000000000002</v>
      </c>
      <c r="AK4" s="21">
        <v>-0.88149999999999995</v>
      </c>
      <c r="AL4" s="21">
        <f>AF4+(0.69-AF$4)</f>
        <v>0.69</v>
      </c>
      <c r="AM4" s="21">
        <f>AG4+(0.69-AG$4)</f>
        <v>0.69</v>
      </c>
      <c r="AN4" s="21">
        <f>AH4+(-0.8815-AH$4)</f>
        <v>-0.88149999999999995</v>
      </c>
      <c r="AO4" s="21">
        <f>AI4+(-0.8815-AI$4)</f>
        <v>-0.88149999999999995</v>
      </c>
      <c r="AP4" s="20">
        <f t="shared" si="1"/>
        <v>4.6999999999999931E-2</v>
      </c>
      <c r="AQ4" s="20">
        <f t="shared" si="2"/>
        <v>4.6999999999999931E-2</v>
      </c>
      <c r="AR4" s="20">
        <f t="shared" si="3"/>
        <v>0</v>
      </c>
      <c r="AS4" s="20">
        <f t="shared" si="4"/>
        <v>0</v>
      </c>
    </row>
    <row r="5" spans="1:45" s="20" customFormat="1" ht="15" customHeight="1" x14ac:dyDescent="0.2">
      <c r="A5" s="26" t="s">
        <v>112</v>
      </c>
      <c r="B5" s="19" t="s">
        <v>30</v>
      </c>
      <c r="C5" s="20">
        <f t="shared" si="0"/>
        <v>-0.42068146923305594</v>
      </c>
      <c r="D5" s="20">
        <v>-381.24520999999999</v>
      </c>
      <c r="E5" s="20">
        <v>-381.32319000000001</v>
      </c>
      <c r="F5" s="20">
        <v>-382.46291000000002</v>
      </c>
      <c r="G5" s="20">
        <v>-381.30170933519997</v>
      </c>
      <c r="H5" s="20">
        <v>-381.37771130689998</v>
      </c>
      <c r="I5" s="20">
        <v>-382.54229897499999</v>
      </c>
      <c r="J5" s="20">
        <v>-381.28722108390002</v>
      </c>
      <c r="K5" s="20">
        <v>-381.29589151179999</v>
      </c>
      <c r="L5" s="20">
        <v>-381.30043350099999</v>
      </c>
      <c r="M5" s="20">
        <v>-381.34634396630003</v>
      </c>
      <c r="N5" s="20">
        <v>-381.42901317550002</v>
      </c>
      <c r="O5" s="20">
        <v>-382.51563622949999</v>
      </c>
      <c r="P5" s="20">
        <v>-382.53353006039998</v>
      </c>
      <c r="Q5" s="20">
        <v>-381.71503438650001</v>
      </c>
      <c r="R5" s="20">
        <v>-381.7878979578</v>
      </c>
      <c r="S5" s="20">
        <v>-382.95362860289998</v>
      </c>
      <c r="T5" s="20">
        <f>(S5-Q5)/2*27.211324570273</f>
        <v>-16.851894616661326</v>
      </c>
      <c r="U5" s="20">
        <f>(R5-Q5)*27.211324570273</f>
        <v>-1.9827142879932653</v>
      </c>
      <c r="V5" s="20">
        <f>(F5-I5-D5+G5)/2*27.211324570273</f>
        <v>0.3114287089470113</v>
      </c>
      <c r="W5" s="20">
        <f>(E5-H5-D5+G5)*27.211324570273</f>
        <v>-5.3824770080918578E-2</v>
      </c>
      <c r="X5" s="20">
        <f>(P5-O5-K5+J5)/2*27.211324570273</f>
        <v>-0.12549050633800513</v>
      </c>
      <c r="Y5" s="20">
        <f>(N5-M5-L5+J5)*27.211324570273</f>
        <v>-1.8900113134438106</v>
      </c>
      <c r="Z5" s="21">
        <f>(F5+P5-O5-D5-K5+J5-2*C5)*27.211324570273</f>
        <v>-10.491610941898427</v>
      </c>
      <c r="AA5" s="21">
        <f>(S5+F5-I5+P5-O5-Q5-D5+G5-K5+J5-2*C5)*27.211324570273</f>
        <v>-10.43731282810619</v>
      </c>
      <c r="AB5" s="21">
        <f>(E5+N5-M5-D5-L5+J5)*27.211324570273</f>
        <v>-4.0119504034328335</v>
      </c>
      <c r="AC5" s="21">
        <f>(R5+E5-H5+N5-M5-Q5-D5+G5-L5+J5)*27.211324570273</f>
        <v>-3.9265503715179948</v>
      </c>
      <c r="AD5" s="20">
        <v>4.84</v>
      </c>
      <c r="AE5" s="20">
        <v>4.4400000000000004</v>
      </c>
      <c r="AF5" s="21">
        <f>-Z5/2-AE5</f>
        <v>0.80580547094921329</v>
      </c>
      <c r="AG5" s="21">
        <f>-AA5/2-AE5</f>
        <v>0.77865641405309471</v>
      </c>
      <c r="AH5" s="21">
        <f>-AB5-AD5</f>
        <v>-0.82804959656716637</v>
      </c>
      <c r="AI5" s="21">
        <f>-AC5-AD5</f>
        <v>-0.91344962848200506</v>
      </c>
      <c r="AJ5" s="22">
        <v>0.64300000000000002</v>
      </c>
      <c r="AK5" s="21">
        <v>-0.88149999999999995</v>
      </c>
      <c r="AL5" s="21">
        <f>AF5+(0.69-AF$5)</f>
        <v>0.69</v>
      </c>
      <c r="AM5" s="21">
        <f>AG5+(0.69-AG$5)</f>
        <v>0.69</v>
      </c>
      <c r="AN5" s="21">
        <f>AH5+(-0.8815-AH$5)</f>
        <v>-0.88149999999999995</v>
      </c>
      <c r="AO5" s="21">
        <f>AI5+(-0.8815-AI$5)</f>
        <v>-0.88149999999999995</v>
      </c>
      <c r="AP5" s="20">
        <f t="shared" si="1"/>
        <v>4.6999999999999931E-2</v>
      </c>
      <c r="AQ5" s="20">
        <f t="shared" si="2"/>
        <v>4.6999999999999931E-2</v>
      </c>
      <c r="AR5" s="20">
        <f t="shared" si="3"/>
        <v>0</v>
      </c>
      <c r="AS5" s="20">
        <f t="shared" si="4"/>
        <v>0</v>
      </c>
    </row>
    <row r="6" spans="1:45" ht="15" customHeight="1" x14ac:dyDescent="0.2">
      <c r="A6" s="26" t="s">
        <v>112</v>
      </c>
      <c r="B6" s="19" t="s">
        <v>31</v>
      </c>
      <c r="C6" s="20">
        <f t="shared" si="0"/>
        <v>-0.42068146923305594</v>
      </c>
      <c r="D6" s="20">
        <v>-381.26569999999998</v>
      </c>
      <c r="E6" s="20">
        <v>-381.34438</v>
      </c>
      <c r="F6" s="20">
        <v>-382.49281000000002</v>
      </c>
      <c r="G6" s="20">
        <v>-381.3226416146</v>
      </c>
      <c r="H6" s="20">
        <v>-381.39934010450003</v>
      </c>
      <c r="I6" s="20">
        <v>-382.5726576216</v>
      </c>
      <c r="J6" s="20">
        <v>-381.28709819379998</v>
      </c>
      <c r="K6" s="20">
        <v>-381.295794086</v>
      </c>
      <c r="L6" s="20">
        <v>-381.30033202229998</v>
      </c>
      <c r="M6" s="20">
        <v>-381.34620431010001</v>
      </c>
      <c r="N6" s="20">
        <v>-381.42888852380003</v>
      </c>
      <c r="O6" s="20">
        <v>-382.51549226330002</v>
      </c>
      <c r="P6" s="20">
        <v>-382.53344727439998</v>
      </c>
      <c r="Q6" s="20">
        <v>-381.48417463369998</v>
      </c>
      <c r="R6" s="20">
        <v>-381.55631816329998</v>
      </c>
      <c r="S6" s="20">
        <v>-382.724787671</v>
      </c>
      <c r="T6" s="20">
        <f>(S6-Q6)/2*27.211324570273</f>
        <v>-16.879362012041558</v>
      </c>
      <c r="U6" s="20">
        <f>(R6-Q6)*27.211324570273</f>
        <v>-1.9631209995906469</v>
      </c>
      <c r="V6" s="20">
        <f>(F6-I6-D6+G6)/2*27.211324570273</f>
        <v>0.31165139554243498</v>
      </c>
      <c r="W6" s="20">
        <f>(E6-H6-D6+G6)*27.211324570273</f>
        <v>-5.3919514470235901E-2</v>
      </c>
      <c r="X6" s="20">
        <f>(P6-O6-K6+J6)/2*27.211324570273</f>
        <v>-0.12597644481042092</v>
      </c>
      <c r="Y6" s="20">
        <f>(N6-M6-L6+J6)*27.211324570273</f>
        <v>-1.8898369732080624</v>
      </c>
      <c r="Z6" s="21">
        <f>(F6+P6-O6-D6-K6+J6-2*C6)*27.211324570273</f>
        <v>-10.748641383049598</v>
      </c>
      <c r="AA6" s="21">
        <f>(S6+F6-I6+P6-O6-Q6-D6+G6-K6+J6-2*C6)*27.211324570273</f>
        <v>-10.492774122620631</v>
      </c>
      <c r="AB6" s="21">
        <f>(E6+N6-M6-D6-L6+J6)*27.211324570273</f>
        <v>-4.0308239903961356</v>
      </c>
      <c r="AC6" s="21">
        <f>(R6+E6-H6+N6-M6-Q6-D6+G6-L6+J6)*27.211324570273</f>
        <v>-3.9068774872673986</v>
      </c>
      <c r="AD6" s="20">
        <v>4.84</v>
      </c>
      <c r="AE6" s="20">
        <v>4.4400000000000004</v>
      </c>
      <c r="AF6" s="21">
        <f>-Z6/2-AE6</f>
        <v>0.9343206915247988</v>
      </c>
      <c r="AG6" s="21">
        <f>-AA6/2-AE6</f>
        <v>0.80638706131031501</v>
      </c>
      <c r="AH6" s="21">
        <f>-AB6-AD6</f>
        <v>-0.80917600960386427</v>
      </c>
      <c r="AI6" s="21">
        <f>-AC6-AD6</f>
        <v>-0.93312251273260127</v>
      </c>
      <c r="AJ6" s="22">
        <v>0.64300000000000002</v>
      </c>
      <c r="AK6" s="21">
        <v>-0.88149999999999995</v>
      </c>
      <c r="AL6" s="21">
        <f>AF6+(0.69-AF$6)</f>
        <v>0.69</v>
      </c>
      <c r="AM6" s="21">
        <f>AG6+(0.69-AG$6)</f>
        <v>0.69</v>
      </c>
      <c r="AN6" s="21">
        <f>AH6+(-0.8815-AH$6)</f>
        <v>-0.88149999999999995</v>
      </c>
      <c r="AO6" s="21">
        <f>AI6+(-0.8815-AI$6)</f>
        <v>-0.88149999999999995</v>
      </c>
      <c r="AP6" s="20">
        <f t="shared" si="1"/>
        <v>4.6999999999999931E-2</v>
      </c>
      <c r="AQ6" s="20">
        <f t="shared" si="2"/>
        <v>4.6999999999999931E-2</v>
      </c>
      <c r="AR6" s="20">
        <f t="shared" si="3"/>
        <v>0</v>
      </c>
      <c r="AS6" s="20">
        <f t="shared" si="4"/>
        <v>0</v>
      </c>
    </row>
    <row r="7" spans="1:45" ht="15" customHeight="1" x14ac:dyDescent="0.2">
      <c r="A7" s="26" t="s">
        <v>112</v>
      </c>
      <c r="B7" s="19" t="s">
        <v>32</v>
      </c>
      <c r="C7" s="20">
        <f t="shared" si="0"/>
        <v>-0.42068146923305594</v>
      </c>
      <c r="D7" s="20">
        <v>-381.24520999999999</v>
      </c>
      <c r="E7" s="20">
        <v>-381.32319000000001</v>
      </c>
      <c r="F7" s="20">
        <v>-382.46291000000002</v>
      </c>
      <c r="G7" s="20">
        <v>-381.30170933519997</v>
      </c>
      <c r="H7" s="20">
        <v>-381.37771130689998</v>
      </c>
      <c r="I7" s="20">
        <v>-382.54229897499999</v>
      </c>
      <c r="J7" s="20">
        <v>-381.28722108390002</v>
      </c>
      <c r="K7" s="20">
        <v>-381.29589151179999</v>
      </c>
      <c r="L7" s="20">
        <v>-381.30043350099999</v>
      </c>
      <c r="M7" s="20">
        <v>-381.34634396630003</v>
      </c>
      <c r="N7" s="20">
        <v>-381.42901317550002</v>
      </c>
      <c r="O7" s="20">
        <v>-382.51563622949999</v>
      </c>
      <c r="P7" s="20">
        <v>-382.53353006039998</v>
      </c>
      <c r="Q7" s="20">
        <v>-381.47982832299999</v>
      </c>
      <c r="R7" s="20">
        <v>-381.5509443199</v>
      </c>
      <c r="S7" s="20">
        <v>-382.71039389139997</v>
      </c>
      <c r="T7" s="20">
        <f>(S7-Q7)/2*27.211324570273</f>
        <v>-16.742659543367189</v>
      </c>
      <c r="U7" s="20">
        <f>(R7-Q7)*27.211324570273</f>
        <v>-1.9351604737845653</v>
      </c>
      <c r="V7" s="20">
        <f>(F7-I7-D7+G7)/2*27.211324570273</f>
        <v>0.3114287089470113</v>
      </c>
      <c r="W7" s="20">
        <f>(E7-H7-D7+G7)*27.211324570273</f>
        <v>-5.3824770080918578E-2</v>
      </c>
      <c r="X7" s="20">
        <f>(P7-O7-K7+J7)/2*27.211324570273</f>
        <v>-0.12549050633800513</v>
      </c>
      <c r="Y7" s="20">
        <f>(N7-M7-L7+J7)*27.211324570273</f>
        <v>-1.8900113134438106</v>
      </c>
      <c r="Z7" s="21">
        <f>(F7+P7-O7-D7-K7+J7-2*C7)*27.211324570273</f>
        <v>-10.491610941898427</v>
      </c>
      <c r="AA7" s="21">
        <f>(S7+F7-I7+P7-O7-Q7-D7+G7-K7+J7-2*C7)*27.211324570273</f>
        <v>-10.218842681517915</v>
      </c>
      <c r="AB7" s="21">
        <f>(E7+N7-M7-D7-L7+J7)*27.211324570273</f>
        <v>-4.0119504034328335</v>
      </c>
      <c r="AC7" s="21">
        <f>(R7+E7-H7+N7-M7-Q7-D7+G7-L7+J7)*27.211324570273</f>
        <v>-3.8789965573092946</v>
      </c>
      <c r="AD7" s="20">
        <v>4.84</v>
      </c>
      <c r="AE7" s="20">
        <v>4.4400000000000004</v>
      </c>
      <c r="AF7" s="21">
        <f>-Z7/2-AE7</f>
        <v>0.80580547094921329</v>
      </c>
      <c r="AG7" s="21">
        <f>-AA7/2-AE7</f>
        <v>0.66942134075895687</v>
      </c>
      <c r="AH7" s="21">
        <f>-AB7-AD7</f>
        <v>-0.82804959656716637</v>
      </c>
      <c r="AI7" s="21">
        <f>-AC7-AD7</f>
        <v>-0.96100344269070526</v>
      </c>
      <c r="AJ7" s="22">
        <v>0.64300000000000002</v>
      </c>
      <c r="AK7" s="21">
        <v>-0.88149999999999995</v>
      </c>
      <c r="AL7" s="21">
        <f>AF7+(0.69-AF$7)</f>
        <v>0.69</v>
      </c>
      <c r="AM7" s="21">
        <f>AG7+(0.69-AG$7)</f>
        <v>0.69</v>
      </c>
      <c r="AN7" s="21">
        <f>AH7+(-0.8815-AH$7)</f>
        <v>-0.88149999999999995</v>
      </c>
      <c r="AO7" s="21">
        <f>AI7+(-0.8815-AI$7)</f>
        <v>-0.88149999999999995</v>
      </c>
      <c r="AP7" s="20">
        <f t="shared" si="1"/>
        <v>4.6999999999999931E-2</v>
      </c>
      <c r="AQ7" s="20">
        <f t="shared" si="2"/>
        <v>4.6999999999999931E-2</v>
      </c>
      <c r="AR7" s="20">
        <f t="shared" si="3"/>
        <v>0</v>
      </c>
      <c r="AS7" s="20">
        <f t="shared" si="4"/>
        <v>0</v>
      </c>
    </row>
    <row r="8" spans="1:45" ht="15" customHeight="1" x14ac:dyDescent="0.2">
      <c r="A8" s="26" t="s">
        <v>112</v>
      </c>
      <c r="B8" s="19" t="s">
        <v>33</v>
      </c>
      <c r="C8" s="20">
        <f t="shared" si="0"/>
        <v>-0.42068146923305594</v>
      </c>
      <c r="D8" s="20">
        <v>-381.42437999999999</v>
      </c>
      <c r="E8" s="20">
        <v>-381.48165999999998</v>
      </c>
      <c r="F8" s="20">
        <v>-382.63209999999998</v>
      </c>
      <c r="G8" s="20">
        <v>-381.48064206139998</v>
      </c>
      <c r="H8" s="20">
        <v>-381.53435952709998</v>
      </c>
      <c r="I8" s="20">
        <v>-382.71110492870002</v>
      </c>
      <c r="J8" s="20">
        <v>-381.28706889419999</v>
      </c>
      <c r="K8" s="20">
        <v>-381.29573802419998</v>
      </c>
      <c r="L8" s="20">
        <v>-381.300248872</v>
      </c>
      <c r="M8" s="20">
        <v>-381.34576681689998</v>
      </c>
      <c r="N8" s="20">
        <v>-381.42855610219999</v>
      </c>
      <c r="O8" s="20">
        <v>-382.5155585023</v>
      </c>
      <c r="P8" s="20">
        <v>-382.53340818999999</v>
      </c>
      <c r="Q8" s="20">
        <v>-381.48020469879998</v>
      </c>
      <c r="R8" s="20">
        <v>-381.55113033589998</v>
      </c>
      <c r="S8" s="20">
        <v>-382.71082870449999</v>
      </c>
      <c r="T8" s="20">
        <f>(S8-Q8)/2*27.211324570273</f>
        <v>-16.743454621536205</v>
      </c>
      <c r="U8" s="20">
        <f>(R8-Q8)*27.211324570273</f>
        <v>-1.9299805314815988</v>
      </c>
      <c r="V8" s="20">
        <f>(F8-I8-D8+G8)/2*27.211324570273</f>
        <v>0.30943177188019733</v>
      </c>
      <c r="W8" s="20">
        <f>(E8-H8-D8+G8)*27.211324570273</f>
        <v>-9.6941277129700354E-2</v>
      </c>
      <c r="X8" s="20">
        <f>(P8-O8-K8+J8)/2*27.211324570273</f>
        <v>-0.12490756765549003</v>
      </c>
      <c r="Y8" s="20">
        <f>(N8-M8-L8+J8)*27.211324570273</f>
        <v>-1.8941614594944973</v>
      </c>
      <c r="Z8" s="21">
        <f>(F8+P8-O8-D8-K8+J8-2*C8)*27.211324570273</f>
        <v>-10.218876045320945</v>
      </c>
      <c r="AA8" s="21">
        <f>(S8+F8-I8+P8-O8-Q8-D8+G8-K8+J8-2*C8)*27.211324570273</f>
        <v>-10.223260834621451</v>
      </c>
      <c r="AB8" s="21">
        <f>(E8+N8-M8-D8-L8+J8)*27.211324570273</f>
        <v>-3.4528261308779582</v>
      </c>
      <c r="AC8" s="21">
        <f>(R8+E8-H8+N8-M8-Q8-D8+G8-L8+J8)*27.211324570273</f>
        <v>-3.9210832681088901</v>
      </c>
      <c r="AD8" s="20">
        <v>4.84</v>
      </c>
      <c r="AE8" s="20">
        <v>4.4400000000000004</v>
      </c>
      <c r="AF8" s="21">
        <f>-Z8/2-AE8</f>
        <v>0.66943802266047214</v>
      </c>
      <c r="AG8" s="21">
        <f>-AA8/2-AE8</f>
        <v>0.67163041731072504</v>
      </c>
      <c r="AH8" s="21">
        <f>-AB8-AD8</f>
        <v>-1.3871738691220417</v>
      </c>
      <c r="AI8" s="21">
        <f>-AC8-AD8</f>
        <v>-0.91891673189110978</v>
      </c>
      <c r="AJ8" s="22">
        <v>0.64300000000000002</v>
      </c>
      <c r="AK8" s="21">
        <v>-0.88149999999999995</v>
      </c>
      <c r="AL8" s="21">
        <f>AF8+(0.69-AF$8)</f>
        <v>0.69</v>
      </c>
      <c r="AM8" s="21">
        <f>AG8+(0.69-AG$8)</f>
        <v>0.69</v>
      </c>
      <c r="AN8" s="21">
        <f>AH8+(-0.8815-AH$8)</f>
        <v>-0.88149999999999995</v>
      </c>
      <c r="AO8" s="21">
        <f>AI8+(-0.8815-AI$8)</f>
        <v>-0.88149999999999995</v>
      </c>
      <c r="AP8" s="20">
        <f t="shared" si="1"/>
        <v>4.6999999999999931E-2</v>
      </c>
      <c r="AQ8" s="20">
        <f t="shared" si="2"/>
        <v>4.6999999999999931E-2</v>
      </c>
      <c r="AR8" s="20">
        <f t="shared" si="3"/>
        <v>0</v>
      </c>
      <c r="AS8" s="20">
        <f t="shared" si="4"/>
        <v>0</v>
      </c>
    </row>
    <row r="9" spans="1:45" ht="15" customHeight="1" x14ac:dyDescent="0.2">
      <c r="A9" s="26" t="s">
        <v>112</v>
      </c>
      <c r="B9" s="19" t="s">
        <v>174</v>
      </c>
      <c r="C9" s="20">
        <f t="shared" si="0"/>
        <v>-0.42068146923305594</v>
      </c>
      <c r="D9" s="20">
        <v>-381.42392000000001</v>
      </c>
      <c r="E9" s="20">
        <v>-381.49529999999999</v>
      </c>
      <c r="F9" s="20">
        <v>-382.63200999999998</v>
      </c>
      <c r="G9" s="20">
        <v>-381.48030732310002</v>
      </c>
      <c r="H9" s="20">
        <v>-381.5496012772</v>
      </c>
      <c r="I9" s="20">
        <v>-382.7110823333</v>
      </c>
      <c r="J9" s="20">
        <v>-381.28706320949999</v>
      </c>
      <c r="K9" s="20">
        <v>-381.29573344200003</v>
      </c>
      <c r="L9" s="20">
        <v>-381.3002437701</v>
      </c>
      <c r="M9" s="20">
        <v>-381.34622636329999</v>
      </c>
      <c r="N9" s="20">
        <v>-381.42886523099997</v>
      </c>
      <c r="O9" s="20">
        <v>-382.51555865950002</v>
      </c>
      <c r="P9" s="20">
        <v>-382.53340615529999</v>
      </c>
      <c r="Q9" s="20">
        <v>-381.48020470670002</v>
      </c>
      <c r="R9" s="20">
        <v>-381.55126951429997</v>
      </c>
      <c r="S9" s="20">
        <v>-382.71082871829998</v>
      </c>
      <c r="T9" s="20">
        <f>(S9-Q9)/2*27.211324570273</f>
        <v>-16.743454701808918</v>
      </c>
      <c r="U9" s="20">
        <f>(R9-Q9)*27.211324570273</f>
        <v>-1.9337675451263225</v>
      </c>
      <c r="V9" s="20">
        <f>(F9-I9-D9+G9)/2*27.211324570273</f>
        <v>0.30864458771617376</v>
      </c>
      <c r="W9" s="20">
        <f>(E9-H9-D9+G9)*27.211324570273</f>
        <v>-5.6764072053400845E-2</v>
      </c>
      <c r="X9" s="20">
        <f>(P9-O9-K9+J9)/2*27.211324570273</f>
        <v>-0.12486274516065612</v>
      </c>
      <c r="Y9" s="20">
        <f>(N9-M9-L9+J9)*27.211324570273</f>
        <v>-1.8900525385992086</v>
      </c>
      <c r="Z9" s="21">
        <f>(F9+P9-O9-D9-K9+J9-2*C9)*27.211324570273</f>
        <v>-10.228854590420061</v>
      </c>
      <c r="AA9" s="21">
        <f>(S9+F9-I9+P9-O9-Q9-D9+G9-K9+J9-2*C9)*27.211324570273</f>
        <v>-10.224745718505257</v>
      </c>
      <c r="AB9" s="21">
        <f>(E9+N9-M9-D9-L9+J9)*27.211324570273</f>
        <v>-3.8323968864246547</v>
      </c>
      <c r="AC9" s="21">
        <f>(R9+E9-H9+N9-M9-Q9-D9+G9-L9+J9)*27.211324570273</f>
        <v>-3.8805841557804786</v>
      </c>
      <c r="AD9" s="20">
        <v>4.84</v>
      </c>
      <c r="AE9" s="20">
        <v>4.4400000000000004</v>
      </c>
      <c r="AF9" s="21">
        <f>-Z9/2-AE9</f>
        <v>0.67442729521003031</v>
      </c>
      <c r="AG9" s="21">
        <f>-AA9/2-AE9</f>
        <v>0.67237285925262835</v>
      </c>
      <c r="AH9" s="21">
        <f>-AB9-AD9</f>
        <v>-1.0076031135753452</v>
      </c>
      <c r="AI9" s="21">
        <f>-AC9-AD9</f>
        <v>-0.95941584421952131</v>
      </c>
      <c r="AJ9" s="22">
        <v>0.64300000000000002</v>
      </c>
      <c r="AK9" s="21">
        <v>-0.88149999999999995</v>
      </c>
      <c r="AL9" s="21">
        <f>AF9+(0.69-AF$9)</f>
        <v>0.69</v>
      </c>
      <c r="AM9" s="21">
        <f>AG9+(0.69-AG$9)</f>
        <v>0.69</v>
      </c>
      <c r="AN9" s="21">
        <f>AH9+(-0.8815-AH$9)</f>
        <v>-0.88149999999999995</v>
      </c>
      <c r="AO9" s="21">
        <f>AI9+(-0.8815-AI$9)</f>
        <v>-0.88149999999999995</v>
      </c>
      <c r="AP9" s="20">
        <f t="shared" si="1"/>
        <v>4.6999999999999931E-2</v>
      </c>
      <c r="AQ9" s="20">
        <f t="shared" si="2"/>
        <v>4.6999999999999931E-2</v>
      </c>
      <c r="AR9" s="20">
        <f t="shared" si="3"/>
        <v>0</v>
      </c>
      <c r="AS9" s="20">
        <f t="shared" si="4"/>
        <v>0</v>
      </c>
    </row>
    <row r="10" spans="1:45" ht="15" customHeight="1" x14ac:dyDescent="0.2">
      <c r="A10" s="26" t="s">
        <v>112</v>
      </c>
      <c r="B10" s="19" t="s">
        <v>43</v>
      </c>
      <c r="C10" s="20">
        <f t="shared" si="0"/>
        <v>-0.42068146923305594</v>
      </c>
      <c r="D10" s="20">
        <v>-381.24520999999999</v>
      </c>
      <c r="E10" s="20">
        <v>-381.32319000000001</v>
      </c>
      <c r="F10" s="20">
        <v>-382.46291000000002</v>
      </c>
      <c r="G10" s="20">
        <v>-381.30170933519997</v>
      </c>
      <c r="H10" s="20">
        <v>-381.37771130689998</v>
      </c>
      <c r="I10" s="20">
        <v>-382.54229897499999</v>
      </c>
      <c r="J10" s="20">
        <v>-381.28722108390002</v>
      </c>
      <c r="K10" s="20">
        <v>-381.29589151179999</v>
      </c>
      <c r="L10" s="20">
        <v>-381.30043350099999</v>
      </c>
      <c r="M10" s="20">
        <v>-381.34634396630003</v>
      </c>
      <c r="N10" s="20">
        <v>-381.42901317550002</v>
      </c>
      <c r="O10" s="20">
        <v>-382.51563622949999</v>
      </c>
      <c r="P10" s="20">
        <v>-382.53353006039998</v>
      </c>
      <c r="Q10" s="20">
        <v>-380.96675950163302</v>
      </c>
      <c r="R10" s="20">
        <v>-381.034089770695</v>
      </c>
      <c r="S10" s="20">
        <v>-382.20667713416401</v>
      </c>
      <c r="T10" s="20">
        <f>(S10-Q10)/2*27.211324570273</f>
        <v>-16.869900569602621</v>
      </c>
      <c r="U10" s="20">
        <f>(R10-Q10)*27.211324570273</f>
        <v>-1.8321458048494428</v>
      </c>
      <c r="V10" s="20">
        <f>(F10-I10-D10+G10)/2*27.211324570273</f>
        <v>0.3114287089470113</v>
      </c>
      <c r="W10" s="20">
        <f>(E10-H10-D10+G10)*27.211324570273</f>
        <v>-5.3824770080918578E-2</v>
      </c>
      <c r="X10" s="20">
        <f>(P10-O10-K10+J10)/2*27.211324570273</f>
        <v>-0.12549050633800513</v>
      </c>
      <c r="Y10" s="20">
        <f>(N10-M10-L10+J10)*27.211324570273</f>
        <v>-1.8900113134438106</v>
      </c>
      <c r="Z10" s="21">
        <f>(F10+P10-O10-D10-K10+J10-2*C10)*27.211324570273</f>
        <v>-10.491610941898427</v>
      </c>
      <c r="AA10" s="21">
        <f>(S10+F10-I10+P10-O10-Q10-D10+G10-K10+J10-2*C10)*27.211324570273</f>
        <v>-10.473324733984137</v>
      </c>
      <c r="AB10" s="21">
        <f>(E10+N10-M10-D10-L10+J10)*27.211324570273</f>
        <v>-4.0119504034328335</v>
      </c>
      <c r="AC10" s="21">
        <f>(R10+E10-H10+N10-M10-Q10-D10+G10-L10+J10)*27.211324570273</f>
        <v>-3.7759818883726255</v>
      </c>
      <c r="AD10" s="20">
        <v>4.84</v>
      </c>
      <c r="AE10" s="20">
        <v>4.4400000000000004</v>
      </c>
      <c r="AF10" s="21">
        <f>-Z10/2-AE10</f>
        <v>0.80580547094921329</v>
      </c>
      <c r="AG10" s="21">
        <f>-AA10/2-AE10</f>
        <v>0.79666236699206827</v>
      </c>
      <c r="AH10" s="21">
        <f>-AB10-AD10</f>
        <v>-0.82804959656716637</v>
      </c>
      <c r="AI10" s="21">
        <f>-AC10-AD10</f>
        <v>-1.0640181116273744</v>
      </c>
      <c r="AJ10" s="22">
        <v>0.64300000000000002</v>
      </c>
      <c r="AK10" s="21">
        <v>-0.88149999999999995</v>
      </c>
      <c r="AL10" s="21">
        <f>AF10+(0.69-AF$10)</f>
        <v>0.69</v>
      </c>
      <c r="AM10" s="21">
        <f>AG10+(0.69-AG$10)</f>
        <v>0.69</v>
      </c>
      <c r="AN10" s="21">
        <f>AH10+(-0.8815-AH$10)</f>
        <v>-0.88149999999999995</v>
      </c>
      <c r="AO10" s="21">
        <f>AI10+(-0.8815-AI$10)</f>
        <v>-0.88149999999999995</v>
      </c>
      <c r="AP10" s="20">
        <f t="shared" si="1"/>
        <v>4.6999999999999931E-2</v>
      </c>
      <c r="AQ10" s="20">
        <f t="shared" si="2"/>
        <v>4.6999999999999931E-2</v>
      </c>
      <c r="AR10" s="20">
        <f t="shared" si="3"/>
        <v>0</v>
      </c>
      <c r="AS10" s="20">
        <f t="shared" si="4"/>
        <v>0</v>
      </c>
    </row>
    <row r="11" spans="1:45" x14ac:dyDescent="0.2">
      <c r="A11" s="26" t="s">
        <v>123</v>
      </c>
      <c r="B11" s="19" t="s">
        <v>27</v>
      </c>
      <c r="C11" s="20">
        <f t="shared" si="0"/>
        <v>-0.42068146923305594</v>
      </c>
      <c r="D11" s="20">
        <v>-612.01855</v>
      </c>
      <c r="E11" s="20">
        <v>-612.10478000000001</v>
      </c>
      <c r="F11" s="20">
        <v>-613.23846000000003</v>
      </c>
      <c r="G11" s="20">
        <v>-612.14766844409996</v>
      </c>
      <c r="H11" s="20">
        <v>-612.2317179698</v>
      </c>
      <c r="I11" s="20">
        <v>-613.39103584780003</v>
      </c>
      <c r="J11" s="20">
        <v>-612.24635232790001</v>
      </c>
      <c r="K11" s="20">
        <v>-612.25671600429996</v>
      </c>
      <c r="L11" s="20">
        <v>-612.26550098109999</v>
      </c>
      <c r="M11" s="20">
        <v>-612.31188385760004</v>
      </c>
      <c r="N11" s="20">
        <v>-612.39545813849998</v>
      </c>
      <c r="O11" s="20">
        <v>-613.47273373170003</v>
      </c>
      <c r="P11" s="20">
        <v>-613.49244626179996</v>
      </c>
      <c r="Q11" s="20">
        <v>-612.79224583329994</v>
      </c>
      <c r="R11" s="20">
        <v>-612.87377265489999</v>
      </c>
      <c r="S11" s="20">
        <v>-614.03328902040005</v>
      </c>
      <c r="T11" s="20">
        <f>(S11-Q11)/2*27.211324570273</f>
        <v>-16.885214484953483</v>
      </c>
      <c r="U11" s="20">
        <f>(R11-Q11)*27.211324570273</f>
        <v>-2.2184528037417155</v>
      </c>
      <c r="V11" s="20">
        <f>(F11-I11-D11+G11)/2*27.211324570273</f>
        <v>0.31915351282879689</v>
      </c>
      <c r="W11" s="20">
        <f>(E11-H11-D11+G11)*27.211324570273</f>
        <v>-5.9333593893405957E-2</v>
      </c>
      <c r="X11" s="20">
        <f>(P11-O11-K11+J11)/2*27.211324570273</f>
        <v>-0.12719734619501868</v>
      </c>
      <c r="Y11" s="20">
        <f>(N11-M11-L11+J11)*27.211324570273</f>
        <v>-1.7531066659872176</v>
      </c>
      <c r="Z11" s="21">
        <f>(F11+P11-O11-D11-K11+J11-2*C11)*27.211324570273</f>
        <v>-10.555161648915604</v>
      </c>
      <c r="AA11" s="21">
        <f>(S11+F11-I11+P11-O11-Q11-D11+G11-K11+J11-2*C11)*27.211324570273</f>
        <v>-10.491916636636315</v>
      </c>
      <c r="AB11" s="21">
        <f>(E11+N11-M11-D11-L11+J11)*27.211324570273</f>
        <v>-4.0995391836818715</v>
      </c>
      <c r="AC11" s="21">
        <f>(R11+E11-H11+N11-M11-Q11-D11+G11-L11+J11)*27.211324570273</f>
        <v>-4.0308930636161522</v>
      </c>
      <c r="AD11" s="20">
        <v>4.84</v>
      </c>
      <c r="AE11" s="20">
        <v>4.4400000000000004</v>
      </c>
      <c r="AF11" s="21">
        <f>-Z11/2-AE11</f>
        <v>0.83758082445780158</v>
      </c>
      <c r="AG11" s="21">
        <f>-AA11/2-AE11</f>
        <v>0.80595831831815712</v>
      </c>
      <c r="AH11" s="21">
        <f>-AB11-AD11</f>
        <v>-0.74046081631812832</v>
      </c>
      <c r="AI11" s="21">
        <f>-AC11-AD11</f>
        <v>-0.80910693638384767</v>
      </c>
      <c r="AJ11" s="22">
        <v>0.63349999999999995</v>
      </c>
      <c r="AK11" s="21">
        <v>-0.86599999999999999</v>
      </c>
      <c r="AL11" s="27">
        <f>AF11+(0.69-AF$2)</f>
        <v>0.65477431448374235</v>
      </c>
      <c r="AM11" s="27">
        <f>AG11+(0.69-AG$2)</f>
        <v>0.64868834255522101</v>
      </c>
      <c r="AN11" s="27">
        <f>AH11+(-0.8815-AH$2)</f>
        <v>-0.91498176342905513</v>
      </c>
      <c r="AO11" s="27">
        <f>AI11+(-0.8815-AI$2)</f>
        <v>-0.91496856866397813</v>
      </c>
      <c r="AP11" s="20">
        <f t="shared" si="1"/>
        <v>2.1274314483742396E-2</v>
      </c>
      <c r="AQ11" s="20">
        <f t="shared" si="2"/>
        <v>1.5188342555221057E-2</v>
      </c>
      <c r="AR11" s="20">
        <f t="shared" si="3"/>
        <v>4.8981763429055136E-2</v>
      </c>
      <c r="AS11" s="20">
        <f t="shared" si="4"/>
        <v>4.896856866397814E-2</v>
      </c>
    </row>
    <row r="12" spans="1:45" ht="15" customHeight="1" x14ac:dyDescent="0.2">
      <c r="A12" s="26" t="s">
        <v>123</v>
      </c>
      <c r="B12" s="19" t="s">
        <v>145</v>
      </c>
      <c r="C12" s="20">
        <f t="shared" si="0"/>
        <v>-0.42068146923305594</v>
      </c>
      <c r="D12" s="20">
        <v>-611.70360000000005</v>
      </c>
      <c r="E12" s="20">
        <v>-611.78674999999998</v>
      </c>
      <c r="F12" s="20">
        <v>-612.92202999999995</v>
      </c>
      <c r="G12" s="20">
        <v>-611.83418133750001</v>
      </c>
      <c r="H12" s="20">
        <v>-611.91535981209995</v>
      </c>
      <c r="I12" s="20">
        <v>-613.07621185150003</v>
      </c>
      <c r="J12" s="20">
        <v>-612.24676908959998</v>
      </c>
      <c r="K12" s="20">
        <v>-612.25672400140002</v>
      </c>
      <c r="L12" s="20">
        <v>-612.26571086110005</v>
      </c>
      <c r="M12" s="20">
        <v>-612.31226681759995</v>
      </c>
      <c r="N12" s="20">
        <v>-612.39582621440002</v>
      </c>
      <c r="O12" s="20">
        <v>-613.47304574899999</v>
      </c>
      <c r="P12" s="20">
        <v>-613.49245876079999</v>
      </c>
      <c r="Q12" s="20">
        <v>-612.49059001260002</v>
      </c>
      <c r="R12" s="20">
        <v>-612.57036161240001</v>
      </c>
      <c r="S12" s="20">
        <v>-613.73136612300004</v>
      </c>
      <c r="T12" s="20">
        <f>(S12-Q12)/2*27.211324570273</f>
        <v>-16.881580729567915</v>
      </c>
      <c r="U12" s="20">
        <f>(R12-Q12)*27.211324570273</f>
        <v>-2.1706908936472633</v>
      </c>
      <c r="V12" s="20">
        <f>(F12-I12-D12+G12)/2*27.211324570273</f>
        <v>0.32110062324130306</v>
      </c>
      <c r="W12" s="20">
        <f>(E12-H12-D12+G12)*27.211324570273</f>
        <v>-5.3647817557795505E-2</v>
      </c>
      <c r="X12" s="20">
        <f>(P12-O12-K12+J12)/2*27.211324570273</f>
        <v>-0.12868371445851515</v>
      </c>
      <c r="Y12" s="20">
        <f>(N12-M12-L12+J12)*27.211324570273</f>
        <v>-1.7583311749986426</v>
      </c>
      <c r="Z12" s="21">
        <f>(F12+P12-O12-D12-K12+J12-2*C12)*27.211324570273</f>
        <v>-10.517861625071998</v>
      </c>
      <c r="AA12" s="21">
        <f>(S12+F12-I12+P12-O12-Q12-D12+G12-K12+J12-2*C12)*27.211324570273</f>
        <v>-10.483727641573349</v>
      </c>
      <c r="AB12" s="21">
        <f>(E12+N12-M12-D12-L12+J12)*27.211324570273</f>
        <v>-4.0209528130119079</v>
      </c>
      <c r="AC12" s="21">
        <f>(R12+E12-H12+N12-M12-Q12-D12+G12-L12+J12)*27.211324570273</f>
        <v>-3.9826698861975145</v>
      </c>
      <c r="AD12" s="20">
        <v>4.84</v>
      </c>
      <c r="AE12" s="20">
        <v>4.4400000000000004</v>
      </c>
      <c r="AF12" s="21">
        <f>-Z12/2-AE12</f>
        <v>0.81893081253599842</v>
      </c>
      <c r="AG12" s="21">
        <f>-AA12/2-AE12</f>
        <v>0.80186382078667418</v>
      </c>
      <c r="AH12" s="21">
        <f>-AB12-AD12</f>
        <v>-0.81904718698809198</v>
      </c>
      <c r="AI12" s="21">
        <f>-AC12-AD12</f>
        <v>-0.85733011380248536</v>
      </c>
      <c r="AJ12" s="22">
        <v>0.63349999999999995</v>
      </c>
      <c r="AK12" s="21">
        <v>-0.86599999999999999</v>
      </c>
      <c r="AL12" s="27">
        <f>AF12+(0.69-AF$3)</f>
        <v>0.65964897157322389</v>
      </c>
      <c r="AM12" s="27">
        <f>AG12+(0.69-AG$3)</f>
        <v>0.6531836343270645</v>
      </c>
      <c r="AN12" s="27">
        <f>AH12+(-0.8815-AH$3)</f>
        <v>-0.89064194381756057</v>
      </c>
      <c r="AO12" s="27">
        <f>AI12+(-0.8815-AI$3)</f>
        <v>-0.89502465689523136</v>
      </c>
      <c r="AP12" s="20">
        <f t="shared" si="1"/>
        <v>2.6148971573223934E-2</v>
      </c>
      <c r="AQ12" s="20">
        <f t="shared" si="2"/>
        <v>1.9683634327064548E-2</v>
      </c>
      <c r="AR12" s="20">
        <f t="shared" si="3"/>
        <v>2.4641943817560574E-2</v>
      </c>
      <c r="AS12" s="20">
        <f t="shared" si="4"/>
        <v>2.9024656895231371E-2</v>
      </c>
    </row>
    <row r="13" spans="1:45" ht="15" customHeight="1" x14ac:dyDescent="0.2">
      <c r="A13" s="26" t="s">
        <v>123</v>
      </c>
      <c r="B13" s="19" t="s">
        <v>29</v>
      </c>
      <c r="C13" s="20">
        <f t="shared" si="0"/>
        <v>-0.42068146923305594</v>
      </c>
      <c r="D13" s="20">
        <v>-612.20890999999995</v>
      </c>
      <c r="E13" s="20">
        <v>-612.29129999999998</v>
      </c>
      <c r="F13" s="20">
        <v>-613.43391999999994</v>
      </c>
      <c r="G13" s="20">
        <v>-612.33981177119995</v>
      </c>
      <c r="H13" s="20">
        <v>-612.4201982779</v>
      </c>
      <c r="I13" s="20">
        <v>-613.58830516420005</v>
      </c>
      <c r="J13" s="20">
        <v>-612.24648996430005</v>
      </c>
      <c r="K13" s="20">
        <v>-612.25669458510004</v>
      </c>
      <c r="L13" s="20">
        <v>-612.2656152385</v>
      </c>
      <c r="M13" s="20">
        <v>-612.31183282500001</v>
      </c>
      <c r="N13" s="20">
        <v>-612.39569926390004</v>
      </c>
      <c r="O13" s="20">
        <v>-613.47269778899999</v>
      </c>
      <c r="P13" s="20">
        <v>-613.49240840649998</v>
      </c>
      <c r="Q13" s="20">
        <v>-612.97513573569995</v>
      </c>
      <c r="R13" s="20">
        <v>-613.05288160680004</v>
      </c>
      <c r="S13" s="20">
        <v>-614.22171930670004</v>
      </c>
      <c r="T13" s="20">
        <f>(S13-Q13)/2*27.211324570273</f>
        <v>-16.960595077226667</v>
      </c>
      <c r="U13" s="20">
        <f>(R13-Q13)*27.211324570273</f>
        <v>-2.1155681325032054</v>
      </c>
      <c r="V13" s="20">
        <f>(F13-I13-D13+G13)/2*27.211324570273</f>
        <v>0.31950711446857977</v>
      </c>
      <c r="W13" s="20">
        <f>(E13-H13-D13+G13)*27.211324570273</f>
        <v>-5.4517706460139946E-2</v>
      </c>
      <c r="X13" s="20">
        <f>(P13-O13-K13+J13)/2*27.211324570273</f>
        <v>-0.12933538078381851</v>
      </c>
      <c r="Y13" s="20">
        <f>(N13-M13-L13+J13)*27.211324570273</f>
        <v>-1.7616928457114009</v>
      </c>
      <c r="Z13" s="21">
        <f>(F13+P13-O13-D13-K13+J13-2*C13)*27.211324570273</f>
        <v>-10.69821547340079</v>
      </c>
      <c r="AA13" s="21">
        <f>(S13+F13-I13+P13-O13-Q13-D13+G13-K13+J13-2*C13)*27.211324570273</f>
        <v>-10.646246687080719</v>
      </c>
      <c r="AB13" s="21">
        <f>(E13+N13-M13-D13-L13+J13)*27.211324570273</f>
        <v>-4.003633877053975</v>
      </c>
      <c r="AC13" s="21">
        <f>(R13+E13-H13+N13-M13-Q13-D13+G13-L13+J13)*27.211324570273</f>
        <v>-3.9317786846747462</v>
      </c>
      <c r="AD13" s="20">
        <v>4.84</v>
      </c>
      <c r="AE13" s="20">
        <v>4.4400000000000004</v>
      </c>
      <c r="AF13" s="21">
        <f>-Z13/2-AE13</f>
        <v>0.90910773670039458</v>
      </c>
      <c r="AG13" s="21">
        <f>-AA13/2-AE13</f>
        <v>0.88312334354035915</v>
      </c>
      <c r="AH13" s="21">
        <f>-AB13-AD13</f>
        <v>-0.83636612294602486</v>
      </c>
      <c r="AI13" s="21">
        <f>-AC13-AD13</f>
        <v>-0.90822131532525363</v>
      </c>
      <c r="AJ13" s="22">
        <v>0.63349999999999995</v>
      </c>
      <c r="AK13" s="21">
        <v>-0.86599999999999999</v>
      </c>
      <c r="AL13" s="21">
        <f>AF13+(0.69-AF$4)</f>
        <v>0.66478704517559573</v>
      </c>
      <c r="AM13" s="21">
        <f>AG13+(0.69-AG$4)</f>
        <v>0.65883709857580675</v>
      </c>
      <c r="AN13" s="21">
        <f>AH13+(-0.8815-AH$4)</f>
        <v>-0.90869011334216054</v>
      </c>
      <c r="AO13" s="21">
        <f>AI13+(-0.8815-AI$4)</f>
        <v>-0.90680881487628406</v>
      </c>
      <c r="AP13" s="20">
        <f t="shared" si="1"/>
        <v>3.1287045175595773E-2</v>
      </c>
      <c r="AQ13" s="20">
        <f t="shared" si="2"/>
        <v>2.5337098575806793E-2</v>
      </c>
      <c r="AR13" s="20">
        <f t="shared" si="3"/>
        <v>4.2690113342160552E-2</v>
      </c>
      <c r="AS13" s="20">
        <f t="shared" si="4"/>
        <v>4.0808814876284072E-2</v>
      </c>
    </row>
    <row r="14" spans="1:45" ht="15" customHeight="1" x14ac:dyDescent="0.2">
      <c r="A14" s="26" t="s">
        <v>123</v>
      </c>
      <c r="B14" s="19" t="s">
        <v>30</v>
      </c>
      <c r="C14" s="20">
        <f t="shared" si="0"/>
        <v>-0.42068146923305594</v>
      </c>
      <c r="D14" s="20">
        <v>-612.15210999999999</v>
      </c>
      <c r="E14" s="20">
        <v>-612.23379999999997</v>
      </c>
      <c r="F14" s="20">
        <v>-613.36770999999999</v>
      </c>
      <c r="G14" s="20">
        <v>-612.28216399990004</v>
      </c>
      <c r="H14" s="20">
        <v>-612.36193015460003</v>
      </c>
      <c r="I14" s="20">
        <v>-613.52119929879996</v>
      </c>
      <c r="J14" s="20">
        <v>-612.24674997310001</v>
      </c>
      <c r="K14" s="20">
        <v>-612.25689333510002</v>
      </c>
      <c r="L14" s="20">
        <v>-612.26581019690002</v>
      </c>
      <c r="M14" s="20">
        <v>-612.31212519450003</v>
      </c>
      <c r="N14" s="20">
        <v>-612.39591489329996</v>
      </c>
      <c r="O14" s="20">
        <v>-613.47299462089995</v>
      </c>
      <c r="P14" s="20">
        <v>-613.49259925679996</v>
      </c>
      <c r="Q14" s="20">
        <v>-612.93404525569997</v>
      </c>
      <c r="R14" s="20">
        <v>-613.01077581699997</v>
      </c>
      <c r="S14" s="20">
        <v>-614.1706169949</v>
      </c>
      <c r="T14" s="20">
        <f>(S14-Q14)/2*27.211324570273</f>
        <v>-16.824377474899503</v>
      </c>
      <c r="U14" s="20">
        <f>(R14-Q14)*27.211324570273</f>
        <v>-2.0879402079934257</v>
      </c>
      <c r="V14" s="20">
        <f>(F14-I14-D14+G14)/2*27.211324570273</f>
        <v>0.31885276238362731</v>
      </c>
      <c r="W14" s="20">
        <f>(E14-H14-D14+G14)*27.211324570273</f>
        <v>-5.2350378880868381E-2</v>
      </c>
      <c r="X14" s="20">
        <f>(P14-O14-K14+J14)/2*27.211324570273</f>
        <v>-0.12872689747059385</v>
      </c>
      <c r="Y14" s="20">
        <f>(N14-M14-L14+J14)*27.211324570273</f>
        <v>-1.7613747534862461</v>
      </c>
      <c r="Z14" s="21">
        <f>(F14+P14-O14-D14-K14+J14-2*C14)*27.211324570273</f>
        <v>-10.440939942568001</v>
      </c>
      <c r="AA14" s="21">
        <f>(S14+F14-I14+P14-O14-Q14-D14+G14-K14+J14-2*C14)*27.211324570273</f>
        <v>-10.373903219976036</v>
      </c>
      <c r="AB14" s="21">
        <f>(E14+N14-M14-D14-L14+J14)*27.211324570273</f>
        <v>-3.9842678576313166</v>
      </c>
      <c r="AC14" s="21">
        <f>(R14+E14-H14+N14-M14-Q14-D14+G14-L14+J14)*27.211324570273</f>
        <v>-3.9016653403605401</v>
      </c>
      <c r="AD14" s="20">
        <v>4.84</v>
      </c>
      <c r="AE14" s="20">
        <v>4.4400000000000004</v>
      </c>
      <c r="AF14" s="21">
        <f>-Z14/2-AE14</f>
        <v>0.78046997128399997</v>
      </c>
      <c r="AG14" s="21">
        <f>-AA14/2-AE14</f>
        <v>0.74695160998801757</v>
      </c>
      <c r="AH14" s="21">
        <f>-AB14-AD14</f>
        <v>-0.85573214236868322</v>
      </c>
      <c r="AI14" s="21">
        <f>-AC14-AD14</f>
        <v>-0.93833465963945972</v>
      </c>
      <c r="AJ14" s="22">
        <v>0.63349999999999995</v>
      </c>
      <c r="AK14" s="21">
        <v>-0.86599999999999999</v>
      </c>
      <c r="AL14" s="21">
        <f>AF14+(0.69-AF$5)</f>
        <v>0.66466450033478663</v>
      </c>
      <c r="AM14" s="21">
        <f>AG14+(0.69-AG$5)</f>
        <v>0.65829519593492281</v>
      </c>
      <c r="AN14" s="21">
        <f>AH14+(-0.8815-AH$5)</f>
        <v>-0.90918254580151681</v>
      </c>
      <c r="AO14" s="21">
        <f>AI14+(-0.8815-AI$5)</f>
        <v>-0.90638503115745461</v>
      </c>
      <c r="AP14" s="20">
        <f t="shared" si="1"/>
        <v>3.1164500334786682E-2</v>
      </c>
      <c r="AQ14" s="20">
        <f t="shared" si="2"/>
        <v>2.4795195934922853E-2</v>
      </c>
      <c r="AR14" s="20">
        <f t="shared" si="3"/>
        <v>4.3182545801516814E-2</v>
      </c>
      <c r="AS14" s="20">
        <f t="shared" si="4"/>
        <v>4.0385031157454621E-2</v>
      </c>
    </row>
    <row r="15" spans="1:45" ht="15" customHeight="1" x14ac:dyDescent="0.2">
      <c r="A15" s="26" t="s">
        <v>123</v>
      </c>
      <c r="B15" s="19" t="s">
        <v>31</v>
      </c>
      <c r="C15" s="20">
        <f t="shared" si="0"/>
        <v>-0.42068146923305594</v>
      </c>
      <c r="D15" s="20">
        <v>-612.20890999999995</v>
      </c>
      <c r="E15" s="20">
        <v>-612.29129999999998</v>
      </c>
      <c r="F15" s="20">
        <v>-613.43391999999994</v>
      </c>
      <c r="G15" s="20">
        <v>-612.33981177119995</v>
      </c>
      <c r="H15" s="20">
        <v>-612.4201982779</v>
      </c>
      <c r="I15" s="20">
        <v>-613.58830516420005</v>
      </c>
      <c r="J15" s="20">
        <v>-612.24648996430005</v>
      </c>
      <c r="K15" s="20">
        <v>-612.25669458510004</v>
      </c>
      <c r="L15" s="20">
        <v>-612.2656152385</v>
      </c>
      <c r="M15" s="20">
        <v>-612.31183282500001</v>
      </c>
      <c r="N15" s="20">
        <v>-612.39569926390004</v>
      </c>
      <c r="O15" s="20">
        <v>-613.47269778899999</v>
      </c>
      <c r="P15" s="20">
        <v>-613.49240840649998</v>
      </c>
      <c r="Q15" s="20">
        <v>-612.55759400299996</v>
      </c>
      <c r="R15" s="20">
        <v>-612.63380360789995</v>
      </c>
      <c r="S15" s="20">
        <v>-613.79639044270004</v>
      </c>
      <c r="T15" s="20">
        <f>(S15-Q15)/2*27.211324570273</f>
        <v>-16.854645998588772</v>
      </c>
      <c r="U15" s="20">
        <f>(R15-Q15)*27.211324570273</f>
        <v>-2.0737642943058008</v>
      </c>
      <c r="V15" s="20">
        <f>(F15-I15-D15+G15)/2*27.211324570273</f>
        <v>0.31950711446857977</v>
      </c>
      <c r="W15" s="20">
        <f>(E15-H15-D15+G15)*27.211324570273</f>
        <v>-5.4517706460139946E-2</v>
      </c>
      <c r="X15" s="20">
        <f>(P15-O15-K15+J15)/2*27.211324570273</f>
        <v>-0.12933538078381851</v>
      </c>
      <c r="Y15" s="20">
        <f>(N15-M15-L15+J15)*27.211324570273</f>
        <v>-1.7616928457114009</v>
      </c>
      <c r="Z15" s="21">
        <f>(F15+P15-O15-D15-K15+J15-2*C15)*27.211324570273</f>
        <v>-10.69821547340079</v>
      </c>
      <c r="AA15" s="21">
        <f>(S15+F15-I15+P15-O15-Q15-D15+G15-K15+J15-2*C15)*27.211324570273</f>
        <v>-10.434348529811112</v>
      </c>
      <c r="AB15" s="21">
        <f>(E15+N15-M15-D15-L15+J15)*27.211324570273</f>
        <v>-4.003633877053975</v>
      </c>
      <c r="AC15" s="21">
        <f>(R15+E15-H15+N15-M15-Q15-D15+G15-L15+J15)*27.211324570273</f>
        <v>-3.8899748464773416</v>
      </c>
      <c r="AD15" s="20">
        <v>4.84</v>
      </c>
      <c r="AE15" s="20">
        <v>4.4400000000000004</v>
      </c>
      <c r="AF15" s="21">
        <f>-Z15/2-AE15</f>
        <v>0.90910773670039458</v>
      </c>
      <c r="AG15" s="21">
        <f>-AA15/2-AE15</f>
        <v>0.77717426490555575</v>
      </c>
      <c r="AH15" s="21">
        <f>-AB15-AD15</f>
        <v>-0.83636612294602486</v>
      </c>
      <c r="AI15" s="21">
        <f>-AC15-AD15</f>
        <v>-0.95002515352265826</v>
      </c>
      <c r="AJ15" s="22">
        <v>0.63349999999999995</v>
      </c>
      <c r="AK15" s="21">
        <v>-0.86599999999999999</v>
      </c>
      <c r="AL15" s="21">
        <f>AF15+(0.69-AF$6)</f>
        <v>0.66478704517559573</v>
      </c>
      <c r="AM15" s="21">
        <f>AG15+(0.69-AG$6)</f>
        <v>0.66078720359524068</v>
      </c>
      <c r="AN15" s="21">
        <f>AH15+(-0.8815-AH$6)</f>
        <v>-0.90869011334216054</v>
      </c>
      <c r="AO15" s="21">
        <f>AI15+(-0.8815-AI$6)</f>
        <v>-0.89840264079005694</v>
      </c>
      <c r="AP15" s="20">
        <f t="shared" si="1"/>
        <v>3.1287045175595773E-2</v>
      </c>
      <c r="AQ15" s="20">
        <f t="shared" si="2"/>
        <v>2.7287203595240728E-2</v>
      </c>
      <c r="AR15" s="20">
        <f t="shared" si="3"/>
        <v>4.2690113342160552E-2</v>
      </c>
      <c r="AS15" s="20">
        <f t="shared" si="4"/>
        <v>3.2402640790056947E-2</v>
      </c>
    </row>
    <row r="16" spans="1:45" ht="15" customHeight="1" x14ac:dyDescent="0.2">
      <c r="A16" s="26" t="s">
        <v>123</v>
      </c>
      <c r="B16" s="19" t="s">
        <v>32</v>
      </c>
      <c r="C16" s="20">
        <f t="shared" si="0"/>
        <v>-0.42068146923305594</v>
      </c>
      <c r="D16" s="20">
        <v>-612.15210999999999</v>
      </c>
      <c r="E16" s="20">
        <v>-612.23379999999997</v>
      </c>
      <c r="F16" s="20">
        <v>-613.36770999999999</v>
      </c>
      <c r="G16" s="20">
        <v>-612.28216399990004</v>
      </c>
      <c r="H16" s="20">
        <v>-612.36193015460003</v>
      </c>
      <c r="I16" s="20">
        <v>-613.52119929879996</v>
      </c>
      <c r="J16" s="20">
        <v>-612.24674997310001</v>
      </c>
      <c r="K16" s="20">
        <v>-612.25689333510002</v>
      </c>
      <c r="L16" s="20">
        <v>-612.26581019690002</v>
      </c>
      <c r="M16" s="20">
        <v>-612.31212519450003</v>
      </c>
      <c r="N16" s="20">
        <v>-612.39591489329996</v>
      </c>
      <c r="O16" s="20">
        <v>-613.47299462089995</v>
      </c>
      <c r="P16" s="20">
        <v>-613.49259925679996</v>
      </c>
      <c r="Q16" s="20">
        <v>-612.53177747400002</v>
      </c>
      <c r="R16" s="20">
        <v>-612.60706981850001</v>
      </c>
      <c r="S16" s="20">
        <v>-613.76044842340002</v>
      </c>
      <c r="T16" s="20">
        <f>(S16-Q16)/2*27.211324570273</f>
        <v>-16.716881997094408</v>
      </c>
      <c r="U16" s="20">
        <f>(R16-Q16)*27.211324570273</f>
        <v>-2.0488044238459042</v>
      </c>
      <c r="V16" s="20">
        <f>(F16-I16-D16+G16)/2*27.211324570273</f>
        <v>0.31885276238362731</v>
      </c>
      <c r="W16" s="20">
        <f>(E16-H16-D16+G16)*27.211324570273</f>
        <v>-5.2350378880868381E-2</v>
      </c>
      <c r="X16" s="20">
        <f>(P16-O16-K16+J16)/2*27.211324570273</f>
        <v>-0.12872689747059385</v>
      </c>
      <c r="Y16" s="20">
        <f>(N16-M16-L16+J16)*27.211324570273</f>
        <v>-1.7613747534862461</v>
      </c>
      <c r="Z16" s="21">
        <f>(F16+P16-O16-D16-K16+J16-2*C16)*27.211324570273</f>
        <v>-10.440939942568001</v>
      </c>
      <c r="AA16" s="21">
        <f>(S16+F16-I16+P16-O16-Q16-D16+G16-K16+J16-2*C16)*27.211324570273</f>
        <v>-10.158912264365842</v>
      </c>
      <c r="AB16" s="21">
        <f>(E16+N16-M16-D16-L16+J16)*27.211324570273</f>
        <v>-3.9842678576313166</v>
      </c>
      <c r="AC16" s="21">
        <f>(R16+E16-H16+N16-M16-Q16-D16+G16-L16+J16)*27.211324570273</f>
        <v>-3.8625295562099251</v>
      </c>
      <c r="AD16" s="20">
        <v>4.84</v>
      </c>
      <c r="AE16" s="20">
        <v>4.4400000000000004</v>
      </c>
      <c r="AF16" s="21">
        <f>-Z16/2-AE16</f>
        <v>0.78046997128399997</v>
      </c>
      <c r="AG16" s="21">
        <f>-AA16/2-AE16</f>
        <v>0.63945613218292063</v>
      </c>
      <c r="AH16" s="21">
        <f>-AB16-AD16</f>
        <v>-0.85573214236868322</v>
      </c>
      <c r="AI16" s="21">
        <f>-AC16-AD16</f>
        <v>-0.97747044379007475</v>
      </c>
      <c r="AJ16" s="22">
        <v>0.63349999999999995</v>
      </c>
      <c r="AK16" s="21">
        <v>-0.86599999999999999</v>
      </c>
      <c r="AL16" s="21">
        <f>AF16+(0.69-AF$7)</f>
        <v>0.66466450033478663</v>
      </c>
      <c r="AM16" s="21">
        <f>AG16+(0.69-AG$7)</f>
        <v>0.66003479142396371</v>
      </c>
      <c r="AN16" s="21">
        <f>AH16+(-0.8815-AH$7)</f>
        <v>-0.90918254580151681</v>
      </c>
      <c r="AO16" s="21">
        <f>AI16+(-0.8815-AI$7)</f>
        <v>-0.89796700109936944</v>
      </c>
      <c r="AP16" s="20">
        <f t="shared" si="1"/>
        <v>3.1164500334786682E-2</v>
      </c>
      <c r="AQ16" s="20">
        <f t="shared" si="2"/>
        <v>2.6534791423963755E-2</v>
      </c>
      <c r="AR16" s="20">
        <f t="shared" si="3"/>
        <v>4.3182545801516814E-2</v>
      </c>
      <c r="AS16" s="20">
        <f t="shared" si="4"/>
        <v>3.1967001099369452E-2</v>
      </c>
    </row>
    <row r="17" spans="1:45" ht="15" customHeight="1" x14ac:dyDescent="0.2">
      <c r="A17" s="26" t="s">
        <v>123</v>
      </c>
      <c r="B17" s="19" t="s">
        <v>33</v>
      </c>
      <c r="C17" s="20">
        <f t="shared" si="0"/>
        <v>-0.42068146923305594</v>
      </c>
      <c r="D17" s="20">
        <v>-612.40345000000002</v>
      </c>
      <c r="E17" s="20">
        <v>-612.46599000000003</v>
      </c>
      <c r="F17" s="20">
        <v>-613.60880999999995</v>
      </c>
      <c r="G17" s="20">
        <v>-612.53290445719995</v>
      </c>
      <c r="H17" s="20">
        <v>-612.59217002809999</v>
      </c>
      <c r="I17" s="20">
        <v>-613.76159610460002</v>
      </c>
      <c r="J17" s="20">
        <v>-612.24641721089995</v>
      </c>
      <c r="K17" s="20">
        <v>-612.25648957819999</v>
      </c>
      <c r="L17" s="20">
        <v>-612.2653544625</v>
      </c>
      <c r="M17" s="20">
        <v>-612.31187301679995</v>
      </c>
      <c r="N17" s="20">
        <v>-612.39521747030005</v>
      </c>
      <c r="O17" s="20">
        <v>-613.47272368359995</v>
      </c>
      <c r="P17" s="20">
        <v>-613.492220825</v>
      </c>
      <c r="Q17" s="20">
        <v>-612.53251610810003</v>
      </c>
      <c r="R17" s="20">
        <v>-612.60758341300004</v>
      </c>
      <c r="S17" s="20">
        <v>-613.76124564630004</v>
      </c>
      <c r="T17" s="20">
        <f>(S17-Q17)/2*27.211324570273</f>
        <v>-16.717679136521117</v>
      </c>
      <c r="U17" s="20">
        <f>(R17-Q17)*27.211324570273</f>
        <v>-2.0426807982500077</v>
      </c>
      <c r="V17" s="20">
        <f>(F17-I17-D17+G17)/2*27.211324570273</f>
        <v>0.31744251508220506</v>
      </c>
      <c r="W17" s="20">
        <f>(E17-H17-D17+G17)*27.211324570273</f>
        <v>-8.9101553021751406E-2</v>
      </c>
      <c r="X17" s="20">
        <f>(P17-O17-K17+J17)/2*27.211324570273</f>
        <v>-0.1282302935184611</v>
      </c>
      <c r="Y17" s="20">
        <f>(N17-M17-L17+J17)*27.211324570273</f>
        <v>-1.7526052755654522</v>
      </c>
      <c r="Z17" s="21">
        <f>(F17+P17-O17-D17-K17+J17-2*C17)*27.211324570273</f>
        <v>-10.161302771059221</v>
      </c>
      <c r="AA17" s="21">
        <f>(S17+F17-I17+P17-O17-Q17-D17+G17-K17+J17-2*C17)*27.211324570273</f>
        <v>-10.16233382991784</v>
      </c>
      <c r="AB17" s="21">
        <f>(E17+N17-M17-D17-L17+J17)*27.211324570273</f>
        <v>-3.4544015141906712</v>
      </c>
      <c r="AC17" s="21">
        <f>(R17+E17-H17+N17-M17-Q17-D17+G17-L17+J17)*27.211324570273</f>
        <v>-3.8843876268372108</v>
      </c>
      <c r="AD17" s="20">
        <v>4.84</v>
      </c>
      <c r="AE17" s="20">
        <v>4.4400000000000004</v>
      </c>
      <c r="AF17" s="21">
        <f>-Z17/2-AE17</f>
        <v>0.6406513855296101</v>
      </c>
      <c r="AG17" s="21">
        <f>-AA17/2-AE17</f>
        <v>0.64116691495891942</v>
      </c>
      <c r="AH17" s="21">
        <f>-AB17-AD17</f>
        <v>-1.3855984858093287</v>
      </c>
      <c r="AI17" s="21">
        <f>-AC17-AD17</f>
        <v>-0.95561237316278902</v>
      </c>
      <c r="AJ17" s="22">
        <v>0.63349999999999995</v>
      </c>
      <c r="AK17" s="21">
        <v>-0.86599999999999999</v>
      </c>
      <c r="AL17" s="21">
        <f>AF17+(0.69-AF$8)</f>
        <v>0.6612133628691379</v>
      </c>
      <c r="AM17" s="21">
        <f>AG17+(0.69-AG$8)</f>
        <v>0.65953649764819433</v>
      </c>
      <c r="AN17" s="21">
        <f>AH17+(-0.8815-AH$8)</f>
        <v>-0.87992461668728694</v>
      </c>
      <c r="AO17" s="21">
        <f>AI17+(-0.8815-AI$8)</f>
        <v>-0.91819564127167919</v>
      </c>
      <c r="AP17" s="20">
        <f t="shared" si="1"/>
        <v>2.7713362869137947E-2</v>
      </c>
      <c r="AQ17" s="20">
        <f t="shared" si="2"/>
        <v>2.6036497648194379E-2</v>
      </c>
      <c r="AR17" s="20">
        <f t="shared" si="3"/>
        <v>1.392461668728695E-2</v>
      </c>
      <c r="AS17" s="20">
        <f t="shared" si="4"/>
        <v>5.2195641271679194E-2</v>
      </c>
    </row>
    <row r="18" spans="1:45" ht="15" customHeight="1" x14ac:dyDescent="0.2">
      <c r="A18" s="26" t="s">
        <v>123</v>
      </c>
      <c r="B18" s="19" t="s">
        <v>174</v>
      </c>
      <c r="C18" s="20">
        <f t="shared" si="0"/>
        <v>-0.42068146923305594</v>
      </c>
      <c r="D18" s="20">
        <v>-612.40306999999996</v>
      </c>
      <c r="E18" s="20">
        <v>-612.47748999999999</v>
      </c>
      <c r="F18" s="20">
        <v>-613.60879999999997</v>
      </c>
      <c r="G18" s="20">
        <v>-612.53265763429999</v>
      </c>
      <c r="H18" s="20">
        <v>-612.60450221960002</v>
      </c>
      <c r="I18" s="20">
        <v>-613.76163553080005</v>
      </c>
      <c r="J18" s="20">
        <v>-612.24640228479996</v>
      </c>
      <c r="K18" s="20">
        <v>-612.25648776620005</v>
      </c>
      <c r="L18" s="20">
        <v>-612.26534868160002</v>
      </c>
      <c r="M18" s="20">
        <v>-612.31200590189997</v>
      </c>
      <c r="N18" s="20">
        <v>-612.39539644750005</v>
      </c>
      <c r="O18" s="20">
        <v>-613.47270042740001</v>
      </c>
      <c r="P18" s="20">
        <v>-613.49221114169995</v>
      </c>
      <c r="Q18" s="20">
        <v>-612.53251644110003</v>
      </c>
      <c r="R18" s="20">
        <v>-612.60766504989999</v>
      </c>
      <c r="S18" s="20">
        <v>-613.76124542759999</v>
      </c>
      <c r="T18" s="20">
        <f>(S18-Q18)/2*27.211324570273</f>
        <v>-16.717671630276492</v>
      </c>
      <c r="U18" s="20">
        <f>(R18-Q18)*27.211324570273</f>
        <v>-2.0448931850602881</v>
      </c>
      <c r="V18" s="20">
        <f>(F18-I18-D18+G18)/2*27.211324570273</f>
        <v>0.31630302861932691</v>
      </c>
      <c r="W18" s="20">
        <f>(E18-H18-D18+G18)*27.211324570273</f>
        <v>-7.0080445304870106E-2</v>
      </c>
      <c r="X18" s="20">
        <f>(P18-O18-K18+J18)/2*27.211324570273</f>
        <v>-0.12823653579403047</v>
      </c>
      <c r="Y18" s="20">
        <f>(N18-M18-L18+J18)*27.211324570273</f>
        <v>-1.7536106496523445</v>
      </c>
      <c r="Z18" s="21">
        <f>(F18+P18-O18-D18-K18+J18-2*C18)*27.211324570273</f>
        <v>-10.171383445703784</v>
      </c>
      <c r="AA18" s="21">
        <f>(S18+F18-I18+P18-O18-Q18-D18+G18-K18+J18-2*C18)*27.211324570273</f>
        <v>-10.16461027490239</v>
      </c>
      <c r="AB18" s="21">
        <f>(E18+N18-M18-D18-L18+J18)*27.211324570273</f>
        <v>-3.7786774241760228</v>
      </c>
      <c r="AC18" s="21">
        <f>(R18+E18-H18+N18-M18-Q18-D18+G18-L18+J18)*27.211324570273</f>
        <v>-3.8685842800205958</v>
      </c>
      <c r="AD18" s="20">
        <v>4.84</v>
      </c>
      <c r="AE18" s="20">
        <v>4.4400000000000004</v>
      </c>
      <c r="AF18" s="21">
        <f>-Z18/2-AE18</f>
        <v>0.64569172285189147</v>
      </c>
      <c r="AG18" s="21">
        <f>-AA18/2-AE18</f>
        <v>0.64230513745119477</v>
      </c>
      <c r="AH18" s="21">
        <f>-AB18-AD18</f>
        <v>-1.061322575823977</v>
      </c>
      <c r="AI18" s="21">
        <f>-AC18-AD18</f>
        <v>-0.97141571997940401</v>
      </c>
      <c r="AJ18" s="22">
        <v>0.63349999999999995</v>
      </c>
      <c r="AK18" s="21">
        <v>-0.86599999999999999</v>
      </c>
      <c r="AL18" s="21">
        <f>AF18+(0.69-AF$9)</f>
        <v>0.66126442764186111</v>
      </c>
      <c r="AM18" s="21">
        <f>AG18+(0.69-AG$9)</f>
        <v>0.65993227819856637</v>
      </c>
      <c r="AN18" s="21">
        <f>AH18+(-0.8815-AH$9)</f>
        <v>-0.93521946224863184</v>
      </c>
      <c r="AO18" s="21">
        <f>AI18+(-0.8815-AI$9)</f>
        <v>-0.89349987575988266</v>
      </c>
      <c r="AP18" s="20">
        <f t="shared" si="1"/>
        <v>2.7764427641861156E-2</v>
      </c>
      <c r="AQ18" s="20">
        <f t="shared" si="2"/>
        <v>2.6432278198566417E-2</v>
      </c>
      <c r="AR18" s="20">
        <f t="shared" si="3"/>
        <v>6.9219462248631847E-2</v>
      </c>
      <c r="AS18" s="20">
        <f t="shared" si="4"/>
        <v>2.7499875759882664E-2</v>
      </c>
    </row>
    <row r="19" spans="1:45" ht="15" customHeight="1" x14ac:dyDescent="0.2">
      <c r="A19" s="26" t="s">
        <v>123</v>
      </c>
      <c r="B19" s="19" t="s">
        <v>43</v>
      </c>
      <c r="C19" s="20">
        <f t="shared" si="0"/>
        <v>-0.42068146923305594</v>
      </c>
      <c r="D19" s="20">
        <v>-612.15210999999999</v>
      </c>
      <c r="E19" s="20">
        <v>-612.23379999999997</v>
      </c>
      <c r="F19" s="20">
        <v>-613.36770999999999</v>
      </c>
      <c r="G19" s="20">
        <v>-612.28216399990004</v>
      </c>
      <c r="H19" s="20">
        <v>-612.36193015460003</v>
      </c>
      <c r="I19" s="20">
        <v>-613.52119929879996</v>
      </c>
      <c r="J19" s="20">
        <v>-612.24674997310001</v>
      </c>
      <c r="K19" s="20">
        <v>-612.25689333510002</v>
      </c>
      <c r="L19" s="20">
        <v>-612.26581019690002</v>
      </c>
      <c r="M19" s="20">
        <v>-612.31212519450003</v>
      </c>
      <c r="N19" s="20">
        <v>-612.39591489329996</v>
      </c>
      <c r="O19" s="20">
        <v>-613.47299462089995</v>
      </c>
      <c r="P19" s="20">
        <v>-613.49259925679996</v>
      </c>
      <c r="Q19" s="20">
        <v>-611.66644541416895</v>
      </c>
      <c r="R19" s="20">
        <v>-611.73848329270902</v>
      </c>
      <c r="S19" s="20">
        <v>-612.90472023702398</v>
      </c>
      <c r="T19" s="20">
        <f>(S19-Q19)/2*27.211324570273</f>
        <v>-16.847549055952797</v>
      </c>
      <c r="U19" s="20">
        <f>(R19-Q19)*27.211324570273</f>
        <v>-1.9602460943078195</v>
      </c>
      <c r="V19" s="20">
        <f>(F19-I19-D19+G19)/2*27.211324570273</f>
        <v>0.31885276238362731</v>
      </c>
      <c r="W19" s="20">
        <f>(E19-H19-D19+G19)*27.211324570273</f>
        <v>-5.2350378880868381E-2</v>
      </c>
      <c r="X19" s="20">
        <f>(P19-O19-K19+J19)/2*27.211324570273</f>
        <v>-0.12872689747059385</v>
      </c>
      <c r="Y19" s="20">
        <f>(N19-M19-L19+J19)*27.211324570273</f>
        <v>-1.7613747534862461</v>
      </c>
      <c r="Z19" s="21">
        <f>(F19+P19-O19-D19-K19+J19-2*C19)*27.211324570273</f>
        <v>-10.440939942568001</v>
      </c>
      <c r="AA19" s="21">
        <f>(S19+F19-I19+P19-O19-Q19-D19+G19-K19+J19-2*C19)*27.211324570273</f>
        <v>-10.420246382073342</v>
      </c>
      <c r="AB19" s="21">
        <f>(E19+N19-M19-D19-L19+J19)*27.211324570273</f>
        <v>-3.9842678576313166</v>
      </c>
      <c r="AC19" s="21">
        <f>(R19+E19-H19+N19-M19-Q19-D19+G19-L19+J19)*27.211324570273</f>
        <v>-3.7739712266780274</v>
      </c>
      <c r="AD19" s="20">
        <v>4.84</v>
      </c>
      <c r="AE19" s="20">
        <v>4.4400000000000004</v>
      </c>
      <c r="AF19" s="21">
        <f>-Z19/2-AE19</f>
        <v>0.78046997128399997</v>
      </c>
      <c r="AG19" s="21">
        <f>-AA19/2-AE19</f>
        <v>0.77012319103667082</v>
      </c>
      <c r="AH19" s="21">
        <f>-AB19-AD19</f>
        <v>-0.85573214236868322</v>
      </c>
      <c r="AI19" s="21">
        <f>-AC19-AD19</f>
        <v>-1.0660287733219724</v>
      </c>
      <c r="AJ19" s="22">
        <v>0.63349999999999995</v>
      </c>
      <c r="AK19" s="21">
        <v>-0.86599999999999999</v>
      </c>
      <c r="AL19" s="21">
        <f>AF19+(0.69-AF$10)</f>
        <v>0.66466450033478663</v>
      </c>
      <c r="AM19" s="21">
        <f>AG19+(0.69-AG$10)</f>
        <v>0.66346082404460249</v>
      </c>
      <c r="AN19" s="21">
        <f>AH19+(-0.8815-AH$10)</f>
        <v>-0.90918254580151681</v>
      </c>
      <c r="AO19" s="21">
        <f>AI19+(-0.8815-AI$10)</f>
        <v>-0.88351066169459802</v>
      </c>
      <c r="AP19" s="20">
        <f t="shared" si="1"/>
        <v>3.1164500334786682E-2</v>
      </c>
      <c r="AQ19" s="20">
        <f t="shared" si="2"/>
        <v>2.9960824044602541E-2</v>
      </c>
      <c r="AR19" s="20">
        <f t="shared" si="3"/>
        <v>4.3182545801516814E-2</v>
      </c>
      <c r="AS19" s="20">
        <f t="shared" si="4"/>
        <v>1.7510661694598029E-2</v>
      </c>
    </row>
    <row r="20" spans="1:45" x14ac:dyDescent="0.2">
      <c r="A20" s="26" t="s">
        <v>124</v>
      </c>
      <c r="B20" s="19" t="s">
        <v>27</v>
      </c>
      <c r="C20" s="20">
        <f t="shared" si="0"/>
        <v>-0.42068146923305594</v>
      </c>
      <c r="D20" s="20">
        <v>-420.44015000000002</v>
      </c>
      <c r="E20" s="20">
        <v>-420.51938999999999</v>
      </c>
      <c r="F20" s="20">
        <v>-421.65863000000002</v>
      </c>
      <c r="G20" s="20">
        <v>-420.52042639339999</v>
      </c>
      <c r="H20" s="20">
        <v>-420.59730497620001</v>
      </c>
      <c r="I20" s="20">
        <v>-421.76241869820001</v>
      </c>
      <c r="J20" s="20">
        <v>-420.58855586210001</v>
      </c>
      <c r="K20" s="20">
        <v>-420.59691971170002</v>
      </c>
      <c r="L20" s="20">
        <v>-420.60191016030001</v>
      </c>
      <c r="M20" s="20">
        <v>-420.64518821730002</v>
      </c>
      <c r="N20" s="20">
        <v>-420.72751436440001</v>
      </c>
      <c r="O20" s="20">
        <v>-421.8135481489</v>
      </c>
      <c r="P20" s="20">
        <v>-421.8305900556</v>
      </c>
      <c r="Q20" s="20">
        <v>-420.96935411269999</v>
      </c>
      <c r="R20" s="20">
        <v>-421.04361612000002</v>
      </c>
      <c r="S20" s="20">
        <v>-422.20916927130003</v>
      </c>
      <c r="T20" s="20">
        <f>(S20-Q20)/2*27.211324570273</f>
        <v>-16.868506343905068</v>
      </c>
      <c r="U20" s="20">
        <f>(R20-Q20)*27.211324570273</f>
        <v>-2.0207675838812431</v>
      </c>
      <c r="V20" s="20">
        <f>(F20-I20-D20+G20)/2*27.211324570273</f>
        <v>0.31990047865429139</v>
      </c>
      <c r="W20" s="20">
        <f>(E20-H20-D20+G20)*27.211324570273</f>
        <v>-6.4257289873658058E-2</v>
      </c>
      <c r="X20" s="20">
        <f>(P20-O20-K20+J20)/2*27.211324570273</f>
        <v>-0.11807071419352594</v>
      </c>
      <c r="Y20" s="20">
        <f>(N20-M20-L20+J20)*27.211324570273</f>
        <v>-1.8768153666294962</v>
      </c>
      <c r="Z20" s="21">
        <f>(F20+P20-O20-D20-K20+J20-2*C20)*27.211324570273</f>
        <v>-10.497996190774831</v>
      </c>
      <c r="AA20" s="21">
        <f>(S20+F20-I20+P20-O20-Q20-D20+G20-K20+J20-2*C20)*27.211324570273</f>
        <v>-10.438753158888602</v>
      </c>
      <c r="AB20" s="21">
        <f>(E20+N20-M20-D20-L20+J20)*27.211324570273</f>
        <v>-4.0330407255786653</v>
      </c>
      <c r="AC20" s="21">
        <f>(R20+E20-H20+N20-M20-Q20-D20+G20-L20+J20)*27.211324570273</f>
        <v>-3.9618402403828505</v>
      </c>
      <c r="AD20" s="20">
        <v>4.84</v>
      </c>
      <c r="AE20" s="20">
        <v>4.4400000000000004</v>
      </c>
      <c r="AF20" s="21">
        <f>-Z20/2-AE20</f>
        <v>0.80899809538741518</v>
      </c>
      <c r="AG20" s="21">
        <f>-AA20/2-AE20</f>
        <v>0.77937657944430061</v>
      </c>
      <c r="AH20" s="21">
        <f>-AB20-AD20</f>
        <v>-0.80695927442133453</v>
      </c>
      <c r="AI20" s="21">
        <f>-AC20-AD20</f>
        <v>-0.87815975961714932</v>
      </c>
      <c r="AJ20" s="22">
        <v>0.59899999999999998</v>
      </c>
      <c r="AK20" s="21">
        <v>-0.96299999999999997</v>
      </c>
      <c r="AL20" s="27">
        <f>AF20+(0.69-AF$2)</f>
        <v>0.62619158541335596</v>
      </c>
      <c r="AM20" s="27">
        <f>AG20+(0.69-AG$2)</f>
        <v>0.6221066036813645</v>
      </c>
      <c r="AN20" s="27">
        <f>AH20+(-0.8815-AH$2)</f>
        <v>-0.98148022153226133</v>
      </c>
      <c r="AO20" s="27">
        <f>AI20+(-0.8815-AI$2)</f>
        <v>-0.98402139189727977</v>
      </c>
      <c r="AP20" s="20">
        <f t="shared" si="1"/>
        <v>2.7191585413355979E-2</v>
      </c>
      <c r="AQ20" s="20">
        <f t="shared" si="2"/>
        <v>2.3106603681364524E-2</v>
      </c>
      <c r="AR20" s="20">
        <f t="shared" si="3"/>
        <v>1.8480221532261365E-2</v>
      </c>
      <c r="AS20" s="20">
        <f t="shared" si="4"/>
        <v>2.1021391897279806E-2</v>
      </c>
    </row>
    <row r="21" spans="1:45" ht="15" customHeight="1" x14ac:dyDescent="0.2">
      <c r="A21" s="26" t="s">
        <v>124</v>
      </c>
      <c r="B21" s="19" t="s">
        <v>145</v>
      </c>
      <c r="C21" s="20">
        <f t="shared" si="0"/>
        <v>-0.42068146923305594</v>
      </c>
      <c r="D21" s="20">
        <v>-420.22406000000001</v>
      </c>
      <c r="E21" s="20">
        <v>-420.29962999999998</v>
      </c>
      <c r="F21" s="20">
        <v>-421.44067999999999</v>
      </c>
      <c r="G21" s="20">
        <v>-420.30558275150003</v>
      </c>
      <c r="H21" s="20">
        <v>-420.37893940689997</v>
      </c>
      <c r="I21" s="20">
        <v>-421.54562166080001</v>
      </c>
      <c r="J21" s="20">
        <v>-420.58882555899999</v>
      </c>
      <c r="K21" s="20">
        <v>-420.59677824279999</v>
      </c>
      <c r="L21" s="20">
        <v>-420.60196450310002</v>
      </c>
      <c r="M21" s="20">
        <v>-420.6455346573</v>
      </c>
      <c r="N21" s="20">
        <v>-420.72773951969998</v>
      </c>
      <c r="O21" s="20">
        <v>-421.81373081430002</v>
      </c>
      <c r="P21" s="20">
        <v>-421.8304842265</v>
      </c>
      <c r="Q21" s="20">
        <v>-420.76250596149998</v>
      </c>
      <c r="R21" s="20">
        <v>-420.83460230449998</v>
      </c>
      <c r="S21" s="20">
        <v>-422.00147833149998</v>
      </c>
      <c r="T21" s="20">
        <f>(S21-Q21)/2*27.211324570273</f>
        <v>-16.857039646835172</v>
      </c>
      <c r="U21" s="20">
        <f>(R21-Q21)*27.211324570273</f>
        <v>-1.9618369897026846</v>
      </c>
      <c r="V21" s="20">
        <f>(F21-I21-D21+G21)/2*27.211324570273</f>
        <v>0.31862977102211659</v>
      </c>
      <c r="W21" s="20">
        <f>(E21-H21-D21+G21)*27.211324570273</f>
        <v>-6.0228038297074342E-2</v>
      </c>
      <c r="X21" s="20">
        <f>(P21-O21-K21+J21)/2*27.211324570273</f>
        <v>-0.11973973847347393</v>
      </c>
      <c r="Y21" s="20">
        <f>(N21-M21-L21+J21)*27.211324570273</f>
        <v>-1.8793751196036557</v>
      </c>
      <c r="Z21" s="21">
        <f>(F21+P21-O21-D21-K21+J21-2*C21)*27.211324570273</f>
        <v>-10.450721175631875</v>
      </c>
      <c r="AA21" s="21">
        <f>(S21+F21-I21+P21-O21-Q21-D21+G21-K21+J21-2*C21)*27.211324570273</f>
        <v>-10.421699228573059</v>
      </c>
      <c r="AB21" s="21">
        <f>(E21+N21-M21-D21-L21+J21)*27.211324570273</f>
        <v>-3.9357349173783867</v>
      </c>
      <c r="AC21" s="21">
        <f>(R21+E21-H21+N21-M21-Q21-D21+G21-L21+J21)*27.211324570273</f>
        <v>-3.9014401476018681</v>
      </c>
      <c r="AD21" s="20">
        <v>4.84</v>
      </c>
      <c r="AE21" s="20">
        <v>4.4400000000000004</v>
      </c>
      <c r="AF21" s="21">
        <f>-Z21/2-AE21</f>
        <v>0.78536058781593709</v>
      </c>
      <c r="AG21" s="21">
        <f>-AA21/2-AE21</f>
        <v>0.77084961428652932</v>
      </c>
      <c r="AH21" s="21">
        <f>-AB21-AD21</f>
        <v>-0.9042650826216132</v>
      </c>
      <c r="AI21" s="21">
        <f>-AC21-AD21</f>
        <v>-0.93855985239813178</v>
      </c>
      <c r="AJ21" s="22">
        <v>0.59899999999999998</v>
      </c>
      <c r="AK21" s="21">
        <v>-0.96299999999999997</v>
      </c>
      <c r="AL21" s="27">
        <f>AF21+(0.69-AF$3)</f>
        <v>0.62607874685316256</v>
      </c>
      <c r="AM21" s="27">
        <f>AG21+(0.69-AG$3)</f>
        <v>0.62216942782691964</v>
      </c>
      <c r="AN21" s="27">
        <f>AH21+(-0.8815-AH$3)</f>
        <v>-0.97585983945108179</v>
      </c>
      <c r="AO21" s="27">
        <f>AI21+(-0.8815-AI$3)</f>
        <v>-0.97625439549087778</v>
      </c>
      <c r="AP21" s="20">
        <f t="shared" si="1"/>
        <v>2.7078746853162583E-2</v>
      </c>
      <c r="AQ21" s="20">
        <f t="shared" si="2"/>
        <v>2.3169427826919664E-2</v>
      </c>
      <c r="AR21" s="20">
        <f t="shared" si="3"/>
        <v>1.2859839451081823E-2</v>
      </c>
      <c r="AS21" s="20">
        <f t="shared" si="4"/>
        <v>1.3254395490877813E-2</v>
      </c>
    </row>
    <row r="22" spans="1:45" ht="15" customHeight="1" x14ac:dyDescent="0.2">
      <c r="A22" s="26" t="s">
        <v>124</v>
      </c>
      <c r="B22" s="19" t="s">
        <v>29</v>
      </c>
      <c r="C22" s="20">
        <f t="shared" si="0"/>
        <v>-0.42068146923305594</v>
      </c>
      <c r="D22" s="20">
        <v>-420.56232999999997</v>
      </c>
      <c r="E22" s="20">
        <v>-420.63794000000001</v>
      </c>
      <c r="F22" s="20">
        <v>-421.78532000000001</v>
      </c>
      <c r="G22" s="20">
        <v>-420.643997786</v>
      </c>
      <c r="H22" s="20">
        <v>-420.71739953589997</v>
      </c>
      <c r="I22" s="20">
        <v>-421.89048832560002</v>
      </c>
      <c r="J22" s="20">
        <v>-420.58874863459999</v>
      </c>
      <c r="K22" s="20">
        <v>-420.5968335366</v>
      </c>
      <c r="L22" s="20">
        <v>-420.60197394519997</v>
      </c>
      <c r="M22" s="20">
        <v>-420.64535394680001</v>
      </c>
      <c r="N22" s="20">
        <v>-420.72764217930001</v>
      </c>
      <c r="O22" s="20">
        <v>-421.81360981670002</v>
      </c>
      <c r="P22" s="20">
        <v>-421.83059012230001</v>
      </c>
      <c r="Q22" s="20">
        <v>-421.0865448225</v>
      </c>
      <c r="R22" s="20">
        <v>-421.15718661509999</v>
      </c>
      <c r="S22" s="20">
        <v>-422.33127553000003</v>
      </c>
      <c r="T22" s="20">
        <f>(S22-Q22)/2*27.211324570273</f>
        <v>-16.935385642184368</v>
      </c>
      <c r="U22" s="20">
        <f>(R22-Q22)*27.211324570273</f>
        <v>-1.9222567466641236</v>
      </c>
      <c r="V22" s="20">
        <f>(F22-I22-D22+G22)/2*27.211324570273</f>
        <v>0.31974040531579406</v>
      </c>
      <c r="W22" s="20">
        <f>(E22-H22-D22+G22)*27.211324570273</f>
        <v>-6.0089410205293584E-2</v>
      </c>
      <c r="X22" s="20">
        <f>(P22-O22-K22+J22)/2*27.211324570273</f>
        <v>-0.12102785727130295</v>
      </c>
      <c r="Y22" s="20">
        <f>(N22-M22-L22+J22)*27.211324570273</f>
        <v>-1.8792935835926676</v>
      </c>
      <c r="Z22" s="21">
        <f>(F22+P22-O22-D22-K22+J22-2*C22)*27.211324570273</f>
        <v>-10.62663355074028</v>
      </c>
      <c r="AA22" s="21">
        <f>(S22+F22-I22+P22-O22-Q22-D22+G22-K22+J22-2*C22)*27.211324570273</f>
        <v>-10.578746188279752</v>
      </c>
      <c r="AB22" s="21">
        <f>(E22+N22-M22-D22-L22+J22)*27.211324570273</f>
        <v>-3.9367418343505549</v>
      </c>
      <c r="AC22" s="21">
        <f>(R22+E22-H22+N22-M22-Q22-D22+G22-L22+J22)*27.211324570273</f>
        <v>-3.8616397404620848</v>
      </c>
      <c r="AD22" s="20">
        <v>4.84</v>
      </c>
      <c r="AE22" s="20">
        <v>4.4400000000000004</v>
      </c>
      <c r="AF22" s="21">
        <f>-Z22/2-AE22</f>
        <v>0.87331677537013963</v>
      </c>
      <c r="AG22" s="21">
        <f>-AA22/2-AE22</f>
        <v>0.84937309413987538</v>
      </c>
      <c r="AH22" s="21">
        <f>-AB22-AD22</f>
        <v>-0.90325816564944494</v>
      </c>
      <c r="AI22" s="21">
        <f>-AC22-AD22</f>
        <v>-0.97836025953791506</v>
      </c>
      <c r="AJ22" s="22">
        <v>0.59899999999999998</v>
      </c>
      <c r="AK22" s="21">
        <v>-0.96299999999999997</v>
      </c>
      <c r="AL22" s="21">
        <f>AF22+(0.69-AF$4)</f>
        <v>0.62899608384534078</v>
      </c>
      <c r="AM22" s="21">
        <f>AG22+(0.69-AG$4)</f>
        <v>0.62508684917532298</v>
      </c>
      <c r="AN22" s="21">
        <f>AH22+(-0.8815-AH$4)</f>
        <v>-0.97558215604558063</v>
      </c>
      <c r="AO22" s="21">
        <f>AI22+(-0.8815-AI$4)</f>
        <v>-0.97694775908894549</v>
      </c>
      <c r="AP22" s="20">
        <f t="shared" si="1"/>
        <v>2.9996083845340804E-2</v>
      </c>
      <c r="AQ22" s="20">
        <f t="shared" si="2"/>
        <v>2.6086849175323001E-2</v>
      </c>
      <c r="AR22" s="20">
        <f t="shared" si="3"/>
        <v>1.2582156045580661E-2</v>
      </c>
      <c r="AS22" s="20">
        <f t="shared" si="4"/>
        <v>1.3947759088945522E-2</v>
      </c>
    </row>
    <row r="23" spans="1:45" ht="15" customHeight="1" x14ac:dyDescent="0.2">
      <c r="A23" s="26" t="s">
        <v>124</v>
      </c>
      <c r="B23" s="19" t="s">
        <v>30</v>
      </c>
      <c r="C23" s="20">
        <f t="shared" si="0"/>
        <v>-0.42068146923305594</v>
      </c>
      <c r="D23" s="20">
        <v>-420.52690000000001</v>
      </c>
      <c r="E23" s="20">
        <v>-420.60180000000003</v>
      </c>
      <c r="F23" s="20">
        <v>-421.74045000000001</v>
      </c>
      <c r="G23" s="20">
        <v>-420.60791822890002</v>
      </c>
      <c r="H23" s="20">
        <v>-420.68062243240001</v>
      </c>
      <c r="I23" s="20">
        <v>-421.84494725079998</v>
      </c>
      <c r="J23" s="20">
        <v>-420.58889142940001</v>
      </c>
      <c r="K23" s="20">
        <v>-420.5969566306</v>
      </c>
      <c r="L23" s="20">
        <v>-420.6020936553</v>
      </c>
      <c r="M23" s="20">
        <v>-420.64552328159999</v>
      </c>
      <c r="N23" s="20">
        <v>-420.72778919839999</v>
      </c>
      <c r="O23" s="20">
        <v>-421.81378111100003</v>
      </c>
      <c r="P23" s="20">
        <v>-421.83068947290002</v>
      </c>
      <c r="Q23" s="20">
        <v>-421.06153557149997</v>
      </c>
      <c r="R23" s="20">
        <v>-421.13111147339998</v>
      </c>
      <c r="S23" s="20">
        <v>-422.29628745270003</v>
      </c>
      <c r="T23" s="20">
        <f>(S23-Q23)/2*27.211324570273</f>
        <v>-16.799617101544925</v>
      </c>
      <c r="U23" s="20">
        <f>(R23-Q23)*27.211324570273</f>
        <v>-1.8932524488706266</v>
      </c>
      <c r="V23" s="20">
        <f>(F23-I23-D23+G23)/2*27.211324570273</f>
        <v>0.31944764275616894</v>
      </c>
      <c r="W23" s="20">
        <f>(E23-H23-D23+G23)*27.211324570273</f>
        <v>-5.9750531252268299E-2</v>
      </c>
      <c r="X23" s="20">
        <f>(P23-O23-K23+J23)/2*27.211324570273</f>
        <v>-0.12031705801733868</v>
      </c>
      <c r="Y23" s="20">
        <f>(N23-M23-L23+J23)*27.211324570273</f>
        <v>-1.8793145091011567</v>
      </c>
      <c r="Z23" s="21">
        <f>(F23+P23-O23-D23-K23+J23-2*C23)*27.211324570273</f>
        <v>-10.368337048290966</v>
      </c>
      <c r="AA23" s="21">
        <f>(S23+F23-I23+P23-O23-Q23-D23+G23-K23+J23-2*C23)*27.211324570273</f>
        <v>-10.306373033610642</v>
      </c>
      <c r="AB23" s="21">
        <f>(E23+N23-M23-D23-L23+J23)*27.211324570273</f>
        <v>-3.9174427194165249</v>
      </c>
      <c r="AC23" s="21">
        <f>(R23+E23-H23+N23-M23-Q23-D23+G23-L23+J23)*27.211324570273</f>
        <v>-3.8323174892225049</v>
      </c>
      <c r="AD23" s="20">
        <v>4.84</v>
      </c>
      <c r="AE23" s="20">
        <v>4.4400000000000004</v>
      </c>
      <c r="AF23" s="21">
        <f>-Z23/2-AE23</f>
        <v>0.74416852414548273</v>
      </c>
      <c r="AG23" s="21">
        <f>-AA23/2-AE23</f>
        <v>0.71318651680532064</v>
      </c>
      <c r="AH23" s="21">
        <f>-AB23-AD23</f>
        <v>-0.92255728058347497</v>
      </c>
      <c r="AI23" s="21">
        <f>-AC23-AD23</f>
        <v>-1.0076825107774949</v>
      </c>
      <c r="AJ23" s="22">
        <v>0.59899999999999998</v>
      </c>
      <c r="AK23" s="21">
        <v>-0.96299999999999997</v>
      </c>
      <c r="AL23" s="21">
        <f>AF23+(0.69-AF$5)</f>
        <v>0.62836305319626939</v>
      </c>
      <c r="AM23" s="21">
        <f>AG23+(0.69-AG$5)</f>
        <v>0.62453010275222587</v>
      </c>
      <c r="AN23" s="21">
        <f>AH23+(-0.8815-AH$5)</f>
        <v>-0.97600768401630855</v>
      </c>
      <c r="AO23" s="21">
        <f>AI23+(-0.8815-AI$5)</f>
        <v>-0.97573288229548982</v>
      </c>
      <c r="AP23" s="20">
        <f t="shared" si="1"/>
        <v>2.9363053196269417E-2</v>
      </c>
      <c r="AQ23" s="20">
        <f t="shared" si="2"/>
        <v>2.5530102752225892E-2</v>
      </c>
      <c r="AR23" s="20">
        <f t="shared" si="3"/>
        <v>1.3007684016308585E-2</v>
      </c>
      <c r="AS23" s="20">
        <f t="shared" si="4"/>
        <v>1.2732882295489856E-2</v>
      </c>
    </row>
    <row r="24" spans="1:45" ht="15" customHeight="1" x14ac:dyDescent="0.2">
      <c r="A24" s="26" t="s">
        <v>124</v>
      </c>
      <c r="B24" s="19" t="s">
        <v>31</v>
      </c>
      <c r="C24" s="20">
        <f t="shared" si="0"/>
        <v>-0.42068146923305594</v>
      </c>
      <c r="D24" s="20">
        <v>-420.56232999999997</v>
      </c>
      <c r="E24" s="20">
        <v>-420.63794000000001</v>
      </c>
      <c r="F24" s="20">
        <v>-421.78532000000001</v>
      </c>
      <c r="G24" s="20">
        <v>-420.643997786</v>
      </c>
      <c r="H24" s="20">
        <v>-420.71739953589997</v>
      </c>
      <c r="I24" s="20">
        <v>-421.89048832560002</v>
      </c>
      <c r="J24" s="20">
        <v>-420.58874863459999</v>
      </c>
      <c r="K24" s="20">
        <v>-420.5968335366</v>
      </c>
      <c r="L24" s="20">
        <v>-420.60197394519997</v>
      </c>
      <c r="M24" s="20">
        <v>-420.64535394680001</v>
      </c>
      <c r="N24" s="20">
        <v>-420.72764217930001</v>
      </c>
      <c r="O24" s="20">
        <v>-421.81360981670002</v>
      </c>
      <c r="P24" s="20">
        <v>-421.83059012230001</v>
      </c>
      <c r="Q24" s="20">
        <v>-420.80971522779998</v>
      </c>
      <c r="R24" s="20">
        <v>-420.87862181719998</v>
      </c>
      <c r="S24" s="20">
        <v>-422.04656334489999</v>
      </c>
      <c r="T24" s="20">
        <f>(S24-Q24)/2*27.211324570273</f>
        <v>-16.828137779269696</v>
      </c>
      <c r="U24" s="20">
        <f>(R24-Q24)*27.211324570273</f>
        <v>-1.8750395691939585</v>
      </c>
      <c r="V24" s="20">
        <f>(F24-I24-D24+G24)/2*27.211324570273</f>
        <v>0.31974040531579406</v>
      </c>
      <c r="W24" s="20">
        <f>(E24-H24-D24+G24)*27.211324570273</f>
        <v>-6.0089410205293584E-2</v>
      </c>
      <c r="X24" s="20">
        <f>(P24-O24-K24+J24)/2*27.211324570273</f>
        <v>-0.12102785727130295</v>
      </c>
      <c r="Y24" s="20">
        <f>(N24-M24-L24+J24)*27.211324570273</f>
        <v>-1.8792935835926676</v>
      </c>
      <c r="Z24" s="21">
        <f>(F24+P24-O24-D24-K24+J24-2*C24)*27.211324570273</f>
        <v>-10.62663355074028</v>
      </c>
      <c r="AA24" s="21">
        <f>(S24+F24-I24+P24-O24-Q24-D24+G24-K24+J24-2*C24)*27.211324570273</f>
        <v>-10.364250462450412</v>
      </c>
      <c r="AB24" s="21">
        <f>(E24+N24-M24-D24-L24+J24)*27.211324570273</f>
        <v>-3.9367418343505549</v>
      </c>
      <c r="AC24" s="21">
        <f>(R24+E24-H24+N24-M24-Q24-D24+G24-L24+J24)*27.211324570273</f>
        <v>-3.8144225629919197</v>
      </c>
      <c r="AD24" s="20">
        <v>4.84</v>
      </c>
      <c r="AE24" s="20">
        <v>4.4400000000000004</v>
      </c>
      <c r="AF24" s="21">
        <f>-Z24/2-AE24</f>
        <v>0.87331677537013963</v>
      </c>
      <c r="AG24" s="21">
        <f>-AA24/2-AE24</f>
        <v>0.74212523122520579</v>
      </c>
      <c r="AH24" s="21">
        <f>-AB24-AD24</f>
        <v>-0.90325816564944494</v>
      </c>
      <c r="AI24" s="21">
        <f>-AC24-AD24</f>
        <v>-1.0255774370080801</v>
      </c>
      <c r="AJ24" s="22">
        <v>0.59899999999999998</v>
      </c>
      <c r="AK24" s="21">
        <v>-0.96299999999999997</v>
      </c>
      <c r="AL24" s="21">
        <f>AF24+(0.69-AF$6)</f>
        <v>0.62899608384534078</v>
      </c>
      <c r="AM24" s="21">
        <f>AG24+(0.69-AG$6)</f>
        <v>0.62573816991489073</v>
      </c>
      <c r="AN24" s="21">
        <f>AH24+(-0.8815-AH$6)</f>
        <v>-0.97558215604558063</v>
      </c>
      <c r="AO24" s="21">
        <f>AI24+(-0.8815-AI$6)</f>
        <v>-0.97395492427547881</v>
      </c>
      <c r="AP24" s="20">
        <f t="shared" si="1"/>
        <v>2.9996083845340804E-2</v>
      </c>
      <c r="AQ24" s="20">
        <f t="shared" si="2"/>
        <v>2.6738169914890753E-2</v>
      </c>
      <c r="AR24" s="20">
        <f t="shared" si="3"/>
        <v>1.2582156045580661E-2</v>
      </c>
      <c r="AS24" s="20">
        <f t="shared" si="4"/>
        <v>1.0954924275478839E-2</v>
      </c>
    </row>
    <row r="25" spans="1:45" ht="15" customHeight="1" x14ac:dyDescent="0.2">
      <c r="A25" s="26" t="s">
        <v>124</v>
      </c>
      <c r="B25" s="19" t="s">
        <v>32</v>
      </c>
      <c r="C25" s="20">
        <f t="shared" si="0"/>
        <v>-0.42068146923305594</v>
      </c>
      <c r="D25" s="20">
        <v>-420.52690000000001</v>
      </c>
      <c r="E25" s="20">
        <v>-420.60180000000003</v>
      </c>
      <c r="F25" s="20">
        <v>-421.74045000000001</v>
      </c>
      <c r="G25" s="20">
        <v>-420.60791822890002</v>
      </c>
      <c r="H25" s="20">
        <v>-420.68062243240001</v>
      </c>
      <c r="I25" s="20">
        <v>-421.84494725079998</v>
      </c>
      <c r="J25" s="20">
        <v>-420.58889142940001</v>
      </c>
      <c r="K25" s="20">
        <v>-420.5969566306</v>
      </c>
      <c r="L25" s="20">
        <v>-420.6020936553</v>
      </c>
      <c r="M25" s="20">
        <v>-420.64552328159999</v>
      </c>
      <c r="N25" s="20">
        <v>-420.72778919839999</v>
      </c>
      <c r="O25" s="20">
        <v>-421.81378111100003</v>
      </c>
      <c r="P25" s="20">
        <v>-421.83068947290002</v>
      </c>
      <c r="Q25" s="20">
        <v>-420.79251646360001</v>
      </c>
      <c r="R25" s="20">
        <v>-420.86046438890003</v>
      </c>
      <c r="S25" s="20">
        <v>-422.01928451800001</v>
      </c>
      <c r="T25" s="20">
        <f>(S25-Q25)/2*27.211324570273</f>
        <v>-16.690991850360323</v>
      </c>
      <c r="U25" s="20">
        <f>(R25-Q25)*27.211324570273</f>
        <v>-1.848953049215458</v>
      </c>
      <c r="V25" s="20">
        <f>(F25-I25-D25+G25)/2*27.211324570273</f>
        <v>0.31944764275616894</v>
      </c>
      <c r="W25" s="20">
        <f>(E25-H25-D25+G25)*27.211324570273</f>
        <v>-5.9750531252268299E-2</v>
      </c>
      <c r="X25" s="20">
        <f>(P25-O25-K25+J25)/2*27.211324570273</f>
        <v>-0.12031705801733868</v>
      </c>
      <c r="Y25" s="20">
        <f>(N25-M25-L25+J25)*27.211324570273</f>
        <v>-1.8793145091011567</v>
      </c>
      <c r="Z25" s="21">
        <f>(F25+P25-O25-D25-K25+J25-2*C25)*27.211324570273</f>
        <v>-10.368337048290966</v>
      </c>
      <c r="AA25" s="21">
        <f>(S25+F25-I25+P25-O25-Q25-D25+G25-K25+J25-2*C25)*27.211324570273</f>
        <v>-10.089122531241442</v>
      </c>
      <c r="AB25" s="21">
        <f>(E25+N25-M25-D25-L25+J25)*27.211324570273</f>
        <v>-3.9174427194165249</v>
      </c>
      <c r="AC25" s="21">
        <f>(R25+E25-H25+N25-M25-Q25-D25+G25-L25+J25)*27.211324570273</f>
        <v>-3.7880180895704298</v>
      </c>
      <c r="AD25" s="20">
        <v>4.84</v>
      </c>
      <c r="AE25" s="20">
        <v>4.4400000000000004</v>
      </c>
      <c r="AF25" s="21">
        <f>-Z25/2-AE25</f>
        <v>0.74416852414548273</v>
      </c>
      <c r="AG25" s="21">
        <f>-AA25/2-AE25</f>
        <v>0.60456126562072043</v>
      </c>
      <c r="AH25" s="21">
        <f>-AB25-AD25</f>
        <v>-0.92255728058347497</v>
      </c>
      <c r="AI25" s="21">
        <f>-AC25-AD25</f>
        <v>-1.05198191042957</v>
      </c>
      <c r="AJ25" s="22">
        <v>0.59899999999999998</v>
      </c>
      <c r="AK25" s="21">
        <v>-0.96299999999999997</v>
      </c>
      <c r="AL25" s="21">
        <f>AF25+(0.69-AF$7)</f>
        <v>0.62836305319626939</v>
      </c>
      <c r="AM25" s="21">
        <f>AG25+(0.69-AG$7)</f>
        <v>0.62513992486176351</v>
      </c>
      <c r="AN25" s="21">
        <f>AH25+(-0.8815-AH$7)</f>
        <v>-0.97600768401630855</v>
      </c>
      <c r="AO25" s="21">
        <f>AI25+(-0.8815-AI$7)</f>
        <v>-0.9724784677388647</v>
      </c>
      <c r="AP25" s="20">
        <f t="shared" si="1"/>
        <v>2.9363053196269417E-2</v>
      </c>
      <c r="AQ25" s="20">
        <f t="shared" si="2"/>
        <v>2.613992486176353E-2</v>
      </c>
      <c r="AR25" s="20">
        <f t="shared" si="3"/>
        <v>1.3007684016308585E-2</v>
      </c>
      <c r="AS25" s="20">
        <f t="shared" si="4"/>
        <v>9.4784677388647376E-3</v>
      </c>
    </row>
    <row r="26" spans="1:45" ht="15" customHeight="1" x14ac:dyDescent="0.2">
      <c r="A26" s="26" t="s">
        <v>124</v>
      </c>
      <c r="B26" s="19" t="s">
        <v>33</v>
      </c>
      <c r="C26" s="20">
        <f t="shared" si="0"/>
        <v>-0.42068146923305594</v>
      </c>
      <c r="D26" s="20">
        <v>-420.71251000000001</v>
      </c>
      <c r="E26" s="20">
        <v>-420.76774</v>
      </c>
      <c r="F26" s="20">
        <v>-421.916</v>
      </c>
      <c r="G26" s="20">
        <v>-420.79328696969998</v>
      </c>
      <c r="H26" s="20">
        <v>-420.84468253149998</v>
      </c>
      <c r="I26" s="20">
        <v>-422.01993729039998</v>
      </c>
      <c r="J26" s="20">
        <v>-420.58871794610002</v>
      </c>
      <c r="K26" s="20">
        <v>-420.59676752460001</v>
      </c>
      <c r="L26" s="20">
        <v>-420.60187821419998</v>
      </c>
      <c r="M26" s="20">
        <v>-420.64510530529998</v>
      </c>
      <c r="N26" s="20">
        <v>-420.72740016569998</v>
      </c>
      <c r="O26" s="20">
        <v>-421.81368141780001</v>
      </c>
      <c r="P26" s="20">
        <v>-421.8305528898</v>
      </c>
      <c r="Q26" s="20">
        <v>-420.79293456789998</v>
      </c>
      <c r="R26" s="20">
        <v>-420.86076083709997</v>
      </c>
      <c r="S26" s="20">
        <v>-422.01976217999999</v>
      </c>
      <c r="T26" s="20">
        <f>(S26-Q26)/2*27.211324570273</f>
        <v>-16.691802172313174</v>
      </c>
      <c r="U26" s="20">
        <f>(R26-Q26)*27.211324570273</f>
        <v>-1.8456426255918446</v>
      </c>
      <c r="V26" s="20">
        <f>(F26-I26-D26+G26)/2*27.211324570273</f>
        <v>0.31511150185985803</v>
      </c>
      <c r="W26" s="20">
        <f>(E26-H26-D26+G26)*27.211324570273</f>
        <v>-0.10434014240451987</v>
      </c>
      <c r="X26" s="20">
        <f>(P26-O26-K26+J26)/2*27.211324570273</f>
        <v>-0.1200277036764221</v>
      </c>
      <c r="Y26" s="20">
        <f>(N26-M26-L26+J26)*27.211324570273</f>
        <v>-1.8812438301096475</v>
      </c>
      <c r="Z26" s="21">
        <f>(F26+P26-O26-D26-K26+J26-2*C26)*27.211324570273</f>
        <v>-10.094012414430368</v>
      </c>
      <c r="AA26" s="21">
        <f>(S26+F26-I26+P26-O26-Q26-D26+G26-K26+J26-2*C26)*27.211324570273</f>
        <v>-10.098836748261027</v>
      </c>
      <c r="AB26" s="21">
        <f>(E26+N26-M26-D26-L26+J26)*27.211324570273</f>
        <v>-3.3841252861241307</v>
      </c>
      <c r="AC26" s="21">
        <f>(R26+E26-H26+N26-M26-Q26-D26+G26-L26+J26)*27.211324570273</f>
        <v>-3.8312265981075586</v>
      </c>
      <c r="AD26" s="20">
        <v>4.84</v>
      </c>
      <c r="AE26" s="20">
        <v>4.4400000000000004</v>
      </c>
      <c r="AF26" s="21">
        <f>-Z26/2-AE26</f>
        <v>0.60700620721518384</v>
      </c>
      <c r="AG26" s="21">
        <f>-AA26/2-AE26</f>
        <v>0.60941837413051303</v>
      </c>
      <c r="AH26" s="21">
        <f>-AB26-AD26</f>
        <v>-1.4558747138758692</v>
      </c>
      <c r="AI26" s="21">
        <f>-AC26-AD26</f>
        <v>-1.0087734018924412</v>
      </c>
      <c r="AJ26" s="22">
        <v>0.59899999999999998</v>
      </c>
      <c r="AK26" s="21">
        <v>-0.96299999999999997</v>
      </c>
      <c r="AL26" s="21">
        <f>AF26+(0.69-AF$8)</f>
        <v>0.62756818455471164</v>
      </c>
      <c r="AM26" s="21">
        <f>AG26+(0.69-AG$8)</f>
        <v>0.62778795681978794</v>
      </c>
      <c r="AN26" s="21">
        <f>AH26+(-0.8815-AH$8)</f>
        <v>-0.95020084475382749</v>
      </c>
      <c r="AO26" s="21">
        <f>AI26+(-0.8815-AI$8)</f>
        <v>-0.97135667000133141</v>
      </c>
      <c r="AP26" s="20">
        <f t="shared" si="1"/>
        <v>2.8568184554711662E-2</v>
      </c>
      <c r="AQ26" s="20">
        <f t="shared" si="2"/>
        <v>2.8787956819787963E-2</v>
      </c>
      <c r="AR26" s="20">
        <f t="shared" si="3"/>
        <v>1.2799155246172478E-2</v>
      </c>
      <c r="AS26" s="20">
        <f t="shared" si="4"/>
        <v>8.3566700013314454E-3</v>
      </c>
    </row>
    <row r="27" spans="1:45" ht="15" customHeight="1" x14ac:dyDescent="0.2">
      <c r="A27" s="26" t="s">
        <v>124</v>
      </c>
      <c r="B27" s="19" t="s">
        <v>174</v>
      </c>
      <c r="C27" s="20">
        <f t="shared" si="0"/>
        <v>-0.42068146923305594</v>
      </c>
      <c r="D27" s="20">
        <v>-420.71217999999999</v>
      </c>
      <c r="E27" s="20">
        <v>-420.78037</v>
      </c>
      <c r="F27" s="20">
        <v>-421.91602999999998</v>
      </c>
      <c r="G27" s="20">
        <v>-420.79304288169999</v>
      </c>
      <c r="H27" s="20">
        <v>-420.85870840109999</v>
      </c>
      <c r="I27" s="20">
        <v>-422.02006687929997</v>
      </c>
      <c r="J27" s="20">
        <v>-420.58871229239998</v>
      </c>
      <c r="K27" s="20">
        <v>-420.59676252079998</v>
      </c>
      <c r="L27" s="20">
        <v>-420.60187270440002</v>
      </c>
      <c r="M27" s="20">
        <v>-420.64538861400001</v>
      </c>
      <c r="N27" s="20">
        <v>-420.7275880606</v>
      </c>
      <c r="O27" s="20">
        <v>-421.81368109300001</v>
      </c>
      <c r="P27" s="20">
        <v>-421.83055070099999</v>
      </c>
      <c r="Q27" s="20">
        <v>-420.79293466950003</v>
      </c>
      <c r="R27" s="20">
        <v>-420.86083095430001</v>
      </c>
      <c r="S27" s="20">
        <v>-422.01976216539998</v>
      </c>
      <c r="T27" s="20">
        <f>(S27-Q27)/2*27.211324570273</f>
        <v>-16.691800591334459</v>
      </c>
      <c r="U27" s="20">
        <f>(R27-Q27)*27.211324570273</f>
        <v>-1.8475478428081</v>
      </c>
      <c r="V27" s="20">
        <f>(F27-I27-D27+G27)/2*27.211324570273</f>
        <v>0.31529758514212519</v>
      </c>
      <c r="W27" s="20">
        <f>(E27-H27-D27+G27)*27.211324570273</f>
        <v>-6.8694460978392283E-2</v>
      </c>
      <c r="X27" s="20">
        <f>(P27-O27-K27+J27)/2*27.211324570273</f>
        <v>-0.11999350040161452</v>
      </c>
      <c r="Y27" s="20">
        <f>(N27-M27-L27+J27)*27.211324570273</f>
        <v>-1.8786435785172475</v>
      </c>
      <c r="Z27" s="21">
        <f>(F27+P27-O27-D27-K27+J27-2*C27)*27.211324570273</f>
        <v>-10.103740084726068</v>
      </c>
      <c r="AA27" s="21">
        <f>(S27+F27-I27+P27-O27-Q27-D27+G27-K27+J27-2*C27)*27.211324570273</f>
        <v>-10.098393013189444</v>
      </c>
      <c r="AB27" s="21">
        <f>(E27+N27-M27-D27-L27+J27)*27.211324570273</f>
        <v>-3.7341838009645856</v>
      </c>
      <c r="AC27" s="21">
        <f>(R27+E27-H27+N27-M27-Q27-D27+G27-L27+J27)*27.211324570273</f>
        <v>-3.7948858823037397</v>
      </c>
      <c r="AD27" s="20">
        <v>4.84</v>
      </c>
      <c r="AE27" s="20">
        <v>4.4400000000000004</v>
      </c>
      <c r="AF27" s="21">
        <f>-Z27/2-AE27</f>
        <v>0.61187004236303366</v>
      </c>
      <c r="AG27" s="21">
        <f>-AA27/2-AE27</f>
        <v>0.60919650659472158</v>
      </c>
      <c r="AH27" s="21">
        <f>-AB27-AD27</f>
        <v>-1.1058161990354143</v>
      </c>
      <c r="AI27" s="21">
        <f>-AC27-AD27</f>
        <v>-1.0451141176962602</v>
      </c>
      <c r="AJ27" s="22">
        <v>0.59899999999999998</v>
      </c>
      <c r="AK27" s="21">
        <v>-0.96299999999999997</v>
      </c>
      <c r="AL27" s="21">
        <f>AF27+(0.69-AF$9)</f>
        <v>0.6274427471530033</v>
      </c>
      <c r="AM27" s="21">
        <f>AG27+(0.69-AG$9)</f>
        <v>0.62682364734209317</v>
      </c>
      <c r="AN27" s="21">
        <f>AH27+(-0.8815-AH$9)</f>
        <v>-0.97971308546006908</v>
      </c>
      <c r="AO27" s="21">
        <f>AI27+(-0.8815-AI$9)</f>
        <v>-0.96719827347673881</v>
      </c>
      <c r="AP27" s="20">
        <f t="shared" si="1"/>
        <v>2.8442747153003323E-2</v>
      </c>
      <c r="AQ27" s="20">
        <f t="shared" si="2"/>
        <v>2.7823647342093194E-2</v>
      </c>
      <c r="AR27" s="20">
        <f t="shared" si="3"/>
        <v>1.671308546006911E-2</v>
      </c>
      <c r="AS27" s="20">
        <f t="shared" si="4"/>
        <v>4.1982734767388452E-3</v>
      </c>
    </row>
    <row r="28" spans="1:45" ht="15" customHeight="1" x14ac:dyDescent="0.2">
      <c r="A28" s="26" t="s">
        <v>124</v>
      </c>
      <c r="B28" s="19" t="s">
        <v>43</v>
      </c>
      <c r="C28" s="20">
        <f t="shared" si="0"/>
        <v>-0.42068146923305594</v>
      </c>
      <c r="D28" s="20">
        <v>-420.52690000000001</v>
      </c>
      <c r="E28" s="20">
        <v>-420.60180000000003</v>
      </c>
      <c r="F28" s="20">
        <v>-421.74045000000001</v>
      </c>
      <c r="G28" s="20">
        <v>-420.60791822890002</v>
      </c>
      <c r="H28" s="20">
        <v>-420.68062243240001</v>
      </c>
      <c r="I28" s="20">
        <v>-421.84494725079998</v>
      </c>
      <c r="J28" s="20">
        <v>-420.58889142940001</v>
      </c>
      <c r="K28" s="20">
        <v>-420.5969566306</v>
      </c>
      <c r="L28" s="20">
        <v>-420.6020936553</v>
      </c>
      <c r="M28" s="20">
        <v>-420.64552328159999</v>
      </c>
      <c r="N28" s="20">
        <v>-420.72778919839999</v>
      </c>
      <c r="O28" s="20">
        <v>-421.81378111100003</v>
      </c>
      <c r="P28" s="20">
        <v>-421.83068947290002</v>
      </c>
      <c r="Q28" s="20">
        <v>-420.22859693802297</v>
      </c>
      <c r="R28" s="20">
        <v>-420.29326641213498</v>
      </c>
      <c r="S28" s="20">
        <v>-421.46507318657598</v>
      </c>
      <c r="T28" s="20">
        <f>(S28-Q28)/2*27.211324570273</f>
        <v>-16.823078261404667</v>
      </c>
      <c r="U28" s="20">
        <f>(R28-Q28)*27.211324570273</f>
        <v>-1.7597420498507341</v>
      </c>
      <c r="V28" s="20">
        <f>(F28-I28-D28+G28)/2*27.211324570273</f>
        <v>0.31944764275616894</v>
      </c>
      <c r="W28" s="20">
        <f>(E28-H28-D28+G28)*27.211324570273</f>
        <v>-5.9750531252268299E-2</v>
      </c>
      <c r="X28" s="20">
        <f>(P28-O28-K28+J28)/2*27.211324570273</f>
        <v>-0.12031705801733868</v>
      </c>
      <c r="Y28" s="20">
        <f>(N28-M28-L28+J28)*27.211324570273</f>
        <v>-1.8793145091011567</v>
      </c>
      <c r="Z28" s="21">
        <f>(F28+P28-O28-D28-K28+J28-2*C28)*27.211324570273</f>
        <v>-10.368337048290966</v>
      </c>
      <c r="AA28" s="21">
        <f>(S28+F28-I28+P28-O28-Q28-D28+G28-K28+J28-2*C28)*27.211324570273</f>
        <v>-10.353295353331673</v>
      </c>
      <c r="AB28" s="21">
        <f>(E28+N28-M28-D28-L28+J28)*27.211324570273</f>
        <v>-3.9174427194165249</v>
      </c>
      <c r="AC28" s="21">
        <f>(R28+E28-H28+N28-M28-Q28-D28+G28-L28+J28)*27.211324570273</f>
        <v>-3.6988070902041592</v>
      </c>
      <c r="AD28" s="20">
        <v>4.84</v>
      </c>
      <c r="AE28" s="20">
        <v>4.4400000000000004</v>
      </c>
      <c r="AF28" s="21">
        <f>-Z28/2-AE28</f>
        <v>0.74416852414548273</v>
      </c>
      <c r="AG28" s="21">
        <f>-AA28/2-AE28</f>
        <v>0.73664767666583586</v>
      </c>
      <c r="AH28" s="21">
        <f>-AB28-AD28</f>
        <v>-0.92255728058347497</v>
      </c>
      <c r="AI28" s="21">
        <f>-AC28-AD28</f>
        <v>-1.1411929097958406</v>
      </c>
      <c r="AJ28" s="22">
        <v>0.59899999999999998</v>
      </c>
      <c r="AK28" s="21">
        <v>-0.96299999999999997</v>
      </c>
      <c r="AL28" s="21">
        <f>AF28+(0.69-AF$10)</f>
        <v>0.62836305319626939</v>
      </c>
      <c r="AM28" s="21">
        <f>AG28+(0.69-AG$10)</f>
        <v>0.62998530967376754</v>
      </c>
      <c r="AN28" s="21">
        <f>AH28+(-0.8815-AH$10)</f>
        <v>-0.97600768401630855</v>
      </c>
      <c r="AO28" s="21">
        <f>AI28+(-0.8815-AI$10)</f>
        <v>-0.95867479816846624</v>
      </c>
      <c r="AP28" s="20">
        <f t="shared" si="1"/>
        <v>2.9363053196269417E-2</v>
      </c>
      <c r="AQ28" s="20">
        <f t="shared" si="2"/>
        <v>3.0985309673767558E-2</v>
      </c>
      <c r="AR28" s="20">
        <f t="shared" si="3"/>
        <v>1.3007684016308585E-2</v>
      </c>
      <c r="AS28" s="20">
        <f t="shared" si="4"/>
        <v>4.3252018315337315E-3</v>
      </c>
    </row>
    <row r="29" spans="1:45" x14ac:dyDescent="0.2">
      <c r="A29" s="26" t="s">
        <v>125</v>
      </c>
      <c r="B29" s="19" t="s">
        <v>27</v>
      </c>
      <c r="C29" s="20">
        <f t="shared" si="0"/>
        <v>-0.42068146923305594</v>
      </c>
      <c r="D29" s="20">
        <v>-538.23819000000003</v>
      </c>
      <c r="E29" s="20">
        <v>-538.31911000000002</v>
      </c>
      <c r="F29" s="20">
        <v>-539.45568000000003</v>
      </c>
      <c r="G29" s="20">
        <v>-538.39876995090003</v>
      </c>
      <c r="H29" s="20">
        <v>-538.47750691939996</v>
      </c>
      <c r="I29" s="20">
        <v>-539.63999580610005</v>
      </c>
      <c r="J29" s="20">
        <v>-538.46716670959995</v>
      </c>
      <c r="K29" s="20">
        <v>-538.47265418100005</v>
      </c>
      <c r="L29" s="20">
        <v>-538.48020819520002</v>
      </c>
      <c r="M29" s="20">
        <v>-538.52741556770002</v>
      </c>
      <c r="N29" s="20">
        <v>-538.60631814169994</v>
      </c>
      <c r="O29" s="20">
        <v>-539.69092349760001</v>
      </c>
      <c r="P29" s="20">
        <v>-539.70507021210005</v>
      </c>
      <c r="Q29" s="20">
        <v>-538.96664737770004</v>
      </c>
      <c r="R29" s="20">
        <v>-539.0427200931</v>
      </c>
      <c r="S29" s="20">
        <v>-540.20523707890004</v>
      </c>
      <c r="T29" s="20">
        <f>(S29-Q29)/2*27.211324570273</f>
        <v>-16.851833184375309</v>
      </c>
      <c r="U29" s="20">
        <f>(R29-Q29)*27.211324570273</f>
        <v>-2.0700393496903069</v>
      </c>
      <c r="V29" s="20">
        <f>(F29-I29-D29+G29)/2*27.211324570273</f>
        <v>0.32294202990031845</v>
      </c>
      <c r="W29" s="20">
        <f>(E29-H29-D29+G29)*27.211324570273</f>
        <v>-5.9403178695454313E-2</v>
      </c>
      <c r="X29" s="20">
        <f>(P29-O29-K29+J29)/2*27.211324570273</f>
        <v>-0.11781473726270532</v>
      </c>
      <c r="Y29" s="20">
        <f>(N29-M29-L29+J29)*27.211324570273</f>
        <v>-1.792167452999931</v>
      </c>
      <c r="Z29" s="21">
        <f>(F29+P29-O29-D29-K29+J29-2*C29)*27.211324570273</f>
        <v>-10.470545025587029</v>
      </c>
      <c r="AA29" s="21">
        <f>(S29+F29-I29+P29-O29-Q29-D29+G29-K29+J29-2*C29)*27.211324570273</f>
        <v>-10.398811783475391</v>
      </c>
      <c r="AB29" s="21">
        <f>(E29+N29-M29-D29-L29+J29)*27.211324570273</f>
        <v>-3.9941078372262013</v>
      </c>
      <c r="AC29" s="21">
        <f>(R29+E29-H29+N29-M29-Q29-D29+G29-L29+J29)*27.211324570273</f>
        <v>-3.9216099813825984</v>
      </c>
      <c r="AD29" s="20">
        <v>4.84</v>
      </c>
      <c r="AE29" s="20">
        <v>4.4400000000000004</v>
      </c>
      <c r="AF29" s="21">
        <f>-Z29/2-AE29</f>
        <v>0.79527251279351407</v>
      </c>
      <c r="AG29" s="21">
        <f>-AA29/2-AE29</f>
        <v>0.75940589173769535</v>
      </c>
      <c r="AH29" s="21">
        <f>-AB29-AD29</f>
        <v>-0.84589216277379853</v>
      </c>
      <c r="AI29" s="21">
        <f>-AC29-AD29</f>
        <v>-0.91839001861740144</v>
      </c>
      <c r="AJ29" s="22">
        <v>0.57899999999999996</v>
      </c>
      <c r="AK29" s="21">
        <v>-0.98199999999999998</v>
      </c>
      <c r="AL29" s="27">
        <f>AF29+(0.69-AF$2)</f>
        <v>0.61246600281945485</v>
      </c>
      <c r="AM29" s="27">
        <f>AG29+(0.69-AG$2)</f>
        <v>0.60213591597475924</v>
      </c>
      <c r="AN29" s="27">
        <f>AH29+(-0.8815-AH$2)</f>
        <v>-1.0204131098847253</v>
      </c>
      <c r="AO29" s="27">
        <f>AI29+(-0.8815-AI$2)</f>
        <v>-1.0242516508975319</v>
      </c>
      <c r="AP29" s="20">
        <f t="shared" si="1"/>
        <v>3.3466002819454888E-2</v>
      </c>
      <c r="AQ29" s="20">
        <f t="shared" si="2"/>
        <v>2.313591597475928E-2</v>
      </c>
      <c r="AR29" s="20">
        <f t="shared" si="3"/>
        <v>3.8413109884725349E-2</v>
      </c>
      <c r="AS29" s="20">
        <f t="shared" si="4"/>
        <v>4.2251650897531912E-2</v>
      </c>
    </row>
    <row r="30" spans="1:45" ht="15" customHeight="1" x14ac:dyDescent="0.2">
      <c r="A30" s="26" t="s">
        <v>125</v>
      </c>
      <c r="B30" s="19" t="s">
        <v>145</v>
      </c>
      <c r="C30" s="20">
        <f t="shared" si="0"/>
        <v>-0.42068146923305594</v>
      </c>
      <c r="D30" s="20">
        <v>-537.94176000000004</v>
      </c>
      <c r="E30" s="20">
        <v>-538.01931999999999</v>
      </c>
      <c r="F30" s="20">
        <v>-539.15733</v>
      </c>
      <c r="G30" s="20">
        <v>-538.10437452760004</v>
      </c>
      <c r="H30" s="20">
        <v>-538.1798255233</v>
      </c>
      <c r="I30" s="20">
        <v>-539.3436385123</v>
      </c>
      <c r="J30" s="20">
        <v>-538.46744988759997</v>
      </c>
      <c r="K30" s="20">
        <v>-538.47258899630003</v>
      </c>
      <c r="L30" s="20">
        <v>-538.48031621890004</v>
      </c>
      <c r="M30" s="20">
        <v>-538.52773315340005</v>
      </c>
      <c r="N30" s="20">
        <v>-538.60652425470005</v>
      </c>
      <c r="O30" s="20">
        <v>-539.69113854800003</v>
      </c>
      <c r="P30" s="20">
        <v>-539.70503880529998</v>
      </c>
      <c r="Q30" s="20">
        <v>-538.68441360079999</v>
      </c>
      <c r="R30" s="20">
        <v>-538.75857365269997</v>
      </c>
      <c r="S30" s="20">
        <v>-539.92214536760002</v>
      </c>
      <c r="T30" s="20">
        <f>(S30-Q30)/2*27.211324570273</f>
        <v>-16.840160418666652</v>
      </c>
      <c r="U30" s="20">
        <f>(R30-Q30)*27.211324570273</f>
        <v>-2.0179932423986551</v>
      </c>
      <c r="V30" s="20">
        <f>(F30-I30-D30+G30)/2*27.211324570273</f>
        <v>0.32237235401743286</v>
      </c>
      <c r="W30" s="20">
        <f>(E30-H30-D30+G30)*27.211324570273</f>
        <v>-5.7388800527287974E-2</v>
      </c>
      <c r="X30" s="20">
        <f>(P30-O30-K30+J30)/2*27.211324570273</f>
        <v>-0.11920122907996918</v>
      </c>
      <c r="Y30" s="20">
        <f>(N30-M30-L30+J30)*27.211324570273</f>
        <v>-1.7939003136885321</v>
      </c>
      <c r="Z30" s="21">
        <f>(F30+P30-O30-D30-K30+J30-2*C30)*27.211324570273</f>
        <v>-10.421072266042424</v>
      </c>
      <c r="AA30" s="21">
        <f>(S30+F30-I30+P30-O30-Q30-D30+G30-K30+J30-2*C30)*27.211324570273</f>
        <v>-10.379378587455284</v>
      </c>
      <c r="AB30" s="21">
        <f>(E30+N30-M30-D30-L30+J30)*27.211324570273</f>
        <v>-3.9044106473575062</v>
      </c>
      <c r="AC30" s="21">
        <f>(R30+E30-H30+N30-M30-Q30-D30+G30-L30+J30)*27.211324570273</f>
        <v>-3.8692823566175689</v>
      </c>
      <c r="AD30" s="20">
        <v>4.84</v>
      </c>
      <c r="AE30" s="20">
        <v>4.4400000000000004</v>
      </c>
      <c r="AF30" s="21">
        <f>-Z30/2-AE30</f>
        <v>0.77053613302121171</v>
      </c>
      <c r="AG30" s="21">
        <f>-AA30/2-AE30</f>
        <v>0.74968929372764137</v>
      </c>
      <c r="AH30" s="21">
        <f>-AB30-AD30</f>
        <v>-0.93558935264249365</v>
      </c>
      <c r="AI30" s="21">
        <f>-AC30-AD30</f>
        <v>-0.97071764338243094</v>
      </c>
      <c r="AJ30" s="22">
        <v>0.57899999999999996</v>
      </c>
      <c r="AK30" s="21">
        <v>-0.98199999999999998</v>
      </c>
      <c r="AL30" s="27">
        <f>AF30+(0.69-AF$3)</f>
        <v>0.61125429205843718</v>
      </c>
      <c r="AM30" s="27">
        <f>AG30+(0.69-AG$3)</f>
        <v>0.60100910726803169</v>
      </c>
      <c r="AN30" s="27">
        <f>AH30+(-0.8815-AH$3)</f>
        <v>-1.0071841094719622</v>
      </c>
      <c r="AO30" s="27">
        <f>AI30+(-0.8815-AI$3)</f>
        <v>-1.0084121864751769</v>
      </c>
      <c r="AP30" s="20">
        <f t="shared" si="1"/>
        <v>3.2254292058437217E-2</v>
      </c>
      <c r="AQ30" s="20">
        <f t="shared" si="2"/>
        <v>2.2009107268031736E-2</v>
      </c>
      <c r="AR30" s="20">
        <f t="shared" si="3"/>
        <v>2.5184109471962257E-2</v>
      </c>
      <c r="AS30" s="20">
        <f t="shared" si="4"/>
        <v>2.6412186475176958E-2</v>
      </c>
    </row>
    <row r="31" spans="1:45" ht="15" customHeight="1" x14ac:dyDescent="0.2">
      <c r="A31" s="26" t="s">
        <v>125</v>
      </c>
      <c r="B31" s="19" t="s">
        <v>29</v>
      </c>
      <c r="C31" s="20">
        <f t="shared" si="0"/>
        <v>-0.42068146923305594</v>
      </c>
      <c r="D31" s="20">
        <v>-538.41974000000005</v>
      </c>
      <c r="E31" s="20">
        <v>-538.49689000000001</v>
      </c>
      <c r="F31" s="20">
        <v>-539.64161000000001</v>
      </c>
      <c r="G31" s="20">
        <v>-538.58270232090001</v>
      </c>
      <c r="H31" s="20">
        <v>-538.65780084469998</v>
      </c>
      <c r="I31" s="20">
        <v>-539.82829927590001</v>
      </c>
      <c r="J31" s="20">
        <v>-538.46733356430002</v>
      </c>
      <c r="K31" s="20">
        <v>-538.47258400759995</v>
      </c>
      <c r="L31" s="20">
        <v>-538.48027364899997</v>
      </c>
      <c r="M31" s="20">
        <v>-538.52754565800001</v>
      </c>
      <c r="N31" s="20">
        <v>-538.6064160423</v>
      </c>
      <c r="O31" s="20">
        <v>-539.69095937270004</v>
      </c>
      <c r="P31" s="20">
        <v>-539.70505626910006</v>
      </c>
      <c r="Q31" s="20">
        <v>-539.14140734950001</v>
      </c>
      <c r="R31" s="20">
        <v>-539.2137531889</v>
      </c>
      <c r="S31" s="20">
        <v>-540.3848508886</v>
      </c>
      <c r="T31" s="20">
        <f>(S31-Q31)/2*27.211324570273</f>
        <v>-16.91787286362932</v>
      </c>
      <c r="U31" s="20">
        <f>(R31-Q31)*27.211324570273</f>
        <v>-1.9686261172218713</v>
      </c>
      <c r="V31" s="20">
        <f>(F31-I31-D31+G31)/2*27.211324570273</f>
        <v>0.3228209367850281</v>
      </c>
      <c r="W31" s="20">
        <f>(E31-H31-D31+G31)*27.211324570273</f>
        <v>-5.5823384726248655E-2</v>
      </c>
      <c r="X31" s="20">
        <f>(P31-O31-K31+J31)/2*27.211324570273</f>
        <v>-0.12036185330113579</v>
      </c>
      <c r="Y31" s="20">
        <f>(N31-M31-L31+J31)*27.211324570273</f>
        <v>-1.7940507814320448</v>
      </c>
      <c r="Z31" s="21">
        <f>(F31+P31-O31-D31-K31+J31-2*C31)*27.211324570273</f>
        <v>-10.594824859280848</v>
      </c>
      <c r="AA31" s="21">
        <f>(S31+F31-I31+P31-O31-Q31-D31+G31-K31+J31-2*C31)*27.211324570273</f>
        <v>-10.53622756029395</v>
      </c>
      <c r="AB31" s="21">
        <f>(E31+N31-M31-D31-L31+J31)*27.211324570273</f>
        <v>-3.8934044720306265</v>
      </c>
      <c r="AC31" s="21">
        <f>(R31+E31-H31+N31-M31-Q31-D31+G31-L31+J31)*27.211324570273</f>
        <v>-3.8185002833832584</v>
      </c>
      <c r="AD31" s="20">
        <v>4.84</v>
      </c>
      <c r="AE31" s="20">
        <v>4.4400000000000004</v>
      </c>
      <c r="AF31" s="21">
        <f>-Z31/2-AE31</f>
        <v>0.85741242964042375</v>
      </c>
      <c r="AG31" s="21">
        <f>-AA31/2-AE31</f>
        <v>0.82811378014697468</v>
      </c>
      <c r="AH31" s="21">
        <f>-AB31-AD31</f>
        <v>-0.94659552796937341</v>
      </c>
      <c r="AI31" s="21">
        <f>-AC31-AD31</f>
        <v>-1.0214997166167414</v>
      </c>
      <c r="AJ31" s="22">
        <v>0.57899999999999996</v>
      </c>
      <c r="AK31" s="21">
        <v>-0.98199999999999998</v>
      </c>
      <c r="AL31" s="21">
        <f>AF31+(0.69-AF$4)</f>
        <v>0.6130917381156249</v>
      </c>
      <c r="AM31" s="21">
        <f>AG31+(0.69-AG$4)</f>
        <v>0.60382753518242227</v>
      </c>
      <c r="AN31" s="21">
        <f>AH31+(-0.8815-AH$4)</f>
        <v>-1.0189195183655091</v>
      </c>
      <c r="AO31" s="21">
        <f>AI31+(-0.8815-AI$4)</f>
        <v>-1.0200872161677719</v>
      </c>
      <c r="AP31" s="20">
        <f t="shared" si="1"/>
        <v>3.4091738115624937E-2</v>
      </c>
      <c r="AQ31" s="20">
        <f t="shared" si="2"/>
        <v>2.4827535182422311E-2</v>
      </c>
      <c r="AR31" s="20">
        <f t="shared" si="3"/>
        <v>3.6919518365509107E-2</v>
      </c>
      <c r="AS31" s="20">
        <f t="shared" si="4"/>
        <v>3.8087216167771887E-2</v>
      </c>
    </row>
    <row r="32" spans="1:45" ht="15" customHeight="1" x14ac:dyDescent="0.2">
      <c r="A32" s="26" t="s">
        <v>125</v>
      </c>
      <c r="B32" s="19" t="s">
        <v>30</v>
      </c>
      <c r="C32" s="20">
        <f t="shared" si="0"/>
        <v>-0.42068146923305594</v>
      </c>
      <c r="D32" s="20">
        <v>-538.34014000000002</v>
      </c>
      <c r="E32" s="20">
        <v>-538.41673000000003</v>
      </c>
      <c r="F32" s="20">
        <v>-539.55269999999996</v>
      </c>
      <c r="G32" s="20">
        <v>-538.50191516740006</v>
      </c>
      <c r="H32" s="20">
        <v>-538.5764605329</v>
      </c>
      <c r="I32" s="20">
        <v>-539.73815990900005</v>
      </c>
      <c r="J32" s="20">
        <v>-538.4675328948</v>
      </c>
      <c r="K32" s="20">
        <v>-538.47277283179994</v>
      </c>
      <c r="L32" s="20">
        <v>-538.48044986399998</v>
      </c>
      <c r="M32" s="20">
        <v>-538.52777328230002</v>
      </c>
      <c r="N32" s="20">
        <v>-538.60661424930004</v>
      </c>
      <c r="O32" s="20">
        <v>-539.69119151509994</v>
      </c>
      <c r="P32" s="20">
        <v>-539.70521716669998</v>
      </c>
      <c r="Q32" s="20">
        <v>-539.07629374709995</v>
      </c>
      <c r="R32" s="20">
        <v>-539.14777925709996</v>
      </c>
      <c r="S32" s="20">
        <v>-540.30986890780002</v>
      </c>
      <c r="T32" s="20">
        <f>(S32-Q32)/2*27.211324570273</f>
        <v>-16.783607039818143</v>
      </c>
      <c r="U32" s="20">
        <f>(R32-Q32)*27.211324570273</f>
        <v>-1.9452154146815575</v>
      </c>
      <c r="V32" s="20">
        <f>(F32-I32-D32+G32)/2*27.211324570273</f>
        <v>0.32224659552100482</v>
      </c>
      <c r="W32" s="20">
        <f>(E32-H32-D32+G32)*27.211324570273</f>
        <v>-5.5637213008885286E-2</v>
      </c>
      <c r="X32" s="20">
        <f>(P32-O32-K32+J32)/2*27.211324570273</f>
        <v>-0.11953546578247547</v>
      </c>
      <c r="Y32" s="20">
        <f>(N32-M32-L32+J32)*27.211324570273</f>
        <v>-1.7938793011068908</v>
      </c>
      <c r="Z32" s="21">
        <f>(F32+P32-O32-D32-K32+J32-2*C32)*27.211324570273</f>
        <v>-10.339834652490438</v>
      </c>
      <c r="AA32" s="21">
        <f>(S32+F32-I32+P32-O32-Q32-D32+G32-K32+J32-2*C32)*27.211324570273</f>
        <v>-10.267191820156134</v>
      </c>
      <c r="AB32" s="21">
        <f>(E32+N32-M32-D32-L32+J32)*27.211324570273</f>
        <v>-3.8779946499412823</v>
      </c>
      <c r="AC32" s="21">
        <f>(R32+E32-H32+N32-M32-Q32-D32+G32-L32+J32)*27.211324570273</f>
        <v>-3.7947319287942398</v>
      </c>
      <c r="AD32" s="20">
        <v>4.84</v>
      </c>
      <c r="AE32" s="20">
        <v>4.4400000000000004</v>
      </c>
      <c r="AF32" s="21">
        <f>-Z32/2-AE32</f>
        <v>0.72991732624521877</v>
      </c>
      <c r="AG32" s="21">
        <f>-AA32/2-AE32</f>
        <v>0.69359591007806642</v>
      </c>
      <c r="AH32" s="21">
        <f>-AB32-AD32</f>
        <v>-0.96200535005871757</v>
      </c>
      <c r="AI32" s="21">
        <f>-AC32-AD32</f>
        <v>-1.04526807120576</v>
      </c>
      <c r="AJ32" s="22">
        <v>0.57899999999999996</v>
      </c>
      <c r="AK32" s="21">
        <v>-0.98199999999999998</v>
      </c>
      <c r="AL32" s="21">
        <f>AF32+(0.69-AF$5)</f>
        <v>0.61411185529600543</v>
      </c>
      <c r="AM32" s="21">
        <f>AG32+(0.69-AG$5)</f>
        <v>0.60493949602497166</v>
      </c>
      <c r="AN32" s="21">
        <f>AH32+(-0.8815-AH$5)</f>
        <v>-1.0154557534915511</v>
      </c>
      <c r="AO32" s="21">
        <f>AI32+(-0.8815-AI$5)</f>
        <v>-1.0133184427237549</v>
      </c>
      <c r="AP32" s="20">
        <f t="shared" si="1"/>
        <v>3.5111855296005468E-2</v>
      </c>
      <c r="AQ32" s="20">
        <f t="shared" si="2"/>
        <v>2.5939496024971698E-2</v>
      </c>
      <c r="AR32" s="20">
        <f t="shared" si="3"/>
        <v>3.3455753491551166E-2</v>
      </c>
      <c r="AS32" s="20">
        <f t="shared" si="4"/>
        <v>3.1318442723754947E-2</v>
      </c>
    </row>
    <row r="33" spans="1:45" ht="15" customHeight="1" x14ac:dyDescent="0.2">
      <c r="A33" s="26" t="s">
        <v>125</v>
      </c>
      <c r="B33" s="19" t="s">
        <v>31</v>
      </c>
      <c r="C33" s="20">
        <f t="shared" si="0"/>
        <v>-0.42068146923305594</v>
      </c>
      <c r="D33" s="20">
        <v>-538.41974000000005</v>
      </c>
      <c r="E33" s="20">
        <v>-538.49689000000001</v>
      </c>
      <c r="F33" s="20">
        <v>-539.64161000000001</v>
      </c>
      <c r="G33" s="20">
        <v>-538.58270232090001</v>
      </c>
      <c r="H33" s="20">
        <v>-538.65780084469998</v>
      </c>
      <c r="I33" s="20">
        <v>-539.82829927590001</v>
      </c>
      <c r="J33" s="20">
        <v>-538.46733356430002</v>
      </c>
      <c r="K33" s="20">
        <v>-538.47258400759995</v>
      </c>
      <c r="L33" s="20">
        <v>-538.48027364899997</v>
      </c>
      <c r="M33" s="20">
        <v>-538.52754565800001</v>
      </c>
      <c r="N33" s="20">
        <v>-538.6064160423</v>
      </c>
      <c r="O33" s="20">
        <v>-539.69095937270004</v>
      </c>
      <c r="P33" s="20">
        <v>-539.70505626910006</v>
      </c>
      <c r="Q33" s="20">
        <v>-538.76059809039998</v>
      </c>
      <c r="R33" s="20">
        <v>-538.8315187467</v>
      </c>
      <c r="S33" s="20">
        <v>-539.9963156622</v>
      </c>
      <c r="T33" s="20">
        <f>(S33-Q33)/2*27.211324570273</f>
        <v>-16.812755961720036</v>
      </c>
      <c r="U33" s="20">
        <f>(R33-Q33)*27.211324570273</f>
        <v>-1.9298449973165659</v>
      </c>
      <c r="V33" s="20">
        <f>(F33-I33-D33+G33)/2*27.211324570273</f>
        <v>0.3228209367850281</v>
      </c>
      <c r="W33" s="20">
        <f>(E33-H33-D33+G33)*27.211324570273</f>
        <v>-5.5823384726248655E-2</v>
      </c>
      <c r="X33" s="20">
        <f>(P33-O33-K33+J33)/2*27.211324570273</f>
        <v>-0.12036185330113579</v>
      </c>
      <c r="Y33" s="20">
        <f>(N33-M33-L33+J33)*27.211324570273</f>
        <v>-1.7940507814320448</v>
      </c>
      <c r="Z33" s="21">
        <f>(F33+P33-O33-D33-K33+J33-2*C33)*27.211324570273</f>
        <v>-10.594824859280848</v>
      </c>
      <c r="AA33" s="21">
        <f>(S33+F33-I33+P33-O33-Q33-D33+G33-K33+J33-2*C33)*27.211324570273</f>
        <v>-10.325993756472284</v>
      </c>
      <c r="AB33" s="21">
        <f>(E33+N33-M33-D33-L33+J33)*27.211324570273</f>
        <v>-3.8934044720306265</v>
      </c>
      <c r="AC33" s="21">
        <f>(R33+E33-H33+N33-M33-Q33-D33+G33-L33+J33)*27.211324570273</f>
        <v>-3.7797191634748595</v>
      </c>
      <c r="AD33" s="20">
        <v>4.84</v>
      </c>
      <c r="AE33" s="20">
        <v>4.4400000000000004</v>
      </c>
      <c r="AF33" s="21">
        <f>-Z33/2-AE33</f>
        <v>0.85741242964042375</v>
      </c>
      <c r="AG33" s="21">
        <f>-AA33/2-AE33</f>
        <v>0.72299687823614178</v>
      </c>
      <c r="AH33" s="21">
        <f>-AB33-AD33</f>
        <v>-0.94659552796937341</v>
      </c>
      <c r="AI33" s="21">
        <f>-AC33-AD33</f>
        <v>-1.0602808365251404</v>
      </c>
      <c r="AJ33" s="22">
        <v>0.57899999999999996</v>
      </c>
      <c r="AK33" s="21">
        <v>-0.98199999999999998</v>
      </c>
      <c r="AL33" s="21">
        <f>AF33+(0.69-AF$6)</f>
        <v>0.6130917381156249</v>
      </c>
      <c r="AM33" s="21">
        <f>AG33+(0.69-AG$6)</f>
        <v>0.60660981692582672</v>
      </c>
      <c r="AN33" s="21">
        <f>AH33+(-0.8815-AH$6)</f>
        <v>-1.0189195183655091</v>
      </c>
      <c r="AO33" s="21">
        <f>AI33+(-0.8815-AI$6)</f>
        <v>-1.0086583237925391</v>
      </c>
      <c r="AP33" s="20">
        <f t="shared" si="1"/>
        <v>3.4091738115624937E-2</v>
      </c>
      <c r="AQ33" s="20">
        <f t="shared" si="2"/>
        <v>2.7609816925826758E-2</v>
      </c>
      <c r="AR33" s="20">
        <f t="shared" si="3"/>
        <v>3.6919518365509107E-2</v>
      </c>
      <c r="AS33" s="20">
        <f t="shared" si="4"/>
        <v>2.6658323792539074E-2</v>
      </c>
    </row>
    <row r="34" spans="1:45" ht="15" customHeight="1" x14ac:dyDescent="0.2">
      <c r="A34" s="26" t="s">
        <v>125</v>
      </c>
      <c r="B34" s="19" t="s">
        <v>32</v>
      </c>
      <c r="C34" s="20">
        <f t="shared" si="0"/>
        <v>-0.42068146923305594</v>
      </c>
      <c r="D34" s="20">
        <v>-538.34014000000002</v>
      </c>
      <c r="E34" s="20">
        <v>-538.41673000000003</v>
      </c>
      <c r="F34" s="20">
        <v>-539.55269999999996</v>
      </c>
      <c r="G34" s="20">
        <v>-538.50191516740006</v>
      </c>
      <c r="H34" s="20">
        <v>-538.5764605329</v>
      </c>
      <c r="I34" s="20">
        <v>-539.73815990900005</v>
      </c>
      <c r="J34" s="20">
        <v>-538.4675328948</v>
      </c>
      <c r="K34" s="20">
        <v>-538.47277283179994</v>
      </c>
      <c r="L34" s="20">
        <v>-538.48044986399998</v>
      </c>
      <c r="M34" s="20">
        <v>-538.52777328230002</v>
      </c>
      <c r="N34" s="20">
        <v>-538.60661424930004</v>
      </c>
      <c r="O34" s="20">
        <v>-539.69119151509994</v>
      </c>
      <c r="P34" s="20">
        <v>-539.70521716669998</v>
      </c>
      <c r="Q34" s="20">
        <v>-538.70563103639995</v>
      </c>
      <c r="R34" s="20">
        <v>-538.77580766589995</v>
      </c>
      <c r="S34" s="20">
        <v>-539.93132953300005</v>
      </c>
      <c r="T34" s="20">
        <f>(S34-Q34)/2*27.211324570273</f>
        <v>-16.676439808140525</v>
      </c>
      <c r="U34" s="20">
        <f>(R34-Q34)*27.211324570273</f>
        <v>-1.9095990425722142</v>
      </c>
      <c r="V34" s="20">
        <f>(F34-I34-D34+G34)/2*27.211324570273</f>
        <v>0.32224659552100482</v>
      </c>
      <c r="W34" s="20">
        <f>(E34-H34-D34+G34)*27.211324570273</f>
        <v>-5.5637213008885286E-2</v>
      </c>
      <c r="X34" s="20">
        <f>(P34-O34-K34+J34)/2*27.211324570273</f>
        <v>-0.11953546578247547</v>
      </c>
      <c r="Y34" s="20">
        <f>(N34-M34-L34+J34)*27.211324570273</f>
        <v>-1.7938793011068908</v>
      </c>
      <c r="Z34" s="21">
        <f>(F34+P34-O34-D34-K34+J34-2*C34)*27.211324570273</f>
        <v>-10.339834652490438</v>
      </c>
      <c r="AA34" s="21">
        <f>(S34+F34-I34+P34-O34-Q34-D34+G34-K34+J34-2*C34)*27.211324570273</f>
        <v>-10.052857356803994</v>
      </c>
      <c r="AB34" s="21">
        <f>(E34+N34-M34-D34-L34+J34)*27.211324570273</f>
        <v>-3.8779946499412823</v>
      </c>
      <c r="AC34" s="21">
        <f>(R34+E34-H34+N34-M34-Q34-D34+G34-L34+J34)*27.211324570273</f>
        <v>-3.7591155566910839</v>
      </c>
      <c r="AD34" s="20">
        <v>4.84</v>
      </c>
      <c r="AE34" s="20">
        <v>4.4400000000000004</v>
      </c>
      <c r="AF34" s="21">
        <f>-Z34/2-AE34</f>
        <v>0.72991732624521877</v>
      </c>
      <c r="AG34" s="21">
        <f>-AA34/2-AE34</f>
        <v>0.58642867840199653</v>
      </c>
      <c r="AH34" s="21">
        <f>-AB34-AD34</f>
        <v>-0.96200535005871757</v>
      </c>
      <c r="AI34" s="21">
        <f>-AC34-AD34</f>
        <v>-1.080884443308916</v>
      </c>
      <c r="AJ34" s="22">
        <v>0.57899999999999996</v>
      </c>
      <c r="AK34" s="21">
        <v>-0.98199999999999998</v>
      </c>
      <c r="AL34" s="21">
        <f>AF34+(0.69-AF$7)</f>
        <v>0.61411185529600543</v>
      </c>
      <c r="AM34" s="21">
        <f>AG34+(0.69-AG$7)</f>
        <v>0.6070073376430396</v>
      </c>
      <c r="AN34" s="21">
        <f>AH34+(-0.8815-AH$7)</f>
        <v>-1.0154557534915511</v>
      </c>
      <c r="AO34" s="21">
        <f>AI34+(-0.8815-AI$7)</f>
        <v>-1.0013810006182107</v>
      </c>
      <c r="AP34" s="20">
        <f t="shared" si="1"/>
        <v>3.5111855296005468E-2</v>
      </c>
      <c r="AQ34" s="20">
        <f t="shared" si="2"/>
        <v>2.8007337643039643E-2</v>
      </c>
      <c r="AR34" s="20">
        <f t="shared" si="3"/>
        <v>3.3455753491551166E-2</v>
      </c>
      <c r="AS34" s="20">
        <f t="shared" si="4"/>
        <v>1.9381000618210686E-2</v>
      </c>
    </row>
    <row r="35" spans="1:45" ht="15" customHeight="1" x14ac:dyDescent="0.2">
      <c r="A35" s="26" t="s">
        <v>125</v>
      </c>
      <c r="B35" s="19" t="s">
        <v>33</v>
      </c>
      <c r="C35" s="20">
        <f t="shared" si="0"/>
        <v>-0.42068146923305594</v>
      </c>
      <c r="D35" s="20">
        <v>-538.54507000000001</v>
      </c>
      <c r="E35" s="20">
        <v>-538.60374000000002</v>
      </c>
      <c r="F35" s="20">
        <v>-539.74722999999994</v>
      </c>
      <c r="G35" s="20">
        <v>-538.70627543800003</v>
      </c>
      <c r="H35" s="20">
        <v>-538.76103630800003</v>
      </c>
      <c r="I35" s="20">
        <v>-539.931969761</v>
      </c>
      <c r="J35" s="20">
        <v>-538.4672771104</v>
      </c>
      <c r="K35" s="20">
        <v>-538.47251405229997</v>
      </c>
      <c r="L35" s="20">
        <v>-538.48015005740001</v>
      </c>
      <c r="M35" s="20">
        <v>-538.52743350410003</v>
      </c>
      <c r="N35" s="20">
        <v>-538.60613526530005</v>
      </c>
      <c r="O35" s="20">
        <v>-539.69100352689998</v>
      </c>
      <c r="P35" s="20">
        <v>-539.70498846149997</v>
      </c>
      <c r="Q35" s="20">
        <v>-538.70611070320001</v>
      </c>
      <c r="R35" s="20">
        <v>-538.77615416169999</v>
      </c>
      <c r="S35" s="20">
        <v>-539.93185786519996</v>
      </c>
      <c r="T35" s="20">
        <f>(S35-Q35)/2*27.211324570273</f>
        <v>-16.677101933135791</v>
      </c>
      <c r="U35" s="20">
        <f>(R35-Q35)*27.211324570273</f>
        <v>-1.9059752832674348</v>
      </c>
      <c r="V35" s="20">
        <f>(F35-I35-D35+G35)/2*27.211324570273</f>
        <v>0.32020005084780118</v>
      </c>
      <c r="W35" s="20">
        <f>(E35-H35-D35+G35)*27.211324570273</f>
        <v>-0.1063726052176884</v>
      </c>
      <c r="X35" s="20">
        <f>(P35-O35-K35+J35)/2*27.211324570273</f>
        <v>-0.11902223434935416</v>
      </c>
      <c r="Y35" s="20">
        <f>(N35-M35-L35+J35)*27.211324570273</f>
        <v>-1.7912892292728697</v>
      </c>
      <c r="Z35" s="21">
        <f>(F35+P35-O35-D35-K35+J35-2*C35)*27.211324570273</f>
        <v>-10.055810414093242</v>
      </c>
      <c r="AA35" s="21">
        <f>(S35+F35-I35+P35-O35-Q35-D35+G35-K35+J35-2*C35)*27.211324570273</f>
        <v>-10.057248233277779</v>
      </c>
      <c r="AB35" s="21">
        <f>(E35+N35-M35-D35-L35+J35)*27.211324570273</f>
        <v>-3.387777641810962</v>
      </c>
      <c r="AC35" s="21">
        <f>(R35+E35-H35+N35-M35-Q35-D35+G35-L35+J35)*27.211324570273</f>
        <v>-3.8036371177610864</v>
      </c>
      <c r="AD35" s="20">
        <v>4.84</v>
      </c>
      <c r="AE35" s="20">
        <v>4.4400000000000004</v>
      </c>
      <c r="AF35" s="21">
        <f>-Z35/2-AE35</f>
        <v>0.58790520704662086</v>
      </c>
      <c r="AG35" s="21">
        <f>-AA35/2-AE35</f>
        <v>0.58862411663888903</v>
      </c>
      <c r="AH35" s="21">
        <f>-AB35-AD35</f>
        <v>-1.4522223581890379</v>
      </c>
      <c r="AI35" s="21">
        <f>-AC35-AD35</f>
        <v>-1.0363628822389135</v>
      </c>
      <c r="AJ35" s="22">
        <v>0.57899999999999996</v>
      </c>
      <c r="AK35" s="21">
        <v>-0.98199999999999998</v>
      </c>
      <c r="AL35" s="21">
        <f>AF35+(0.69-AF$8)</f>
        <v>0.60846718438614866</v>
      </c>
      <c r="AM35" s="21">
        <f>AG35+(0.69-AG$8)</f>
        <v>0.60699369932816394</v>
      </c>
      <c r="AN35" s="21">
        <f>AH35+(-0.8815-AH$8)</f>
        <v>-0.94654848906699618</v>
      </c>
      <c r="AO35" s="21">
        <f>AI35+(-0.8815-AI$8)</f>
        <v>-0.99894615034780365</v>
      </c>
      <c r="AP35" s="20">
        <f t="shared" si="1"/>
        <v>2.9467184386148704E-2</v>
      </c>
      <c r="AQ35" s="20">
        <f t="shared" si="2"/>
        <v>2.7993699328163979E-2</v>
      </c>
      <c r="AR35" s="20">
        <f t="shared" si="3"/>
        <v>3.5451510933003805E-2</v>
      </c>
      <c r="AS35" s="20">
        <f t="shared" si="4"/>
        <v>1.6946150347803668E-2</v>
      </c>
    </row>
    <row r="36" spans="1:45" ht="15" customHeight="1" x14ac:dyDescent="0.2">
      <c r="A36" s="26" t="s">
        <v>125</v>
      </c>
      <c r="B36" s="19" t="s">
        <v>174</v>
      </c>
      <c r="C36" s="20">
        <f t="shared" si="0"/>
        <v>-0.42068146923305594</v>
      </c>
      <c r="D36" s="20">
        <v>-538.54489000000001</v>
      </c>
      <c r="E36" s="20">
        <v>-538.61499000000003</v>
      </c>
      <c r="F36" s="20">
        <v>-539.74722999999994</v>
      </c>
      <c r="G36" s="20">
        <v>-538.70636922189999</v>
      </c>
      <c r="H36" s="20">
        <v>-538.77388408870002</v>
      </c>
      <c r="I36" s="20">
        <v>-539.93221954529997</v>
      </c>
      <c r="J36" s="20">
        <v>-538.46726728279998</v>
      </c>
      <c r="K36" s="20">
        <v>-538.47251358539995</v>
      </c>
      <c r="L36" s="20">
        <v>-538.48014387379999</v>
      </c>
      <c r="M36" s="20">
        <v>-538.52755532260005</v>
      </c>
      <c r="N36" s="20">
        <v>-538.60627924760001</v>
      </c>
      <c r="O36" s="20">
        <v>-539.69100479600002</v>
      </c>
      <c r="P36" s="20">
        <v>-539.70498719499994</v>
      </c>
      <c r="Q36" s="20">
        <v>-538.70610992360002</v>
      </c>
      <c r="R36" s="20">
        <v>-538.77621084990005</v>
      </c>
      <c r="S36" s="20">
        <v>-539.93185774120002</v>
      </c>
      <c r="T36" s="20">
        <f>(S36-Q36)/2*27.211324570273</f>
        <v>-16.677110853008625</v>
      </c>
      <c r="U36" s="20">
        <f>(R36-Q36)*27.211324570273</f>
        <v>-1.9075390582268685</v>
      </c>
      <c r="V36" s="20">
        <f>(F36-I36-D36+G36)/2*27.211324570273</f>
        <v>0.31987352039537092</v>
      </c>
      <c r="W36" s="20">
        <f>(E36-H36-D36+G36)*27.211324570273</f>
        <v>-7.0344898562593919E-2</v>
      </c>
      <c r="X36" s="20">
        <f>(P36-O36-K36+J36)/2*27.211324570273</f>
        <v>-0.1188603773082145</v>
      </c>
      <c r="Y36" s="20">
        <f>(N36-M36-L36+J36)*27.211324570273</f>
        <v>-1.7917931775599365</v>
      </c>
      <c r="Z36" s="21">
        <f>(F36+P36-O36-D36-K36+J36-2*C36)*27.211324570273</f>
        <v>-10.060384738433621</v>
      </c>
      <c r="AA36" s="21">
        <f>(S36+F36-I36+P36-O36-Q36-D36+G36-K36+J36-2*C36)*27.211324570273</f>
        <v>-10.057595419842936</v>
      </c>
      <c r="AB36" s="21">
        <f>(E36+N36-M36-D36-L36+J36)*27.211324570273</f>
        <v>-3.6993070299367519</v>
      </c>
      <c r="AC36" s="21">
        <f>(R36+E36-H36+N36-M36-Q36-D36+G36-L36+J36)*27.211324570273</f>
        <v>-3.7696771343493989</v>
      </c>
      <c r="AD36" s="20">
        <v>4.84</v>
      </c>
      <c r="AE36" s="20">
        <v>4.4400000000000004</v>
      </c>
      <c r="AF36" s="21">
        <f>-Z36/2-AE36</f>
        <v>0.59019236921681006</v>
      </c>
      <c r="AG36" s="21">
        <f>-AA36/2-AE36</f>
        <v>0.58879770992146785</v>
      </c>
      <c r="AH36" s="21">
        <f>-AB36-AD36</f>
        <v>-1.140692970063248</v>
      </c>
      <c r="AI36" s="21">
        <f>-AC36-AD36</f>
        <v>-1.070322865650601</v>
      </c>
      <c r="AJ36" s="22">
        <v>0.57899999999999996</v>
      </c>
      <c r="AK36" s="21">
        <v>-0.98199999999999998</v>
      </c>
      <c r="AL36" s="21">
        <f>AF36+(0.69-AF$9)</f>
        <v>0.6057650740067797</v>
      </c>
      <c r="AM36" s="21">
        <f>AG36+(0.69-AG$9)</f>
        <v>0.60642485066883944</v>
      </c>
      <c r="AN36" s="21">
        <f>AH36+(-0.8815-AH$9)</f>
        <v>-1.0145898564879028</v>
      </c>
      <c r="AO36" s="21">
        <f>AI36+(-0.8815-AI$9)</f>
        <v>-0.99240702143107962</v>
      </c>
      <c r="AP36" s="20">
        <f t="shared" si="1"/>
        <v>2.6765074006779743E-2</v>
      </c>
      <c r="AQ36" s="20">
        <f t="shared" si="2"/>
        <v>2.7424850668839484E-2</v>
      </c>
      <c r="AR36" s="20">
        <f t="shared" si="3"/>
        <v>3.2589856487902802E-2</v>
      </c>
      <c r="AS36" s="20">
        <f t="shared" si="4"/>
        <v>1.0407021431079633E-2</v>
      </c>
    </row>
    <row r="37" spans="1:45" ht="15" customHeight="1" x14ac:dyDescent="0.2">
      <c r="A37" s="26" t="s">
        <v>125</v>
      </c>
      <c r="B37" s="19" t="s">
        <v>43</v>
      </c>
      <c r="C37" s="20">
        <f t="shared" si="0"/>
        <v>-0.42068146923305594</v>
      </c>
      <c r="D37" s="20">
        <v>-538.34014000000002</v>
      </c>
      <c r="E37" s="20">
        <v>-538.41673000000003</v>
      </c>
      <c r="F37" s="20">
        <v>-539.55269999999996</v>
      </c>
      <c r="G37" s="20">
        <v>-538.50191516740006</v>
      </c>
      <c r="H37" s="20">
        <v>-538.5764605329</v>
      </c>
      <c r="I37" s="20">
        <v>-539.73815990900005</v>
      </c>
      <c r="J37" s="20">
        <v>-538.4675328948</v>
      </c>
      <c r="K37" s="20">
        <v>-538.47277283179994</v>
      </c>
      <c r="L37" s="20">
        <v>-538.48044986399998</v>
      </c>
      <c r="M37" s="20">
        <v>-538.52777328230002</v>
      </c>
      <c r="N37" s="20">
        <v>-538.60661424930004</v>
      </c>
      <c r="O37" s="20">
        <v>-539.69119151509994</v>
      </c>
      <c r="P37" s="20">
        <v>-539.70521716669998</v>
      </c>
      <c r="Q37" s="20">
        <v>-537.99116261665995</v>
      </c>
      <c r="R37" s="20">
        <v>-538.05815535419902</v>
      </c>
      <c r="S37" s="20">
        <v>-539.22674773999404</v>
      </c>
      <c r="T37" s="20">
        <f>(S37-Q37)/2*27.211324570273</f>
        <v>-16.810953912622359</v>
      </c>
      <c r="U37" s="20">
        <f>(R37-Q37)*27.211324570273</f>
        <v>-1.8229611250266666</v>
      </c>
      <c r="V37" s="20">
        <f>(F37-I37-D37+G37)/2*27.211324570273</f>
        <v>0.32224659552100482</v>
      </c>
      <c r="W37" s="20">
        <f>(E37-H37-D37+G37)*27.211324570273</f>
        <v>-5.5637213008885286E-2</v>
      </c>
      <c r="X37" s="20">
        <f>(P37-O37-K37+J37)/2*27.211324570273</f>
        <v>-0.11953546578247547</v>
      </c>
      <c r="Y37" s="20">
        <f>(N37-M37-L37+J37)*27.211324570273</f>
        <v>-1.7938793011068908</v>
      </c>
      <c r="Z37" s="21">
        <f>(F37+P37-O37-D37-K37+J37-2*C37)*27.211324570273</f>
        <v>-10.339834652490438</v>
      </c>
      <c r="AA37" s="21">
        <f>(S37+F37-I37+P37-O37-Q37-D37+G37-K37+J37-2*C37)*27.211324570273</f>
        <v>-10.321885565764566</v>
      </c>
      <c r="AB37" s="21">
        <f>(E37+N37-M37-D37-L37+J37)*27.211324570273</f>
        <v>-3.8779946499412823</v>
      </c>
      <c r="AC37" s="21">
        <f>(R37+E37-H37+N37-M37-Q37-D37+G37-L37+J37)*27.211324570273</f>
        <v>-3.6724776391455363</v>
      </c>
      <c r="AD37" s="20">
        <v>4.84</v>
      </c>
      <c r="AE37" s="20">
        <v>4.4400000000000004</v>
      </c>
      <c r="AF37" s="21">
        <f>-Z37/2-AE37</f>
        <v>0.72991732624521877</v>
      </c>
      <c r="AG37" s="21">
        <f>-AA37/2-AE37</f>
        <v>0.72094278288228253</v>
      </c>
      <c r="AH37" s="21">
        <f>-AB37-AD37</f>
        <v>-0.96200535005871757</v>
      </c>
      <c r="AI37" s="21">
        <f>-AC37-AD37</f>
        <v>-1.1675223608544636</v>
      </c>
      <c r="AJ37" s="22">
        <v>0.57899999999999996</v>
      </c>
      <c r="AK37" s="21">
        <v>-0.98199999999999998</v>
      </c>
      <c r="AL37" s="21">
        <f>AF37+(0.69-AF$10)</f>
        <v>0.61411185529600543</v>
      </c>
      <c r="AM37" s="21">
        <f>AG37+(0.69-AG$10)</f>
        <v>0.6142804158902142</v>
      </c>
      <c r="AN37" s="21">
        <f>AH37+(-0.8815-AH$10)</f>
        <v>-1.0154557534915511</v>
      </c>
      <c r="AO37" s="21">
        <f>AI37+(-0.8815-AI$10)</f>
        <v>-0.98500424922708918</v>
      </c>
      <c r="AP37" s="20">
        <f t="shared" si="1"/>
        <v>3.5111855296005468E-2</v>
      </c>
      <c r="AQ37" s="20">
        <f t="shared" si="2"/>
        <v>3.5280415890214245E-2</v>
      </c>
      <c r="AR37" s="20">
        <f t="shared" si="3"/>
        <v>3.3455753491551166E-2</v>
      </c>
      <c r="AS37" s="20">
        <f t="shared" si="4"/>
        <v>3.0042492270891952E-3</v>
      </c>
    </row>
    <row r="38" spans="1:45" x14ac:dyDescent="0.2">
      <c r="A38" s="26" t="s">
        <v>126</v>
      </c>
      <c r="B38" s="19" t="s">
        <v>27</v>
      </c>
      <c r="C38" s="20">
        <f t="shared" si="0"/>
        <v>-0.42068146923305594</v>
      </c>
      <c r="D38" s="20">
        <v>-495.59305000000001</v>
      </c>
      <c r="E38" s="20">
        <v>-495.66876000000002</v>
      </c>
      <c r="F38" s="20">
        <v>-496.80561</v>
      </c>
      <c r="G38" s="20">
        <v>-495.67744064499999</v>
      </c>
      <c r="H38" s="20">
        <v>-495.75057024500001</v>
      </c>
      <c r="I38" s="20">
        <v>-496.9131428458</v>
      </c>
      <c r="J38" s="20">
        <v>-495.7681047932</v>
      </c>
      <c r="K38" s="20">
        <v>-495.77993572690002</v>
      </c>
      <c r="L38" s="20">
        <v>-495.78383419990001</v>
      </c>
      <c r="M38" s="20">
        <v>-495.8211531064</v>
      </c>
      <c r="N38" s="20">
        <v>-495.90639999209998</v>
      </c>
      <c r="O38" s="20">
        <v>-496.98658875000001</v>
      </c>
      <c r="P38" s="20">
        <v>-497.00833125619999</v>
      </c>
      <c r="Q38" s="20">
        <v>-496.20996506969999</v>
      </c>
      <c r="R38" s="20">
        <v>-496.28048801310001</v>
      </c>
      <c r="S38" s="20">
        <v>-497.44342478589999</v>
      </c>
      <c r="T38" s="20">
        <f>(S38-Q38)/2*27.211324570273</f>
        <v>-16.782036340937541</v>
      </c>
      <c r="U38" s="20">
        <f>(R38-Q38)*27.211324570273</f>
        <v>-1.9190227025089808</v>
      </c>
      <c r="V38" s="20">
        <f>(F38-I38-D38+G38)/2*27.211324570273</f>
        <v>0.31486496861974506</v>
      </c>
      <c r="W38" s="20">
        <f>(E38-H38-D38+G38)*27.211324570273</f>
        <v>-7.0216101921115368E-2</v>
      </c>
      <c r="X38" s="20">
        <f>(P38-O38-K38+J38)/2*27.211324570273</f>
        <v>-0.13485350814909125</v>
      </c>
      <c r="Y38" s="20">
        <f>(N38-M38-L38+J38)*27.211324570273</f>
        <v>-1.8916626843749271</v>
      </c>
      <c r="Z38" s="21">
        <f>(F38+P38-O38-D38-K38+J38-2*C38)*27.211324570273</f>
        <v>-10.370470737228311</v>
      </c>
      <c r="AA38" s="21">
        <f>(S38+F38-I38+P38-O38-Q38-D38+G38-K38+J38-2*C38)*27.211324570273</f>
        <v>-10.309449760932228</v>
      </c>
      <c r="AB38" s="21">
        <f>(E38+N38-M38-D38-L38+J38)*27.211324570273</f>
        <v>-3.9518320675907055</v>
      </c>
      <c r="AC38" s="21">
        <f>(R38+E38-H38+N38-M38-Q38-D38+G38-L38+J38)*27.211324570273</f>
        <v>-3.8809014888034765</v>
      </c>
      <c r="AD38" s="20">
        <v>4.84</v>
      </c>
      <c r="AE38" s="20">
        <v>4.4400000000000004</v>
      </c>
      <c r="AF38" s="21">
        <f>-Z38/2-AE38</f>
        <v>0.74523536861415529</v>
      </c>
      <c r="AG38" s="21">
        <f>-AA38/2-AE38</f>
        <v>0.71472488046611371</v>
      </c>
      <c r="AH38" s="21">
        <f>-AB38-AD38</f>
        <v>-0.88816793240929437</v>
      </c>
      <c r="AI38" s="21">
        <f>-AC38-AD38</f>
        <v>-0.95909851119652334</v>
      </c>
      <c r="AJ38" s="22">
        <v>0.56999999999999995</v>
      </c>
      <c r="AK38" s="21">
        <v>-0.98</v>
      </c>
      <c r="AL38" s="27">
        <f>AF38+(0.69-AF$2)</f>
        <v>0.56242885864009606</v>
      </c>
      <c r="AM38" s="27">
        <f>AG38+(0.69-AG$2)</f>
        <v>0.5574549047031776</v>
      </c>
      <c r="AN38" s="27">
        <f>AH38+(-0.8815-AH$2)</f>
        <v>-1.0626888795202212</v>
      </c>
      <c r="AO38" s="27">
        <f>AI38+(-0.8815-AI$2)</f>
        <v>-1.0649601434766538</v>
      </c>
      <c r="AP38" s="20">
        <f t="shared" si="1"/>
        <v>7.5711413599038879E-3</v>
      </c>
      <c r="AQ38" s="20">
        <f t="shared" si="2"/>
        <v>1.2545095296822351E-2</v>
      </c>
      <c r="AR38" s="20">
        <f t="shared" si="3"/>
        <v>8.2688879520221192E-2</v>
      </c>
      <c r="AS38" s="20">
        <f t="shared" si="4"/>
        <v>8.4960143476653815E-2</v>
      </c>
    </row>
    <row r="39" spans="1:45" ht="15" customHeight="1" x14ac:dyDescent="0.2">
      <c r="A39" s="26" t="s">
        <v>126</v>
      </c>
      <c r="B39" s="19" t="s">
        <v>145</v>
      </c>
      <c r="C39" s="20">
        <f t="shared" si="0"/>
        <v>-0.42068146923305594</v>
      </c>
      <c r="D39" s="20">
        <v>-495.35059000000001</v>
      </c>
      <c r="E39" s="20">
        <v>-495.42295999999999</v>
      </c>
      <c r="F39" s="20">
        <v>-496.56141000000002</v>
      </c>
      <c r="G39" s="20">
        <v>-495.43656091730003</v>
      </c>
      <c r="H39" s="20">
        <v>-495.50659929929998</v>
      </c>
      <c r="I39" s="20">
        <v>-496.67042023900001</v>
      </c>
      <c r="J39" s="20">
        <v>-495.76847368599999</v>
      </c>
      <c r="K39" s="20">
        <v>-495.77978018419998</v>
      </c>
      <c r="L39" s="20">
        <v>-495.78391675829999</v>
      </c>
      <c r="M39" s="20">
        <v>-495.82153431760003</v>
      </c>
      <c r="N39" s="20">
        <v>-495.90666653210002</v>
      </c>
      <c r="O39" s="20">
        <v>-496.98683893399999</v>
      </c>
      <c r="P39" s="20">
        <v>-497.00818686150001</v>
      </c>
      <c r="Q39" s="20">
        <v>-495.97796372229999</v>
      </c>
      <c r="R39" s="20">
        <v>-496.04684843749999</v>
      </c>
      <c r="S39" s="20">
        <v>-497.21086638999998</v>
      </c>
      <c r="T39" s="20">
        <f>(S39-Q39)/2*27.211324570273</f>
        <v>-16.774457327169916</v>
      </c>
      <c r="U39" s="20">
        <f>(R39-Q39)*27.211324570273</f>
        <v>-1.8744443432380014</v>
      </c>
      <c r="V39" s="20">
        <f>(F39-I39-D39+G39)/2*27.211324570273</f>
        <v>0.31346523032839102</v>
      </c>
      <c r="W39" s="20">
        <f>(E39-H39-D39+G39)*27.211324570273</f>
        <v>-6.344641417265004E-2</v>
      </c>
      <c r="X39" s="20">
        <f>(P39-O39-K39+J39)/2*27.211324570273</f>
        <v>-0.13662029591630004</v>
      </c>
      <c r="Y39" s="20">
        <f>(N39-M39-L39+J39)*27.211324570273</f>
        <v>-1.8963338674278583</v>
      </c>
      <c r="Z39" s="21">
        <f>(F39+P39-O39-D39-K39+J39-2*C39)*27.211324570273</f>
        <v>-10.326656608010891</v>
      </c>
      <c r="AA39" s="21">
        <f>(S39+F39-I39+P39-O39-Q39-D39+G39-K39+J39-2*C39)*27.211324570273</f>
        <v>-10.30062478551565</v>
      </c>
      <c r="AB39" s="21">
        <f>(E39+N39-M39-D39-L39+J39)*27.211324570273</f>
        <v>-3.8656174265794649</v>
      </c>
      <c r="AC39" s="21">
        <f>(R39+E39-H39+N39-M39-Q39-D39+G39-L39+J39)*27.211324570273</f>
        <v>-3.8342246248369629</v>
      </c>
      <c r="AD39" s="20">
        <v>4.84</v>
      </c>
      <c r="AE39" s="20">
        <v>4.4400000000000004</v>
      </c>
      <c r="AF39" s="21">
        <f>-Z39/2-AE39</f>
        <v>0.72332830400544523</v>
      </c>
      <c r="AG39" s="21">
        <f>-AA39/2-AE39</f>
        <v>0.71031239275782454</v>
      </c>
      <c r="AH39" s="21">
        <f>-AB39-AD39</f>
        <v>-0.97438257342053491</v>
      </c>
      <c r="AI39" s="21">
        <f>-AC39-AD39</f>
        <v>-1.0057753751630369</v>
      </c>
      <c r="AJ39" s="22">
        <v>0.56999999999999995</v>
      </c>
      <c r="AK39" s="21">
        <v>-0.98</v>
      </c>
      <c r="AL39" s="27">
        <f>AF39+(0.69-AF$3)</f>
        <v>0.5640464630426707</v>
      </c>
      <c r="AM39" s="27">
        <f>AG39+(0.69-AG$3)</f>
        <v>0.56163220629821486</v>
      </c>
      <c r="AN39" s="27">
        <f>AH39+(-0.8815-AH$3)</f>
        <v>-1.0459773302500035</v>
      </c>
      <c r="AO39" s="27">
        <f>AI39+(-0.8815-AI$3)</f>
        <v>-1.0434699182557829</v>
      </c>
      <c r="AP39" s="20">
        <f t="shared" si="1"/>
        <v>5.9535369573292529E-3</v>
      </c>
      <c r="AQ39" s="20">
        <f t="shared" si="2"/>
        <v>8.3677937017850867E-3</v>
      </c>
      <c r="AR39" s="20">
        <f t="shared" si="3"/>
        <v>6.5977330250003519E-2</v>
      </c>
      <c r="AS39" s="20">
        <f t="shared" si="4"/>
        <v>6.3469918255782964E-2</v>
      </c>
    </row>
    <row r="40" spans="1:45" ht="15" customHeight="1" x14ac:dyDescent="0.2">
      <c r="A40" s="26" t="s">
        <v>126</v>
      </c>
      <c r="B40" s="19" t="s">
        <v>29</v>
      </c>
      <c r="C40" s="20">
        <f t="shared" si="0"/>
        <v>-0.42068146923305594</v>
      </c>
      <c r="D40" s="20">
        <v>-495.72206</v>
      </c>
      <c r="E40" s="20">
        <v>-495.79457000000002</v>
      </c>
      <c r="F40" s="20">
        <v>-496.93941000000001</v>
      </c>
      <c r="G40" s="20">
        <v>-495.80787597950001</v>
      </c>
      <c r="H40" s="20">
        <v>-495.87804347550002</v>
      </c>
      <c r="I40" s="20">
        <v>-497.04837201940001</v>
      </c>
      <c r="J40" s="20">
        <v>-495.76839792549998</v>
      </c>
      <c r="K40" s="20">
        <v>-495.77989863599998</v>
      </c>
      <c r="L40" s="20">
        <v>-495.78395432169998</v>
      </c>
      <c r="M40" s="20">
        <v>-495.82137733230002</v>
      </c>
      <c r="N40" s="20">
        <v>-495.90658961219998</v>
      </c>
      <c r="O40" s="20">
        <v>-496.98672171790002</v>
      </c>
      <c r="P40" s="20">
        <v>-497.00841225379997</v>
      </c>
      <c r="Q40" s="20">
        <v>-496.3340837522</v>
      </c>
      <c r="R40" s="20">
        <v>-496.40149802870002</v>
      </c>
      <c r="S40" s="20">
        <v>-497.5727702392</v>
      </c>
      <c r="T40" s="20">
        <f>(S40-Q40)/2*27.211324570273</f>
        <v>-16.853150019284062</v>
      </c>
      <c r="U40" s="20">
        <f>(R40-Q40)*27.211324570273</f>
        <v>-1.8344317585120895</v>
      </c>
      <c r="V40" s="20">
        <f>(F40-I40-D40+G40)/2*27.211324570273</f>
        <v>0.3149172021174812</v>
      </c>
      <c r="W40" s="20">
        <f>(E40-H40-D40+G40)*27.211324570273</f>
        <v>-6.3742636651489687E-2</v>
      </c>
      <c r="X40" s="20">
        <f>(P40-O40-K40+J40)/2*27.211324570273</f>
        <v>-0.13863932313619776</v>
      </c>
      <c r="Y40" s="20">
        <f>(N40-M40-L40+J40)*27.211324570273</f>
        <v>-1.8954288595889544</v>
      </c>
      <c r="Z40" s="21">
        <f>(F40+P40-O40-D40-K40+J40-2*C40)*27.211324570273</f>
        <v>-10.50838461189606</v>
      </c>
      <c r="AA40" s="21">
        <f>(S40+F40-I40+P40-O40-Q40-D40+G40-K40+J40-2*C40)*27.211324570273</f>
        <v>-10.459144280604008</v>
      </c>
      <c r="AB40" s="21">
        <f>(E40+N40-M40-D40-L40+J40)*27.211324570273</f>
        <v>-3.8685220041785153</v>
      </c>
      <c r="AC40" s="21">
        <f>(R40+E40-H40+N40-M40-Q40-D40+G40-L40+J40)*27.211324570273</f>
        <v>-3.7936032547525333</v>
      </c>
      <c r="AD40" s="20">
        <v>4.84</v>
      </c>
      <c r="AE40" s="20">
        <v>4.4400000000000004</v>
      </c>
      <c r="AF40" s="21">
        <f>-Z40/2-AE40</f>
        <v>0.81419230594802983</v>
      </c>
      <c r="AG40" s="21">
        <f>-AA40/2-AE40</f>
        <v>0.78957214030200351</v>
      </c>
      <c r="AH40" s="21">
        <f>-AB40-AD40</f>
        <v>-0.97147799582148453</v>
      </c>
      <c r="AI40" s="21">
        <f>-AC40-AD40</f>
        <v>-1.0463967452474665</v>
      </c>
      <c r="AJ40" s="22">
        <v>0.56999999999999995</v>
      </c>
      <c r="AK40" s="21">
        <v>-0.98</v>
      </c>
      <c r="AL40" s="21">
        <f>AF40+(0.69-AF$4)</f>
        <v>0.56987161442323098</v>
      </c>
      <c r="AM40" s="21">
        <f>AG40+(0.69-AG$4)</f>
        <v>0.56528589533745111</v>
      </c>
      <c r="AN40" s="21">
        <f>AH40+(-0.8815-AH$4)</f>
        <v>-1.0438019862176202</v>
      </c>
      <c r="AO40" s="21">
        <f>AI40+(-0.8815-AI$4)</f>
        <v>-1.0449842447984969</v>
      </c>
      <c r="AP40" s="20">
        <f t="shared" si="1"/>
        <v>1.2838557676897455E-4</v>
      </c>
      <c r="AQ40" s="20">
        <f t="shared" si="2"/>
        <v>4.7141046625488459E-3</v>
      </c>
      <c r="AR40" s="20">
        <f t="shared" si="3"/>
        <v>6.3801986217620232E-2</v>
      </c>
      <c r="AS40" s="20">
        <f t="shared" si="4"/>
        <v>6.498424479849696E-2</v>
      </c>
    </row>
    <row r="41" spans="1:45" ht="15" customHeight="1" x14ac:dyDescent="0.2">
      <c r="A41" s="26" t="s">
        <v>126</v>
      </c>
      <c r="B41" s="19" t="s">
        <v>30</v>
      </c>
      <c r="C41" s="20">
        <f t="shared" si="0"/>
        <v>-0.42068146923305594</v>
      </c>
      <c r="D41" s="20">
        <v>-495.69396999999998</v>
      </c>
      <c r="E41" s="20">
        <v>-495.76585999999998</v>
      </c>
      <c r="F41" s="20">
        <v>-496.90186999999997</v>
      </c>
      <c r="G41" s="20">
        <v>-495.7791999863</v>
      </c>
      <c r="H41" s="20">
        <v>-495.84873100980002</v>
      </c>
      <c r="I41" s="20">
        <v>-497.01022331640002</v>
      </c>
      <c r="J41" s="20">
        <v>-495.76856783509999</v>
      </c>
      <c r="K41" s="20">
        <v>-495.78003187489998</v>
      </c>
      <c r="L41" s="20">
        <v>-495.78409352770001</v>
      </c>
      <c r="M41" s="20">
        <v>-495.82156627109998</v>
      </c>
      <c r="N41" s="20">
        <v>-495.90672903659998</v>
      </c>
      <c r="O41" s="20">
        <v>-496.98691699990002</v>
      </c>
      <c r="P41" s="20">
        <v>-497.0085251369</v>
      </c>
      <c r="Q41" s="20">
        <v>-496.31748432569998</v>
      </c>
      <c r="R41" s="20">
        <v>-496.38383619140001</v>
      </c>
      <c r="S41" s="20">
        <v>-497.54617771310001</v>
      </c>
      <c r="T41" s="20">
        <f>(S41-Q41)/2*27.211324570273</f>
        <v>-16.717187280945176</v>
      </c>
      <c r="U41" s="20">
        <f>(R41-Q41)*27.211324570273</f>
        <v>-1.8055221534066304</v>
      </c>
      <c r="V41" s="20">
        <f>(F41-I41-D41+G41)/2*27.211324570273</f>
        <v>0.31460822024860663</v>
      </c>
      <c r="W41" s="20">
        <f>(E41-H41-D41+G41)*27.211324570273</f>
        <v>-6.4190875194519686E-2</v>
      </c>
      <c r="X41" s="20">
        <f>(P41-O41-K41+J41)/2*27.211324570273</f>
        <v>-0.13801716069076828</v>
      </c>
      <c r="Y41" s="20">
        <f>(N41-M41-L41+J41)*27.211324570273</f>
        <v>-1.8949169928051057</v>
      </c>
      <c r="Z41" s="21">
        <f>(F41+P41-O41-D41-K41+J41-2*C41)*27.211324570273</f>
        <v>-10.249993269814158</v>
      </c>
      <c r="AA41" s="21">
        <f>(S41+F41-I41+P41-O41-Q41-D41+G41-K41+J41-2*C41)*27.211324570273</f>
        <v>-10.186592442773128</v>
      </c>
      <c r="AB41" s="21">
        <f>(E41+N41-M41-D41-L41+J41)*27.211324570273</f>
        <v>-3.8511391161603825</v>
      </c>
      <c r="AC41" s="21">
        <f>(R41+E41-H41+N41-M41-Q41-D41+G41-L41+J41)*27.211324570273</f>
        <v>-3.764630021404709</v>
      </c>
      <c r="AD41" s="20">
        <v>4.84</v>
      </c>
      <c r="AE41" s="20">
        <v>4.4400000000000004</v>
      </c>
      <c r="AF41" s="21">
        <f>-Z41/2-AE41</f>
        <v>0.68499663490707885</v>
      </c>
      <c r="AG41" s="21">
        <f>-AA41/2-AE41</f>
        <v>0.6532962213865634</v>
      </c>
      <c r="AH41" s="21">
        <f>-AB41-AD41</f>
        <v>-0.98886088383961734</v>
      </c>
      <c r="AI41" s="21">
        <f>-AC41-AD41</f>
        <v>-1.0753699785952908</v>
      </c>
      <c r="AJ41" s="22">
        <v>0.56999999999999995</v>
      </c>
      <c r="AK41" s="21">
        <v>-0.98</v>
      </c>
      <c r="AL41" s="21">
        <f>AF41+(0.69-AF$5)</f>
        <v>0.56919116395786551</v>
      </c>
      <c r="AM41" s="21">
        <f>AG41+(0.69-AG$5)</f>
        <v>0.56463980733346864</v>
      </c>
      <c r="AN41" s="21">
        <f>AH41+(-0.8815-AH$5)</f>
        <v>-1.0423112872724509</v>
      </c>
      <c r="AO41" s="21">
        <f>AI41+(-0.8815-AI$5)</f>
        <v>-1.0434203501132857</v>
      </c>
      <c r="AP41" s="20">
        <f t="shared" si="1"/>
        <v>8.0883604213444205E-4</v>
      </c>
      <c r="AQ41" s="20">
        <f t="shared" si="2"/>
        <v>5.360192666531316E-3</v>
      </c>
      <c r="AR41" s="20">
        <f t="shared" si="3"/>
        <v>6.2311287272450944E-2</v>
      </c>
      <c r="AS41" s="20">
        <f t="shared" si="4"/>
        <v>6.3420350113285728E-2</v>
      </c>
    </row>
    <row r="42" spans="1:45" ht="15" customHeight="1" x14ac:dyDescent="0.2">
      <c r="A42" s="26" t="s">
        <v>126</v>
      </c>
      <c r="B42" s="19" t="s">
        <v>31</v>
      </c>
      <c r="C42" s="20">
        <f t="shared" si="0"/>
        <v>-0.42068146923305594</v>
      </c>
      <c r="D42" s="20">
        <v>-495.72206</v>
      </c>
      <c r="E42" s="20">
        <v>-495.79457000000002</v>
      </c>
      <c r="F42" s="20">
        <v>-496.93941000000001</v>
      </c>
      <c r="G42" s="20">
        <v>-495.80787597950001</v>
      </c>
      <c r="H42" s="20">
        <v>-495.87804347550002</v>
      </c>
      <c r="I42" s="20">
        <v>-497.04837201940001</v>
      </c>
      <c r="J42" s="20">
        <v>-495.76839792549998</v>
      </c>
      <c r="K42" s="20">
        <v>-495.77989863599998</v>
      </c>
      <c r="L42" s="20">
        <v>-495.78395432169998</v>
      </c>
      <c r="M42" s="20">
        <v>-495.82137733230002</v>
      </c>
      <c r="N42" s="20">
        <v>-495.90658961219998</v>
      </c>
      <c r="O42" s="20">
        <v>-496.98672171790002</v>
      </c>
      <c r="P42" s="20">
        <v>-497.00841225379997</v>
      </c>
      <c r="Q42" s="20">
        <v>-496.0247754143</v>
      </c>
      <c r="R42" s="20">
        <v>-496.09044823779999</v>
      </c>
      <c r="S42" s="20">
        <v>-497.25556914369997</v>
      </c>
      <c r="T42" s="20">
        <f>(S42-Q42)/2*27.211324570273</f>
        <v>-16.745763824879766</v>
      </c>
      <c r="U42" s="20">
        <f>(R42-Q42)*27.211324570273</f>
        <v>-1.7870445157046049</v>
      </c>
      <c r="V42" s="20">
        <f>(F42-I42-D42+G42)/2*27.211324570273</f>
        <v>0.3149172021174812</v>
      </c>
      <c r="W42" s="20">
        <f>(E42-H42-D42+G42)*27.211324570273</f>
        <v>-6.3742636651489687E-2</v>
      </c>
      <c r="X42" s="20">
        <f>(P42-O42-K42+J42)/2*27.211324570273</f>
        <v>-0.13863932313619776</v>
      </c>
      <c r="Y42" s="20">
        <f>(N42-M42-L42+J42)*27.211324570273</f>
        <v>-1.8954288595889544</v>
      </c>
      <c r="Z42" s="21">
        <f>(F42+P42-O42-D42-K42+J42-2*C42)*27.211324570273</f>
        <v>-10.50838461189606</v>
      </c>
      <c r="AA42" s="21">
        <f>(S42+F42-I42+P42-O42-Q42-D42+G42-K42+J42-2*C42)*27.211324570273</f>
        <v>-10.244371891796968</v>
      </c>
      <c r="AB42" s="21">
        <f>(E42+N42-M42-D42-L42+J42)*27.211324570273</f>
        <v>-3.8685220041785153</v>
      </c>
      <c r="AC42" s="21">
        <f>(R42+E42-H42+N42-M42-Q42-D42+G42-L42+J42)*27.211324570273</f>
        <v>-3.7462160119481425</v>
      </c>
      <c r="AD42" s="20">
        <v>4.84</v>
      </c>
      <c r="AE42" s="20">
        <v>4.4400000000000004</v>
      </c>
      <c r="AF42" s="21">
        <f>-Z42/2-AE42</f>
        <v>0.81419230594802983</v>
      </c>
      <c r="AG42" s="21">
        <f>-AA42/2-AE42</f>
        <v>0.68218594589848358</v>
      </c>
      <c r="AH42" s="21">
        <f>-AB42-AD42</f>
        <v>-0.97147799582148453</v>
      </c>
      <c r="AI42" s="21">
        <f>-AC42-AD42</f>
        <v>-1.0937839880518574</v>
      </c>
      <c r="AJ42" s="22">
        <v>0.56999999999999995</v>
      </c>
      <c r="AK42" s="21">
        <v>-0.98</v>
      </c>
      <c r="AL42" s="21">
        <f>AF42+(0.69-AF$6)</f>
        <v>0.56987161442323098</v>
      </c>
      <c r="AM42" s="21">
        <f>AG42+(0.69-AG$6)</f>
        <v>0.56579888458816852</v>
      </c>
      <c r="AN42" s="21">
        <f>AH42+(-0.8815-AH$6)</f>
        <v>-1.0438019862176202</v>
      </c>
      <c r="AO42" s="21">
        <f>AI42+(-0.8815-AI$6)</f>
        <v>-1.0421614753192561</v>
      </c>
      <c r="AP42" s="20">
        <f t="shared" si="1"/>
        <v>1.2838557676897455E-4</v>
      </c>
      <c r="AQ42" s="20">
        <f t="shared" si="2"/>
        <v>4.2011154118314353E-3</v>
      </c>
      <c r="AR42" s="20">
        <f t="shared" si="3"/>
        <v>6.3801986217620232E-2</v>
      </c>
      <c r="AS42" s="20">
        <f t="shared" si="4"/>
        <v>6.2161475319256088E-2</v>
      </c>
    </row>
    <row r="43" spans="1:45" ht="15" customHeight="1" x14ac:dyDescent="0.2">
      <c r="A43" s="26" t="s">
        <v>126</v>
      </c>
      <c r="B43" s="19" t="s">
        <v>32</v>
      </c>
      <c r="C43" s="20">
        <f t="shared" si="0"/>
        <v>-0.42068146923305594</v>
      </c>
      <c r="D43" s="20">
        <v>-495.69396999999998</v>
      </c>
      <c r="E43" s="20">
        <v>-495.76585999999998</v>
      </c>
      <c r="F43" s="20">
        <v>-496.90186999999997</v>
      </c>
      <c r="G43" s="20">
        <v>-495.7791999863</v>
      </c>
      <c r="H43" s="20">
        <v>-495.84873100980002</v>
      </c>
      <c r="I43" s="20">
        <v>-497.01022331640002</v>
      </c>
      <c r="J43" s="20">
        <v>-495.76856783509999</v>
      </c>
      <c r="K43" s="20">
        <v>-495.78003187489998</v>
      </c>
      <c r="L43" s="20">
        <v>-495.78409352770001</v>
      </c>
      <c r="M43" s="20">
        <v>-495.82156627109998</v>
      </c>
      <c r="N43" s="20">
        <v>-495.90672903659998</v>
      </c>
      <c r="O43" s="20">
        <v>-496.98691699990002</v>
      </c>
      <c r="P43" s="20">
        <v>-497.0085251369</v>
      </c>
      <c r="Q43" s="20">
        <v>-496.01596710699999</v>
      </c>
      <c r="R43" s="20">
        <v>-496.08067291420002</v>
      </c>
      <c r="S43" s="20">
        <v>-497.23665247510002</v>
      </c>
      <c r="T43" s="20">
        <f>(S43-Q43)/2*27.211324570273</f>
        <v>-16.608232874776423</v>
      </c>
      <c r="U43" s="20">
        <f>(R43-Q43)*27.211324570273</f>
        <v>-1.7607307213014618</v>
      </c>
      <c r="V43" s="20">
        <f>(F43-I43-D43+G43)/2*27.211324570273</f>
        <v>0.31460822024860663</v>
      </c>
      <c r="W43" s="20">
        <f>(E43-H43-D43+G43)*27.211324570273</f>
        <v>-6.4190875194519686E-2</v>
      </c>
      <c r="X43" s="20">
        <f>(P43-O43-K43+J43)/2*27.211324570273</f>
        <v>-0.13801716069076828</v>
      </c>
      <c r="Y43" s="20">
        <f>(N43-M43-L43+J43)*27.211324570273</f>
        <v>-1.8949169928051057</v>
      </c>
      <c r="Z43" s="21">
        <f>(F43+P43-O43-D43-K43+J43-2*C43)*27.211324570273</f>
        <v>-10.249993269814158</v>
      </c>
      <c r="AA43" s="21">
        <f>(S43+F43-I43+P43-O43-Q43-D43+G43-K43+J43-2*C43)*27.211324570273</f>
        <v>-9.9686836304387167</v>
      </c>
      <c r="AB43" s="21">
        <f>(E43+N43-M43-D43-L43+J43)*27.211324570273</f>
        <v>-3.8511391161603825</v>
      </c>
      <c r="AC43" s="21">
        <f>(R43+E43-H43+N43-M43-Q43-D43+G43-L43+J43)*27.211324570273</f>
        <v>-3.7198385893010872</v>
      </c>
      <c r="AD43" s="20">
        <v>4.84</v>
      </c>
      <c r="AE43" s="20">
        <v>4.4400000000000004</v>
      </c>
      <c r="AF43" s="21">
        <f>-Z43/2-AE43</f>
        <v>0.68499663490707885</v>
      </c>
      <c r="AG43" s="21">
        <f>-AA43/2-AE43</f>
        <v>0.54434181521935798</v>
      </c>
      <c r="AH43" s="21">
        <f>-AB43-AD43</f>
        <v>-0.98886088383961734</v>
      </c>
      <c r="AI43" s="21">
        <f>-AC43-AD43</f>
        <v>-1.1201614106989126</v>
      </c>
      <c r="AJ43" s="22">
        <v>0.56999999999999995</v>
      </c>
      <c r="AK43" s="21">
        <v>-0.98</v>
      </c>
      <c r="AL43" s="21">
        <f>AF43+(0.69-AF$7)</f>
        <v>0.56919116395786551</v>
      </c>
      <c r="AM43" s="21">
        <f>AG43+(0.69-AG$7)</f>
        <v>0.56492047446040106</v>
      </c>
      <c r="AN43" s="21">
        <f>AH43+(-0.8815-AH$7)</f>
        <v>-1.0423112872724509</v>
      </c>
      <c r="AO43" s="21">
        <f>AI43+(-0.8815-AI$7)</f>
        <v>-1.0406579680082073</v>
      </c>
      <c r="AP43" s="20">
        <f t="shared" si="1"/>
        <v>8.0883604213444205E-4</v>
      </c>
      <c r="AQ43" s="20">
        <f t="shared" si="2"/>
        <v>5.0795255395988947E-3</v>
      </c>
      <c r="AR43" s="20">
        <f t="shared" si="3"/>
        <v>6.2311287272450944E-2</v>
      </c>
      <c r="AS43" s="20">
        <f t="shared" si="4"/>
        <v>6.065796800820733E-2</v>
      </c>
    </row>
    <row r="44" spans="1:45" ht="15" customHeight="1" x14ac:dyDescent="0.2">
      <c r="A44" s="26" t="s">
        <v>126</v>
      </c>
      <c r="B44" s="19" t="s">
        <v>33</v>
      </c>
      <c r="C44" s="20">
        <f t="shared" si="0"/>
        <v>-0.42068146923305594</v>
      </c>
      <c r="D44" s="20">
        <v>-495.93207999999998</v>
      </c>
      <c r="E44" s="20">
        <v>-495.98451999999997</v>
      </c>
      <c r="F44" s="20">
        <v>-497.12984</v>
      </c>
      <c r="G44" s="20">
        <v>-496.01683900900002</v>
      </c>
      <c r="H44" s="20">
        <v>-496.06582400619999</v>
      </c>
      <c r="I44" s="20">
        <v>-497.23738235100001</v>
      </c>
      <c r="J44" s="20">
        <v>-495.7684609634</v>
      </c>
      <c r="K44" s="20">
        <v>-495.77999902319999</v>
      </c>
      <c r="L44" s="20">
        <v>-495.78398743740001</v>
      </c>
      <c r="M44" s="20">
        <v>-495.82121486739999</v>
      </c>
      <c r="N44" s="20">
        <v>-495.90641402580002</v>
      </c>
      <c r="O44" s="20">
        <v>-496.98687908080001</v>
      </c>
      <c r="P44" s="20">
        <v>-497.00859201230003</v>
      </c>
      <c r="Q44" s="20">
        <v>-496.0164225771</v>
      </c>
      <c r="R44" s="20">
        <v>-496.0809751667</v>
      </c>
      <c r="S44" s="20">
        <v>-497.237165457</v>
      </c>
      <c r="T44" s="20">
        <f>(S44-Q44)/2*27.211324570273</f>
        <v>-16.609015360904362</v>
      </c>
      <c r="U44" s="20">
        <f>(R44-Q44)*27.211324570273</f>
        <v>-1.7565614674571777</v>
      </c>
      <c r="V44" s="20">
        <f>(F44-I44-D44+G44)/2*27.211324570273</f>
        <v>0.30998245697833565</v>
      </c>
      <c r="W44" s="20">
        <f>(E44-H44-D44+G44)*27.211324570273</f>
        <v>-9.4015202582654445E-2</v>
      </c>
      <c r="X44" s="20">
        <f>(P44-O44-K44+J44)/2*27.211324570273</f>
        <v>-0.13843586814520778</v>
      </c>
      <c r="Y44" s="20">
        <f>(N44-M44-L44+J44)*27.211324570273</f>
        <v>-1.8958860288910908</v>
      </c>
      <c r="Z44" s="21">
        <f>(F44+P44-O44-D44-K44+J44-2*C44)*27.211324570273</f>
        <v>-9.9749078535795075</v>
      </c>
      <c r="AA44" s="21">
        <f>(S44+F44-I44+P44-O44-Q44-D44+G44-K44+J44-2*C44)*27.211324570273</f>
        <v>-9.9803375441409248</v>
      </c>
      <c r="AB44" s="21">
        <f>(E44+N44-M44-D44-L44+J44)*27.211324570273</f>
        <v>-3.3228478893559363</v>
      </c>
      <c r="AC44" s="21">
        <f>(R44+E44-H44+N44-M44-Q44-D44+G44-L44+J44)*27.211324570273</f>
        <v>-3.7464626989324694</v>
      </c>
      <c r="AD44" s="20">
        <v>4.84</v>
      </c>
      <c r="AE44" s="20">
        <v>4.4400000000000004</v>
      </c>
      <c r="AF44" s="21">
        <f>-Z44/2-AE44</f>
        <v>0.54745392678975335</v>
      </c>
      <c r="AG44" s="21">
        <f>-AA44/2-AE44</f>
        <v>0.550168772070462</v>
      </c>
      <c r="AH44" s="21">
        <f>-AB44-AD44</f>
        <v>-1.5171521106440635</v>
      </c>
      <c r="AI44" s="21">
        <f>-AC44-AD44</f>
        <v>-1.0935373010675304</v>
      </c>
      <c r="AJ44" s="22">
        <v>0.56999999999999995</v>
      </c>
      <c r="AK44" s="21">
        <v>-0.98</v>
      </c>
      <c r="AL44" s="21">
        <f>AF44+(0.69-AF$8)</f>
        <v>0.56801590412928116</v>
      </c>
      <c r="AM44" s="21">
        <f>AG44+(0.69-AG$8)</f>
        <v>0.56853835475973691</v>
      </c>
      <c r="AN44" s="21">
        <f>AH44+(-0.8815-AH$8)</f>
        <v>-1.0114782415220218</v>
      </c>
      <c r="AO44" s="21">
        <f>AI44+(-0.8815-AI$8)</f>
        <v>-1.0561205691764206</v>
      </c>
      <c r="AP44" s="20">
        <f t="shared" si="1"/>
        <v>1.9840958707187939E-3</v>
      </c>
      <c r="AQ44" s="20">
        <f t="shared" si="2"/>
        <v>1.4616452402630431E-3</v>
      </c>
      <c r="AR44" s="20">
        <f t="shared" si="3"/>
        <v>3.1478241522021833E-2</v>
      </c>
      <c r="AS44" s="20">
        <f t="shared" si="4"/>
        <v>7.6120569176420627E-2</v>
      </c>
    </row>
    <row r="45" spans="1:45" ht="15" customHeight="1" x14ac:dyDescent="0.2">
      <c r="A45" s="26" t="s">
        <v>126</v>
      </c>
      <c r="B45" s="19" t="s">
        <v>174</v>
      </c>
      <c r="C45" s="20">
        <f t="shared" si="0"/>
        <v>-0.42068146923305594</v>
      </c>
      <c r="D45" s="20">
        <v>-495.93171999999998</v>
      </c>
      <c r="E45" s="20">
        <v>-495.99637000000001</v>
      </c>
      <c r="F45" s="20">
        <v>-497.12984999999998</v>
      </c>
      <c r="G45" s="20">
        <v>-496.01661684589999</v>
      </c>
      <c r="H45" s="20">
        <v>-496.0788229913</v>
      </c>
      <c r="I45" s="20">
        <v>-497.2375386951</v>
      </c>
      <c r="J45" s="20">
        <v>-495.76846418820003</v>
      </c>
      <c r="K45" s="20">
        <v>-495.77999827759999</v>
      </c>
      <c r="L45" s="20">
        <v>-495.78398775199997</v>
      </c>
      <c r="M45" s="20">
        <v>-495.82149619540002</v>
      </c>
      <c r="N45" s="20">
        <v>-495.90662180790002</v>
      </c>
      <c r="O45" s="20">
        <v>-496.986885169</v>
      </c>
      <c r="P45" s="20">
        <v>-497.0085895551</v>
      </c>
      <c r="Q45" s="20">
        <v>-496.01642230509998</v>
      </c>
      <c r="R45" s="20">
        <v>-496.08106907920001</v>
      </c>
      <c r="S45" s="20">
        <v>-497.23716533530001</v>
      </c>
      <c r="T45" s="20">
        <f>(S45-Q45)/2*27.211324570273</f>
        <v>-16.609017405835743</v>
      </c>
      <c r="U45" s="20">
        <f>(R45-Q45)*27.211324570273</f>
        <v>-1.7591243524569393</v>
      </c>
      <c r="V45" s="20">
        <f>(F45-I45-D45+G45)/2*27.211324570273</f>
        <v>0.31009820306921065</v>
      </c>
      <c r="W45" s="20">
        <f>(E45-H45-D45+G45)*27.211324570273</f>
        <v>-6.6500520723615869E-2</v>
      </c>
      <c r="X45" s="20">
        <f>(P45-O45-K45+J45)/2*27.211324570273</f>
        <v>-0.13837362224037178</v>
      </c>
      <c r="Y45" s="20">
        <f>(N45-M45-L45+J45)*27.211324570273</f>
        <v>-1.8939639379333451</v>
      </c>
      <c r="Z45" s="21">
        <f>(F45+P45-O45-D45-K45+J45-2*C45)*27.211324570273</f>
        <v>-9.9848515518601655</v>
      </c>
      <c r="AA45" s="21">
        <f>(S45+F45-I45+P45-O45-Q45-D45+G45-K45+J45-2*C45)*27.211324570273</f>
        <v>-9.9799856500169017</v>
      </c>
      <c r="AB45" s="21">
        <f>(E45+N45-M45-D45-L45+J45)*27.211324570273</f>
        <v>-3.6531760714007295</v>
      </c>
      <c r="AC45" s="21">
        <f>(R45+E45-H45+N45-M45-Q45-D45+G45-L45+J45)*27.211324570273</f>
        <v>-3.7195888111169939</v>
      </c>
      <c r="AD45" s="20">
        <v>4.84</v>
      </c>
      <c r="AE45" s="20">
        <v>4.4400000000000004</v>
      </c>
      <c r="AF45" s="21">
        <f>-Z45/2-AE45</f>
        <v>0.55242577593008235</v>
      </c>
      <c r="AG45" s="21">
        <f>-AA45/2-AE45</f>
        <v>0.54999282500845048</v>
      </c>
      <c r="AH45" s="21">
        <f>-AB45-AD45</f>
        <v>-1.1868239285992703</v>
      </c>
      <c r="AI45" s="21">
        <f>-AC45-AD45</f>
        <v>-1.1204111888830059</v>
      </c>
      <c r="AJ45" s="22">
        <v>0.56999999999999995</v>
      </c>
      <c r="AK45" s="21">
        <v>-0.98</v>
      </c>
      <c r="AL45" s="21">
        <f>AF45+(0.69-AF$9)</f>
        <v>0.56799848072005199</v>
      </c>
      <c r="AM45" s="21">
        <f>AG45+(0.69-AG$9)</f>
        <v>0.56761996575582208</v>
      </c>
      <c r="AN45" s="21">
        <f>AH45+(-0.8815-AH$9)</f>
        <v>-1.0607208150239251</v>
      </c>
      <c r="AO45" s="21">
        <f>AI45+(-0.8815-AI$9)</f>
        <v>-1.0424953446634846</v>
      </c>
      <c r="AP45" s="20">
        <f t="shared" si="1"/>
        <v>2.0015192799479609E-3</v>
      </c>
      <c r="AQ45" s="20">
        <f t="shared" si="2"/>
        <v>2.3800342441778755E-3</v>
      </c>
      <c r="AR45" s="20">
        <f t="shared" si="3"/>
        <v>8.0720815023925141E-2</v>
      </c>
      <c r="AS45" s="20">
        <f t="shared" si="4"/>
        <v>6.2495344663484609E-2</v>
      </c>
    </row>
    <row r="46" spans="1:45" ht="15" customHeight="1" x14ac:dyDescent="0.2">
      <c r="A46" s="26" t="s">
        <v>126</v>
      </c>
      <c r="B46" s="19" t="s">
        <v>43</v>
      </c>
      <c r="C46" s="20">
        <f t="shared" si="0"/>
        <v>-0.42068146923305594</v>
      </c>
      <c r="D46" s="20">
        <v>-495.69396999999998</v>
      </c>
      <c r="E46" s="20">
        <v>-495.76585999999998</v>
      </c>
      <c r="F46" s="20">
        <v>-496.90186999999997</v>
      </c>
      <c r="G46" s="20">
        <v>-495.7791999863</v>
      </c>
      <c r="H46" s="20">
        <v>-495.84873100980002</v>
      </c>
      <c r="I46" s="20">
        <v>-497.01022331640002</v>
      </c>
      <c r="J46" s="20">
        <v>-495.76856783509999</v>
      </c>
      <c r="K46" s="20">
        <v>-495.78003187489998</v>
      </c>
      <c r="L46" s="20">
        <v>-495.78409352770001</v>
      </c>
      <c r="M46" s="20">
        <v>-495.82156627109998</v>
      </c>
      <c r="N46" s="20">
        <v>-495.90672903659998</v>
      </c>
      <c r="O46" s="20">
        <v>-496.98691699990002</v>
      </c>
      <c r="P46" s="20">
        <v>-497.0085251369</v>
      </c>
      <c r="Q46" s="20">
        <v>-495.36967931649002</v>
      </c>
      <c r="R46" s="20">
        <v>-495.43149595183502</v>
      </c>
      <c r="S46" s="20">
        <v>-496.60030396531198</v>
      </c>
      <c r="T46" s="20">
        <f>(S46-Q46)/2*27.211324570273</f>
        <v>-16.74346337163627</v>
      </c>
      <c r="U46" s="20">
        <f>(R46-Q46)*27.211324570273</f>
        <v>-1.6821125282149092</v>
      </c>
      <c r="V46" s="20">
        <f>(F46-I46-D46+G46)/2*27.211324570273</f>
        <v>0.31460822024860663</v>
      </c>
      <c r="W46" s="20">
        <f>(E46-H46-D46+G46)*27.211324570273</f>
        <v>-6.4190875194519686E-2</v>
      </c>
      <c r="X46" s="20">
        <f>(P46-O46-K46+J46)/2*27.211324570273</f>
        <v>-0.13801716069076828</v>
      </c>
      <c r="Y46" s="20">
        <f>(N46-M46-L46+J46)*27.211324570273</f>
        <v>-1.8949169928051057</v>
      </c>
      <c r="Z46" s="21">
        <f>(F46+P46-O46-D46-K46+J46-2*C46)*27.211324570273</f>
        <v>-10.249993269814158</v>
      </c>
      <c r="AA46" s="21">
        <f>(S46+F46-I46+P46-O46-Q46-D46+G46-K46+J46-2*C46)*27.211324570273</f>
        <v>-10.239144624155319</v>
      </c>
      <c r="AB46" s="21">
        <f>(E46+N46-M46-D46-L46+J46)*27.211324570273</f>
        <v>-3.8511391161603825</v>
      </c>
      <c r="AC46" s="21">
        <f>(R46+E46-H46+N46-M46-Q46-D46+G46-L46+J46)*27.211324570273</f>
        <v>-3.6412203962145346</v>
      </c>
      <c r="AD46" s="20">
        <v>4.84</v>
      </c>
      <c r="AE46" s="20">
        <v>4.4400000000000004</v>
      </c>
      <c r="AF46" s="21">
        <f>-Z46/2-AE46</f>
        <v>0.68499663490707885</v>
      </c>
      <c r="AG46" s="21">
        <f>-AA46/2-AE46</f>
        <v>0.67957231207765911</v>
      </c>
      <c r="AH46" s="21">
        <f>-AB46-AD46</f>
        <v>-0.98886088383961734</v>
      </c>
      <c r="AI46" s="21">
        <f>-AC46-AD46</f>
        <v>-1.1987796037854652</v>
      </c>
      <c r="AJ46" s="22">
        <v>0.56999999999999995</v>
      </c>
      <c r="AK46" s="21">
        <v>-0.98</v>
      </c>
      <c r="AL46" s="21">
        <f>AF46+(0.69-AF$10)</f>
        <v>0.56919116395786551</v>
      </c>
      <c r="AM46" s="21">
        <f>AG46+(0.69-AG$10)</f>
        <v>0.57290994508559079</v>
      </c>
      <c r="AN46" s="21">
        <f>AH46+(-0.8815-AH$10)</f>
        <v>-1.0423112872724509</v>
      </c>
      <c r="AO46" s="21">
        <f>AI46+(-0.8815-AI$10)</f>
        <v>-1.0162614921580908</v>
      </c>
      <c r="AP46" s="20">
        <f t="shared" si="1"/>
        <v>8.0883604213444205E-4</v>
      </c>
      <c r="AQ46" s="20">
        <f t="shared" si="2"/>
        <v>2.9099450855908371E-3</v>
      </c>
      <c r="AR46" s="20">
        <f t="shared" si="3"/>
        <v>6.2311287272450944E-2</v>
      </c>
      <c r="AS46" s="20">
        <f t="shared" si="4"/>
        <v>3.6261492158090824E-2</v>
      </c>
    </row>
    <row r="47" spans="1:45" x14ac:dyDescent="0.2">
      <c r="A47" s="26" t="s">
        <v>127</v>
      </c>
      <c r="B47" s="19" t="s">
        <v>27</v>
      </c>
      <c r="C47" s="20">
        <f t="shared" si="0"/>
        <v>-0.42068146923305594</v>
      </c>
      <c r="D47" s="20">
        <v>-459.71519000000001</v>
      </c>
      <c r="E47" s="20">
        <v>-459.79140999999998</v>
      </c>
      <c r="F47" s="20">
        <v>-460.93045000000001</v>
      </c>
      <c r="G47" s="20">
        <v>-459.82181444669999</v>
      </c>
      <c r="H47" s="20">
        <v>-459.895385379</v>
      </c>
      <c r="I47" s="20">
        <v>-461.05959169049999</v>
      </c>
      <c r="J47" s="20">
        <v>-459.88998102149998</v>
      </c>
      <c r="K47" s="20">
        <v>-459.89781246410001</v>
      </c>
      <c r="L47" s="20">
        <v>-459.90339840799999</v>
      </c>
      <c r="M47" s="20">
        <v>-459.94419316279999</v>
      </c>
      <c r="N47" s="20">
        <v>-460.02606892969999</v>
      </c>
      <c r="O47" s="20">
        <v>-461.11067370680001</v>
      </c>
      <c r="P47" s="20">
        <v>-461.12681609660001</v>
      </c>
      <c r="Q47" s="20">
        <v>-460.31062016969997</v>
      </c>
      <c r="R47" s="20">
        <v>-460.38151060849998</v>
      </c>
      <c r="S47" s="20">
        <v>-461.54634376370001</v>
      </c>
      <c r="T47" s="20">
        <f>(S47-Q47)/2*27.211324570273</f>
        <v>-16.812837897739605</v>
      </c>
      <c r="U47" s="20">
        <f>(R47-Q47)*27.211324570273</f>
        <v>-1.9290227391160499</v>
      </c>
      <c r="V47" s="20">
        <f>(F47-I47-D47+G47)/2*27.211324570273</f>
        <v>0.30636201473482744</v>
      </c>
      <c r="W47" s="20">
        <f>(E47-H47-D47+G47)*27.211324570273</f>
        <v>-7.2084640992316235E-2</v>
      </c>
      <c r="X47" s="20">
        <f>(P47-O47-K47+J47)/2*27.211324570273</f>
        <v>-0.11307594087224532</v>
      </c>
      <c r="Y47" s="20">
        <f>(N47-M47-L47+J47)*27.211324570273</f>
        <v>-1.8628432086193034</v>
      </c>
      <c r="Z47" s="21">
        <f>(F47+P47-O47-D47-K47+J47-2*C47)*27.211324570273</f>
        <v>-10.400386179012928</v>
      </c>
      <c r="AA47" s="21">
        <f>(S47+F47-I47+P47-O47-Q47-D47+G47-K47+J47-2*C47)*27.211324570273</f>
        <v>-10.3445036477525</v>
      </c>
      <c r="AB47" s="21">
        <f>(E47+N47-M47-D47-L47+J47)*27.211324570273</f>
        <v>-3.9368903673649118</v>
      </c>
      <c r="AC47" s="21">
        <f>(R47+E47-H47+N47-M47-Q47-D47+G47-L47+J47)*27.211324570273</f>
        <v>-3.8639505887276697</v>
      </c>
      <c r="AD47" s="20">
        <v>4.84</v>
      </c>
      <c r="AE47" s="20">
        <v>4.4400000000000004</v>
      </c>
      <c r="AF47" s="21">
        <f>-Z47/2-AE47</f>
        <v>0.76019308950646369</v>
      </c>
      <c r="AG47" s="21">
        <f>-AA47/2-AE47</f>
        <v>0.73225182387624965</v>
      </c>
      <c r="AH47" s="21">
        <f>-AB47-AD47</f>
        <v>-0.90310963263508803</v>
      </c>
      <c r="AI47" s="21">
        <f>-AC47-AD47</f>
        <v>-0.97604941127233014</v>
      </c>
      <c r="AJ47" s="22">
        <v>0.54649999999999999</v>
      </c>
      <c r="AK47" s="21">
        <v>-1.0345</v>
      </c>
      <c r="AL47" s="27">
        <f>AF47+(0.69-AF$2)</f>
        <v>0.57738657953240446</v>
      </c>
      <c r="AM47" s="27">
        <f>AG47+(0.69-AG$2)</f>
        <v>0.57498184811331354</v>
      </c>
      <c r="AN47" s="27">
        <f>AH47+(-0.8815-AH$2)</f>
        <v>-1.0776305797460148</v>
      </c>
      <c r="AO47" s="27">
        <f>AI47+(-0.8815-AI$2)</f>
        <v>-1.0819110435524606</v>
      </c>
      <c r="AP47" s="20">
        <f t="shared" si="1"/>
        <v>3.0886579532404479E-2</v>
      </c>
      <c r="AQ47" s="20">
        <f t="shared" si="2"/>
        <v>2.8481848113313557E-2</v>
      </c>
      <c r="AR47" s="20">
        <f t="shared" si="3"/>
        <v>4.3130579746014863E-2</v>
      </c>
      <c r="AS47" s="20">
        <f t="shared" si="4"/>
        <v>4.7411043552460619E-2</v>
      </c>
    </row>
    <row r="48" spans="1:45" ht="15" customHeight="1" x14ac:dyDescent="0.2">
      <c r="A48" s="26" t="s">
        <v>127</v>
      </c>
      <c r="B48" s="19" t="s">
        <v>145</v>
      </c>
      <c r="C48" s="20">
        <f t="shared" si="0"/>
        <v>-0.42068146923305594</v>
      </c>
      <c r="D48" s="20">
        <v>-459.47172999999998</v>
      </c>
      <c r="E48" s="20">
        <v>-459.54446000000002</v>
      </c>
      <c r="F48" s="20">
        <v>-460.68508000000003</v>
      </c>
      <c r="G48" s="20">
        <v>-459.57990671070002</v>
      </c>
      <c r="H48" s="20">
        <v>-459.65013525289999</v>
      </c>
      <c r="I48" s="20">
        <v>-460.81580469350001</v>
      </c>
      <c r="J48" s="20">
        <v>-459.8902706348</v>
      </c>
      <c r="K48" s="20">
        <v>-459.8976776376</v>
      </c>
      <c r="L48" s="20">
        <v>-459.90346046100001</v>
      </c>
      <c r="M48" s="20">
        <v>-459.94455977259997</v>
      </c>
      <c r="N48" s="20">
        <v>-460.02623945419998</v>
      </c>
      <c r="O48" s="20">
        <v>-461.11087332580001</v>
      </c>
      <c r="P48" s="20">
        <v>-461.126744761</v>
      </c>
      <c r="Q48" s="20">
        <v>-460.07819463060002</v>
      </c>
      <c r="R48" s="20">
        <v>-460.14715427959999</v>
      </c>
      <c r="S48" s="20">
        <v>-461.3131269607</v>
      </c>
      <c r="T48" s="20">
        <f>(S48-Q48)/2*27.211324570273</f>
        <v>-16.802072228337035</v>
      </c>
      <c r="U48" s="20">
        <f>(R48-Q48)*27.211324570273</f>
        <v>-1.876483391190134</v>
      </c>
      <c r="V48" s="20">
        <f>(F48-I48-D48+G48)/2*27.211324570273</f>
        <v>0.30678023918717662</v>
      </c>
      <c r="W48" s="20">
        <f>(E48-H48-D48+G48)*27.211324570273</f>
        <v>-6.8067980096411268E-2</v>
      </c>
      <c r="X48" s="20">
        <f>(P48-O48-K48+J48)/2*27.211324570273</f>
        <v>-0.11516420866962618</v>
      </c>
      <c r="Y48" s="20">
        <f>(N48-M48-L48+J48)*27.211324570273</f>
        <v>-1.8636996850605425</v>
      </c>
      <c r="Z48" s="21">
        <f>(F48+P48-O48-D48-K48+J48-2*C48)*27.211324570273</f>
        <v>-10.352589084681306</v>
      </c>
      <c r="AA48" s="21">
        <f>(S48+F48-I48+P48-O48-Q48-D48+G48-K48+J48-2*C48)*27.211324570273</f>
        <v>-10.326312395637423</v>
      </c>
      <c r="AB48" s="21">
        <f>(E48+N48-M48-D48-L48+J48)*27.211324570273</f>
        <v>-3.8427793210559167</v>
      </c>
      <c r="AC48" s="21">
        <f>(R48+E48-H48+N48-M48-Q48-D48+G48-L48+J48)*27.211324570273</f>
        <v>-3.8082510563470877</v>
      </c>
      <c r="AD48" s="20">
        <v>4.84</v>
      </c>
      <c r="AE48" s="20">
        <v>4.4400000000000004</v>
      </c>
      <c r="AF48" s="21">
        <f>-Z48/2-AE48</f>
        <v>0.73629454234065239</v>
      </c>
      <c r="AG48" s="21">
        <f>-AA48/2-AE48</f>
        <v>0.7231561978187111</v>
      </c>
      <c r="AH48" s="21">
        <f>-AB48-AD48</f>
        <v>-0.99722067894408317</v>
      </c>
      <c r="AI48" s="21">
        <f>-AC48-AD48</f>
        <v>-1.0317489436529121</v>
      </c>
      <c r="AJ48" s="22">
        <v>0.54649999999999999</v>
      </c>
      <c r="AK48" s="21">
        <v>-1.0345</v>
      </c>
      <c r="AL48" s="27">
        <f>AF48+(0.69-AF$3)</f>
        <v>0.57701270137787786</v>
      </c>
      <c r="AM48" s="27">
        <f>AG48+(0.69-AG$3)</f>
        <v>0.57447601135910142</v>
      </c>
      <c r="AN48" s="27">
        <f>AH48+(-0.8815-AH$3)</f>
        <v>-1.0688154357735518</v>
      </c>
      <c r="AO48" s="27">
        <f>AI48+(-0.8815-AI$3)</f>
        <v>-1.0694434867456581</v>
      </c>
      <c r="AP48" s="20">
        <f t="shared" si="1"/>
        <v>3.0512701377877871E-2</v>
      </c>
      <c r="AQ48" s="20">
        <f t="shared" si="2"/>
        <v>2.7976011359101438E-2</v>
      </c>
      <c r="AR48" s="20">
        <f t="shared" si="3"/>
        <v>3.4315435773551783E-2</v>
      </c>
      <c r="AS48" s="20">
        <f t="shared" si="4"/>
        <v>3.494348674565817E-2</v>
      </c>
    </row>
    <row r="49" spans="1:45" ht="15" customHeight="1" x14ac:dyDescent="0.2">
      <c r="A49" s="26" t="s">
        <v>127</v>
      </c>
      <c r="B49" s="19" t="s">
        <v>29</v>
      </c>
      <c r="C49" s="20">
        <f t="shared" si="0"/>
        <v>-0.42068146923305594</v>
      </c>
      <c r="D49" s="20">
        <v>-459.85669999999999</v>
      </c>
      <c r="E49" s="20">
        <v>-459.92950000000002</v>
      </c>
      <c r="F49" s="20">
        <v>-461.07666</v>
      </c>
      <c r="G49" s="20">
        <v>-459.965069744</v>
      </c>
      <c r="H49" s="20">
        <v>-460.03537019740003</v>
      </c>
      <c r="I49" s="20">
        <v>-461.2076201484</v>
      </c>
      <c r="J49" s="20">
        <v>-459.89019172019999</v>
      </c>
      <c r="K49" s="20">
        <v>-459.8977377169</v>
      </c>
      <c r="L49" s="20">
        <v>-459.9034773345</v>
      </c>
      <c r="M49" s="20">
        <v>-459.94437169470001</v>
      </c>
      <c r="N49" s="20">
        <v>-460.02617512950002</v>
      </c>
      <c r="O49" s="20">
        <v>-461.11074610399999</v>
      </c>
      <c r="P49" s="20">
        <v>-461.12682183530001</v>
      </c>
      <c r="Q49" s="20">
        <v>-460.44644154029999</v>
      </c>
      <c r="R49" s="20">
        <v>-460.51394213980001</v>
      </c>
      <c r="S49" s="20">
        <v>-461.68733926089999</v>
      </c>
      <c r="T49" s="20">
        <f>(S49-Q49)/2*27.211324570273</f>
        <v>-16.883235316879311</v>
      </c>
      <c r="U49" s="20">
        <f>(R49-Q49)*27.211324570273</f>
        <v>-1.8367807216831049</v>
      </c>
      <c r="V49" s="20">
        <f>(F49-I49-D49+G49)/2*27.211324570273</f>
        <v>0.3073574131507571</v>
      </c>
      <c r="W49" s="20">
        <f>(E49-H49-D49+G49)*27.211324570273</f>
        <v>-6.8015973811296412E-2</v>
      </c>
      <c r="X49" s="20">
        <f>(P49-O49-K49+J49)/2*27.211324570273</f>
        <v>-0.11605268834968185</v>
      </c>
      <c r="Y49" s="20">
        <f>(N49-M49-L49+J49)*27.211324570273</f>
        <v>-1.8644606524733589</v>
      </c>
      <c r="Z49" s="21">
        <f>(F49+P49-O49-D49-K49+J49-2*C49)*27.211324570273</f>
        <v>-10.534232899448462</v>
      </c>
      <c r="AA49" s="21">
        <f>(S49+F49-I49+P49-O49-Q49-D49+G49-K49+J49-2*C49)*27.211324570273</f>
        <v>-10.489261184154929</v>
      </c>
      <c r="AB49" s="21">
        <f>(E49+N49-M49-D49-L49+J49)*27.211324570273</f>
        <v>-3.84544508119003</v>
      </c>
      <c r="AC49" s="21">
        <f>(R49+E49-H49+N49-M49-Q49-D49+G49-L49+J49)*27.211324570273</f>
        <v>-3.7692573479677605</v>
      </c>
      <c r="AD49" s="20">
        <v>4.84</v>
      </c>
      <c r="AE49" s="20">
        <v>4.4400000000000004</v>
      </c>
      <c r="AF49" s="21">
        <f>-Z49/2-AE49</f>
        <v>0.82711644972423048</v>
      </c>
      <c r="AG49" s="21">
        <f>-AA49/2-AE49</f>
        <v>0.8046305920774639</v>
      </c>
      <c r="AH49" s="21">
        <f>-AB49-AD49</f>
        <v>-0.99455491880996982</v>
      </c>
      <c r="AI49" s="21">
        <f>-AC49-AD49</f>
        <v>-1.0707426520322394</v>
      </c>
      <c r="AJ49" s="22">
        <v>0.54649999999999999</v>
      </c>
      <c r="AK49" s="21">
        <v>-1.0345</v>
      </c>
      <c r="AL49" s="21">
        <f>AF49+(0.69-AF$4)</f>
        <v>0.58279575819943163</v>
      </c>
      <c r="AM49" s="21">
        <f>AG49+(0.69-AG$4)</f>
        <v>0.5803443471129115</v>
      </c>
      <c r="AN49" s="21">
        <f>AH49+(-0.8815-AH$4)</f>
        <v>-1.0668789092061055</v>
      </c>
      <c r="AO49" s="21">
        <f>AI49+(-0.8815-AI$4)</f>
        <v>-1.0693301515832698</v>
      </c>
      <c r="AP49" s="20">
        <f t="shared" si="1"/>
        <v>3.6295758199431649E-2</v>
      </c>
      <c r="AQ49" s="20">
        <f t="shared" si="2"/>
        <v>3.384434711291151E-2</v>
      </c>
      <c r="AR49" s="20">
        <f t="shared" si="3"/>
        <v>3.2378909206105533E-2</v>
      </c>
      <c r="AS49" s="20">
        <f t="shared" si="4"/>
        <v>3.4830151583269853E-2</v>
      </c>
    </row>
    <row r="50" spans="1:45" ht="15" customHeight="1" x14ac:dyDescent="0.2">
      <c r="A50" s="26" t="s">
        <v>127</v>
      </c>
      <c r="B50" s="19" t="s">
        <v>30</v>
      </c>
      <c r="C50" s="20">
        <f t="shared" si="0"/>
        <v>-0.42068146923305594</v>
      </c>
      <c r="D50" s="20">
        <v>-459.80633999999998</v>
      </c>
      <c r="E50" s="20">
        <v>-459.87840999999997</v>
      </c>
      <c r="F50" s="20">
        <v>-461.01690000000002</v>
      </c>
      <c r="G50" s="20">
        <v>-459.9138536159</v>
      </c>
      <c r="H50" s="20">
        <v>-459.98344977570002</v>
      </c>
      <c r="I50" s="20">
        <v>-461.14698052249997</v>
      </c>
      <c r="J50" s="20">
        <v>-459.8903538587</v>
      </c>
      <c r="K50" s="20">
        <v>-459.89788487290002</v>
      </c>
      <c r="L50" s="20">
        <v>-459.903614613</v>
      </c>
      <c r="M50" s="20">
        <v>-459.9445666254</v>
      </c>
      <c r="N50" s="20">
        <v>-460.02634153140002</v>
      </c>
      <c r="O50" s="20">
        <v>-461.11094218070002</v>
      </c>
      <c r="P50" s="20">
        <v>-461.12695404649997</v>
      </c>
      <c r="Q50" s="20">
        <v>-460.40773782920002</v>
      </c>
      <c r="R50" s="20">
        <v>-460.47423281919998</v>
      </c>
      <c r="S50" s="20">
        <v>-461.63874989279998</v>
      </c>
      <c r="T50" s="20">
        <f>(S50-Q50)/2*27.211324570273</f>
        <v>-16.748734406270064</v>
      </c>
      <c r="U50" s="20">
        <f>(R50-Q50)*27.211324570273</f>
        <v>-1.809416755186158</v>
      </c>
      <c r="V50" s="20">
        <f>(F50-I50-D50+G50)/2*27.211324570273</f>
        <v>0.30703771001892133</v>
      </c>
      <c r="W50" s="20">
        <f>(E50-H50-D50+G50)*27.211324570273</f>
        <v>-6.7316468616330158E-2</v>
      </c>
      <c r="X50" s="20">
        <f>(P50-O50-K50+J50)/2*27.211324570273</f>
        <v>-0.1153876027589672</v>
      </c>
      <c r="Y50" s="20">
        <f>(N50-M50-L50+J50)*27.211324570273</f>
        <v>-1.8643608195660226</v>
      </c>
      <c r="Z50" s="21">
        <f>(F50+P50-O50-D50-K50+J50-2*C50)*27.211324570273</f>
        <v>-10.277116277308803</v>
      </c>
      <c r="AA50" s="21">
        <f>(S50+F50-I50+P50-O50-Q50-D50+G50-K50+J50-2*C50)*27.211324570273</f>
        <v>-10.219568598021764</v>
      </c>
      <c r="AB50" s="21">
        <f>(E50+N50-M50-D50-L50+J50)*27.211324570273</f>
        <v>-3.8254809813470501</v>
      </c>
      <c r="AC50" s="21">
        <f>(R50+E50-H50+N50-M50-Q50-D50+G50-L50+J50)*27.211324570273</f>
        <v>-3.7410940433669642</v>
      </c>
      <c r="AD50" s="20">
        <v>4.84</v>
      </c>
      <c r="AE50" s="20">
        <v>4.4400000000000004</v>
      </c>
      <c r="AF50" s="21">
        <f>-Z50/2-AE50</f>
        <v>0.69855813865440108</v>
      </c>
      <c r="AG50" s="21">
        <f>-AA50/2-AE50</f>
        <v>0.66978429901088177</v>
      </c>
      <c r="AH50" s="21">
        <f>-AB50-AD50</f>
        <v>-1.0145190186529498</v>
      </c>
      <c r="AI50" s="21">
        <f>-AC50-AD50</f>
        <v>-1.0989059566330357</v>
      </c>
      <c r="AJ50" s="22">
        <v>0.54649999999999999</v>
      </c>
      <c r="AK50" s="21">
        <v>-1.0345</v>
      </c>
      <c r="AL50" s="21">
        <f>AF50+(0.69-AF$5)</f>
        <v>0.58275266770518774</v>
      </c>
      <c r="AM50" s="21">
        <f>AG50+(0.69-AG$5)</f>
        <v>0.581127884957787</v>
      </c>
      <c r="AN50" s="21">
        <f>AH50+(-0.8815-AH$5)</f>
        <v>-1.0679694220857834</v>
      </c>
      <c r="AO50" s="21">
        <f>AI50+(-0.8815-AI$5)</f>
        <v>-1.0669563281510306</v>
      </c>
      <c r="AP50" s="20">
        <f t="shared" si="1"/>
        <v>3.6252667705187758E-2</v>
      </c>
      <c r="AQ50" s="20">
        <f t="shared" si="2"/>
        <v>3.4627884957787014E-2</v>
      </c>
      <c r="AR50" s="20">
        <f t="shared" si="3"/>
        <v>3.3469422085783407E-2</v>
      </c>
      <c r="AS50" s="20">
        <f t="shared" si="4"/>
        <v>3.2456328151030611E-2</v>
      </c>
    </row>
    <row r="51" spans="1:45" ht="15" customHeight="1" x14ac:dyDescent="0.2">
      <c r="A51" s="26" t="s">
        <v>127</v>
      </c>
      <c r="B51" s="19" t="s">
        <v>31</v>
      </c>
      <c r="C51" s="20">
        <f t="shared" si="0"/>
        <v>-0.42068146923305594</v>
      </c>
      <c r="D51" s="20">
        <v>-459.85669999999999</v>
      </c>
      <c r="E51" s="20">
        <v>-459.92950000000002</v>
      </c>
      <c r="F51" s="20">
        <v>-461.07666</v>
      </c>
      <c r="G51" s="20">
        <v>-459.965069744</v>
      </c>
      <c r="H51" s="20">
        <v>-460.03537019740003</v>
      </c>
      <c r="I51" s="20">
        <v>-461.2076201484</v>
      </c>
      <c r="J51" s="20">
        <v>-459.89019172019999</v>
      </c>
      <c r="K51" s="20">
        <v>-459.8977377169</v>
      </c>
      <c r="L51" s="20">
        <v>-459.9034773345</v>
      </c>
      <c r="M51" s="20">
        <v>-459.94437169470001</v>
      </c>
      <c r="N51" s="20">
        <v>-460.02617512950002</v>
      </c>
      <c r="O51" s="20">
        <v>-461.11074610399999</v>
      </c>
      <c r="P51" s="20">
        <v>-461.12682183530001</v>
      </c>
      <c r="Q51" s="20">
        <v>-460.13497487299998</v>
      </c>
      <c r="R51" s="20">
        <v>-460.2008459118</v>
      </c>
      <c r="S51" s="20">
        <v>-461.36789735830001</v>
      </c>
      <c r="T51" s="20">
        <f>(S51-Q51)/2*27.211324570273</f>
        <v>-16.774726958743472</v>
      </c>
      <c r="U51" s="20">
        <f>(R51-Q51)*27.211324570273</f>
        <v>-1.7924382165685502</v>
      </c>
      <c r="V51" s="20">
        <f>(F51-I51-D51+G51)/2*27.211324570273</f>
        <v>0.3073574131507571</v>
      </c>
      <c r="W51" s="20">
        <f>(E51-H51-D51+G51)*27.211324570273</f>
        <v>-6.8015973811296412E-2</v>
      </c>
      <c r="X51" s="20">
        <f>(P51-O51-K51+J51)/2*27.211324570273</f>
        <v>-0.11605268834968185</v>
      </c>
      <c r="Y51" s="20">
        <f>(N51-M51-L51+J51)*27.211324570273</f>
        <v>-1.8644606524733589</v>
      </c>
      <c r="Z51" s="21">
        <f>(F51+P51-O51-D51-K51+J51-2*C51)*27.211324570273</f>
        <v>-10.534232899448462</v>
      </c>
      <c r="AA51" s="21">
        <f>(S51+F51-I51+P51-O51-Q51-D51+G51-K51+J51-2*C51)*27.211324570273</f>
        <v>-10.272244467884795</v>
      </c>
      <c r="AB51" s="21">
        <f>(E51+N51-M51-D51-L51+J51)*27.211324570273</f>
        <v>-3.84544508119003</v>
      </c>
      <c r="AC51" s="21">
        <f>(R51+E51-H51+N51-M51-Q51-D51+G51-L51+J51)*27.211324570273</f>
        <v>-3.7249148428547523</v>
      </c>
      <c r="AD51" s="20">
        <v>4.84</v>
      </c>
      <c r="AE51" s="20">
        <v>4.4400000000000004</v>
      </c>
      <c r="AF51" s="21">
        <f>-Z51/2-AE51</f>
        <v>0.82711644972423048</v>
      </c>
      <c r="AG51" s="21">
        <f>-AA51/2-AE51</f>
        <v>0.69612223394239692</v>
      </c>
      <c r="AH51" s="21">
        <f>-AB51-AD51</f>
        <v>-0.99455491880996982</v>
      </c>
      <c r="AI51" s="21">
        <f>-AC51-AD51</f>
        <v>-1.1150851571452476</v>
      </c>
      <c r="AJ51" s="22">
        <v>0.54649999999999999</v>
      </c>
      <c r="AK51" s="21">
        <v>-1.0345</v>
      </c>
      <c r="AL51" s="21">
        <f>AF51+(0.69-AF$6)</f>
        <v>0.58279575819943163</v>
      </c>
      <c r="AM51" s="21">
        <f>AG51+(0.69-AG$6)</f>
        <v>0.57973517263208185</v>
      </c>
      <c r="AN51" s="21">
        <f>AH51+(-0.8815-AH$6)</f>
        <v>-1.0668789092061055</v>
      </c>
      <c r="AO51" s="21">
        <f>AI51+(-0.8815-AI$6)</f>
        <v>-1.0634626444126463</v>
      </c>
      <c r="AP51" s="20">
        <f t="shared" si="1"/>
        <v>3.6295758199431649E-2</v>
      </c>
      <c r="AQ51" s="20">
        <f t="shared" si="2"/>
        <v>3.3235172632081866E-2</v>
      </c>
      <c r="AR51" s="20">
        <f t="shared" si="3"/>
        <v>3.2378909206105533E-2</v>
      </c>
      <c r="AS51" s="20">
        <f t="shared" si="4"/>
        <v>2.8962644412646288E-2</v>
      </c>
    </row>
    <row r="52" spans="1:45" ht="15" customHeight="1" x14ac:dyDescent="0.2">
      <c r="A52" s="26" t="s">
        <v>127</v>
      </c>
      <c r="B52" s="19" t="s">
        <v>32</v>
      </c>
      <c r="C52" s="20">
        <f t="shared" si="0"/>
        <v>-0.42068146923305594</v>
      </c>
      <c r="D52" s="20">
        <v>-459.80633999999998</v>
      </c>
      <c r="E52" s="20">
        <v>-459.87840999999997</v>
      </c>
      <c r="F52" s="20">
        <v>-461.01690000000002</v>
      </c>
      <c r="G52" s="20">
        <v>-459.9138536159</v>
      </c>
      <c r="H52" s="20">
        <v>-459.98344977570002</v>
      </c>
      <c r="I52" s="20">
        <v>-461.14698052249997</v>
      </c>
      <c r="J52" s="20">
        <v>-459.8903538587</v>
      </c>
      <c r="K52" s="20">
        <v>-459.89788487290002</v>
      </c>
      <c r="L52" s="20">
        <v>-459.903614613</v>
      </c>
      <c r="M52" s="20">
        <v>-459.9445666254</v>
      </c>
      <c r="N52" s="20">
        <v>-460.02634153140002</v>
      </c>
      <c r="O52" s="20">
        <v>-461.11094218070002</v>
      </c>
      <c r="P52" s="20">
        <v>-461.12695404649997</v>
      </c>
      <c r="Q52" s="20">
        <v>-460.10493292000001</v>
      </c>
      <c r="R52" s="20">
        <v>-460.16991490620001</v>
      </c>
      <c r="S52" s="20">
        <v>-461.32779525350003</v>
      </c>
      <c r="T52" s="20">
        <f>(S52-Q52)/2*27.211324570273</f>
        <v>-16.637851930815206</v>
      </c>
      <c r="U52" s="20">
        <f>(R52-Q52)*27.211324570273</f>
        <v>-1.7682459177090879</v>
      </c>
      <c r="V52" s="20">
        <f>(F52-I52-D52+G52)/2*27.211324570273</f>
        <v>0.30703771001892133</v>
      </c>
      <c r="W52" s="20">
        <f>(E52-H52-D52+G52)*27.211324570273</f>
        <v>-6.7316468616330158E-2</v>
      </c>
      <c r="X52" s="20">
        <f>(P52-O52-K52+J52)/2*27.211324570273</f>
        <v>-0.1153876027589672</v>
      </c>
      <c r="Y52" s="20">
        <f>(N52-M52-L52+J52)*27.211324570273</f>
        <v>-1.8643608195660226</v>
      </c>
      <c r="Z52" s="21">
        <f>(F52+P52-O52-D52-K52+J52-2*C52)*27.211324570273</f>
        <v>-10.277116277308803</v>
      </c>
      <c r="AA52" s="21">
        <f>(S52+F52-I52+P52-O52-Q52-D52+G52-K52+J52-2*C52)*27.211324570273</f>
        <v>-9.997803647110505</v>
      </c>
      <c r="AB52" s="21">
        <f>(E52+N52-M52-D52-L52+J52)*27.211324570273</f>
        <v>-3.8254809813470501</v>
      </c>
      <c r="AC52" s="21">
        <f>(R52+E52-H52+N52-M52-Q52-D52+G52-L52+J52)*27.211324570273</f>
        <v>-3.6999232058898941</v>
      </c>
      <c r="AD52" s="20">
        <v>4.84</v>
      </c>
      <c r="AE52" s="20">
        <v>4.4400000000000004</v>
      </c>
      <c r="AF52" s="21">
        <f>-Z52/2-AE52</f>
        <v>0.69855813865440108</v>
      </c>
      <c r="AG52" s="21">
        <f>-AA52/2-AE52</f>
        <v>0.55890182355525209</v>
      </c>
      <c r="AH52" s="21">
        <f>-AB52-AD52</f>
        <v>-1.0145190186529498</v>
      </c>
      <c r="AI52" s="21">
        <f>-AC52-AD52</f>
        <v>-1.1400767941101058</v>
      </c>
      <c r="AJ52" s="22">
        <v>0.54649999999999999</v>
      </c>
      <c r="AK52" s="21">
        <v>-1.0345</v>
      </c>
      <c r="AL52" s="21">
        <f>AF52+(0.69-AF$7)</f>
        <v>0.58275266770518774</v>
      </c>
      <c r="AM52" s="21">
        <f>AG52+(0.69-AG$7)</f>
        <v>0.57948048279629516</v>
      </c>
      <c r="AN52" s="21">
        <f>AH52+(-0.8815-AH$7)</f>
        <v>-1.0679694220857834</v>
      </c>
      <c r="AO52" s="21">
        <f>AI52+(-0.8815-AI$7)</f>
        <v>-1.0605733514194005</v>
      </c>
      <c r="AP52" s="20">
        <f t="shared" si="1"/>
        <v>3.6252667705187758E-2</v>
      </c>
      <c r="AQ52" s="20">
        <f t="shared" si="2"/>
        <v>3.2980482796295174E-2</v>
      </c>
      <c r="AR52" s="20">
        <f t="shared" si="3"/>
        <v>3.3469422085783407E-2</v>
      </c>
      <c r="AS52" s="20">
        <f t="shared" si="4"/>
        <v>2.6073351419400481E-2</v>
      </c>
    </row>
    <row r="53" spans="1:45" ht="15" customHeight="1" x14ac:dyDescent="0.2">
      <c r="A53" s="26" t="s">
        <v>127</v>
      </c>
      <c r="B53" s="19" t="s">
        <v>33</v>
      </c>
      <c r="C53" s="20">
        <f t="shared" si="0"/>
        <v>-0.42068146923305594</v>
      </c>
      <c r="D53" s="20">
        <v>-459.99842999999998</v>
      </c>
      <c r="E53" s="20">
        <v>-460.05148000000003</v>
      </c>
      <c r="F53" s="20">
        <v>-461.19871999999998</v>
      </c>
      <c r="G53" s="20">
        <v>-460.1057371018</v>
      </c>
      <c r="H53" s="20">
        <v>-460.15468238540001</v>
      </c>
      <c r="I53" s="20">
        <v>-461.32845056330001</v>
      </c>
      <c r="J53" s="20">
        <v>-459.89015460439998</v>
      </c>
      <c r="K53" s="20">
        <v>-459.897668022</v>
      </c>
      <c r="L53" s="20">
        <v>-459.903372316</v>
      </c>
      <c r="M53" s="20">
        <v>-459.94421390349999</v>
      </c>
      <c r="N53" s="20">
        <v>-460.02593556279999</v>
      </c>
      <c r="O53" s="20">
        <v>-461.11082066500001</v>
      </c>
      <c r="P53" s="20">
        <v>-461.1267918785</v>
      </c>
      <c r="Q53" s="20">
        <v>-460.10539074920001</v>
      </c>
      <c r="R53" s="20">
        <v>-460.17027477580001</v>
      </c>
      <c r="S53" s="20">
        <v>-461.32831406140002</v>
      </c>
      <c r="T53" s="20">
        <f>(S53-Q53)/2*27.211324570273</f>
        <v>-16.638681586413881</v>
      </c>
      <c r="U53" s="20">
        <f>(R53-Q53)*27.211324570273</f>
        <v>-1.7655803072387704</v>
      </c>
      <c r="V53" s="20">
        <f>(F53-I53-D53+G53)/2*27.211324570273</f>
        <v>0.30508604443291543</v>
      </c>
      <c r="W53" s="20">
        <f>(E53-H53-D53+G53)*27.211324570273</f>
        <v>-0.111694770230304</v>
      </c>
      <c r="X53" s="20">
        <f>(P53-O53-K53+J53)/2*27.211324570273</f>
        <v>-0.1150739146916263</v>
      </c>
      <c r="Y53" s="20">
        <f>(N53-M53-L53+J53)*27.211324570273</f>
        <v>-1.8640831552091752</v>
      </c>
      <c r="Z53" s="21">
        <f>(F53+P53-O53-D53-K53+J53-2*C53)*27.211324570273</f>
        <v>-9.9970285978376534</v>
      </c>
      <c r="AA53" s="21">
        <f>(S53+F53-I53+P53-O53-Q53-D53+G53-K53+J53-2*C53)*27.211324570273</f>
        <v>-10.002738913343634</v>
      </c>
      <c r="AB53" s="21">
        <f>(E53+N53-M53-D53-L53+J53)*27.211324570273</f>
        <v>-3.3076439236648354</v>
      </c>
      <c r="AC53" s="21">
        <f>(R53+E53-H53+N53-M53-Q53-D53+G53-L53+J53)*27.211324570273</f>
        <v>-3.7413582326767028</v>
      </c>
      <c r="AD53" s="20">
        <v>4.84</v>
      </c>
      <c r="AE53" s="20">
        <v>4.4400000000000004</v>
      </c>
      <c r="AF53" s="21">
        <f>-Z53/2-AE53</f>
        <v>0.55851429891882631</v>
      </c>
      <c r="AG53" s="21">
        <f>-AA53/2-AE53</f>
        <v>0.56136945667181681</v>
      </c>
      <c r="AH53" s="21">
        <f>-AB53-AD53</f>
        <v>-1.5323560763351645</v>
      </c>
      <c r="AI53" s="21">
        <f>-AC53-AD53</f>
        <v>-1.0986417673232971</v>
      </c>
      <c r="AJ53" s="22">
        <v>0.54649999999999999</v>
      </c>
      <c r="AK53" s="21">
        <v>-1.0345</v>
      </c>
      <c r="AL53" s="21">
        <f>AF53+(0.69-AF$8)</f>
        <v>0.57907627625835412</v>
      </c>
      <c r="AM53" s="21">
        <f>AG53+(0.69-AG$8)</f>
        <v>0.57973903936109172</v>
      </c>
      <c r="AN53" s="21">
        <f>AH53+(-0.8815-AH$8)</f>
        <v>-1.0266822072131228</v>
      </c>
      <c r="AO53" s="21">
        <f>AI53+(-0.8815-AI$8)</f>
        <v>-1.0612250354321873</v>
      </c>
      <c r="AP53" s="20">
        <f t="shared" si="1"/>
        <v>3.2576276258354131E-2</v>
      </c>
      <c r="AQ53" s="20">
        <f t="shared" si="2"/>
        <v>3.3239039361091738E-2</v>
      </c>
      <c r="AR53" s="20">
        <f t="shared" si="3"/>
        <v>7.8177927868772201E-3</v>
      </c>
      <c r="AS53" s="20">
        <f t="shared" si="4"/>
        <v>2.6725035432187294E-2</v>
      </c>
    </row>
    <row r="54" spans="1:45" ht="15" customHeight="1" x14ac:dyDescent="0.2">
      <c r="A54" s="26" t="s">
        <v>127</v>
      </c>
      <c r="B54" s="19" t="s">
        <v>174</v>
      </c>
      <c r="C54" s="20">
        <f t="shared" si="0"/>
        <v>-0.42068146923305594</v>
      </c>
      <c r="D54" s="20">
        <v>-459.9982</v>
      </c>
      <c r="E54" s="20">
        <v>-460.06375000000003</v>
      </c>
      <c r="F54" s="20">
        <v>-461.19880999999998</v>
      </c>
      <c r="G54" s="20">
        <v>-460.10555195239999</v>
      </c>
      <c r="H54" s="20">
        <v>-460.16826692239999</v>
      </c>
      <c r="I54" s="20">
        <v>-461.32864667690001</v>
      </c>
      <c r="J54" s="20">
        <v>-459.89015086699999</v>
      </c>
      <c r="K54" s="20">
        <v>-459.8976628012</v>
      </c>
      <c r="L54" s="20">
        <v>-459.90336755189998</v>
      </c>
      <c r="M54" s="20">
        <v>-459.94440574319998</v>
      </c>
      <c r="N54" s="20">
        <v>-460.02607652170002</v>
      </c>
      <c r="O54" s="20">
        <v>-461.11081618909998</v>
      </c>
      <c r="P54" s="20">
        <v>-461.12679006560001</v>
      </c>
      <c r="Q54" s="20">
        <v>-460.10539059749999</v>
      </c>
      <c r="R54" s="20">
        <v>-460.17031703689997</v>
      </c>
      <c r="S54" s="20">
        <v>-461.32831388459999</v>
      </c>
      <c r="T54" s="20">
        <f>(S54-Q54)/2*27.211324570273</f>
        <v>-16.638681244911655</v>
      </c>
      <c r="U54" s="20">
        <f>(R54-Q54)*27.211324570273</f>
        <v>-1.7667344157050953</v>
      </c>
      <c r="V54" s="20">
        <f>(F54-I54-D54+G54)/2*27.211324570273</f>
        <v>0.3059195681217689</v>
      </c>
      <c r="W54" s="20">
        <f>(E54-H54-D54+G54)*27.211324570273</f>
        <v>-7.7144921497233385E-2</v>
      </c>
      <c r="X54" s="20">
        <f>(P54-O54-K54+J54)/2*27.211324570273</f>
        <v>-0.11513032921033284</v>
      </c>
      <c r="Y54" s="20">
        <f>(N54-M54-L54+J54)*27.211324570273</f>
        <v>-1.8627265591148914</v>
      </c>
      <c r="Z54" s="21">
        <f>(F54+P54-O54-D54-K54+J54-2*C54)*27.211324570273</f>
        <v>-10.005849050734131</v>
      </c>
      <c r="AA54" s="21">
        <f>(S54+F54-I54+P54-O54-Q54-D54+G54-K54+J54-2*C54)*27.211324570273</f>
        <v>-10.001184011998893</v>
      </c>
      <c r="AB54" s="21">
        <f>(E54+N54-M54-D54-L54+J54)*27.211324570273</f>
        <v>-3.6464288846971082</v>
      </c>
      <c r="AC54" s="21">
        <f>(R54+E54-H54+N54-M54-Q54-D54+G54-L54+J54)*27.211324570273</f>
        <v>-3.7066058963172202</v>
      </c>
      <c r="AD54" s="20">
        <v>4.84</v>
      </c>
      <c r="AE54" s="20">
        <v>4.4400000000000004</v>
      </c>
      <c r="AF54" s="21">
        <f>-Z54/2-AE54</f>
        <v>0.56292452536706516</v>
      </c>
      <c r="AG54" s="21">
        <f>-AA54/2-AE54</f>
        <v>0.56059200599944603</v>
      </c>
      <c r="AH54" s="21">
        <f>-AB54-AD54</f>
        <v>-1.1935711153028916</v>
      </c>
      <c r="AI54" s="21">
        <f>-AC54-AD54</f>
        <v>-1.1333941036827797</v>
      </c>
      <c r="AJ54" s="22">
        <v>0.54649999999999999</v>
      </c>
      <c r="AK54" s="21">
        <v>-1.0345</v>
      </c>
      <c r="AL54" s="21">
        <f>AF54+(0.69-AF$9)</f>
        <v>0.5784972301570348</v>
      </c>
      <c r="AM54" s="21">
        <f>AG54+(0.69-AG$9)</f>
        <v>0.57821914674681762</v>
      </c>
      <c r="AN54" s="21">
        <f>AH54+(-0.8815-AH$9)</f>
        <v>-1.0674680017275464</v>
      </c>
      <c r="AO54" s="21">
        <f>AI54+(-0.8815-AI$9)</f>
        <v>-1.0554782594632584</v>
      </c>
      <c r="AP54" s="20">
        <f t="shared" si="1"/>
        <v>3.1997230157034817E-2</v>
      </c>
      <c r="AQ54" s="20">
        <f t="shared" si="2"/>
        <v>3.1719146746817639E-2</v>
      </c>
      <c r="AR54" s="20">
        <f t="shared" si="3"/>
        <v>3.2968001727546437E-2</v>
      </c>
      <c r="AS54" s="20">
        <f t="shared" si="4"/>
        <v>2.0978259463258375E-2</v>
      </c>
    </row>
    <row r="55" spans="1:45" ht="15" customHeight="1" x14ac:dyDescent="0.2">
      <c r="A55" s="26" t="s">
        <v>127</v>
      </c>
      <c r="B55" s="19" t="s">
        <v>43</v>
      </c>
      <c r="C55" s="20">
        <f t="shared" si="0"/>
        <v>-0.42068146923305594</v>
      </c>
      <c r="D55" s="20">
        <v>-459.80633999999998</v>
      </c>
      <c r="E55" s="20">
        <v>-459.87840999999997</v>
      </c>
      <c r="F55" s="20">
        <v>-461.01690000000002</v>
      </c>
      <c r="G55" s="20">
        <v>-459.9138536159</v>
      </c>
      <c r="H55" s="20">
        <v>-459.98344977570002</v>
      </c>
      <c r="I55" s="20">
        <v>-461.14698052249997</v>
      </c>
      <c r="J55" s="20">
        <v>-459.8903538587</v>
      </c>
      <c r="K55" s="20">
        <v>-459.89788487290002</v>
      </c>
      <c r="L55" s="20">
        <v>-459.903614613</v>
      </c>
      <c r="M55" s="20">
        <v>-459.9445666254</v>
      </c>
      <c r="N55" s="20">
        <v>-460.02634153140002</v>
      </c>
      <c r="O55" s="20">
        <v>-461.11094218070002</v>
      </c>
      <c r="P55" s="20">
        <v>-461.12695404649997</v>
      </c>
      <c r="Q55" s="20">
        <v>-459.49029418357497</v>
      </c>
      <c r="R55" s="20">
        <v>-459.55227506735997</v>
      </c>
      <c r="S55" s="20">
        <v>-460.72316534092499</v>
      </c>
      <c r="T55" s="20">
        <f>(S55-Q55)/2*27.211324570273</f>
        <v>-16.774028607989734</v>
      </c>
      <c r="U55" s="20">
        <f>(R55-Q55)*27.211324570273</f>
        <v>-1.6865819458259332</v>
      </c>
      <c r="V55" s="20">
        <f>(F55-I55-D55+G55)/2*27.211324570273</f>
        <v>0.30703771001892133</v>
      </c>
      <c r="W55" s="20">
        <f>(E55-H55-D55+G55)*27.211324570273</f>
        <v>-6.7316468616330158E-2</v>
      </c>
      <c r="X55" s="20">
        <f>(P55-O55-K55+J55)/2*27.211324570273</f>
        <v>-0.1153876027589672</v>
      </c>
      <c r="Y55" s="20">
        <f>(N55-M55-L55+J55)*27.211324570273</f>
        <v>-1.8643608195660226</v>
      </c>
      <c r="Z55" s="21">
        <f>(F55+P55-O55-D55-K55+J55-2*C55)*27.211324570273</f>
        <v>-10.277116277308803</v>
      </c>
      <c r="AA55" s="21">
        <f>(S55+F55-I55+P55-O55-Q55-D55+G55-K55+J55-2*C55)*27.211324570273</f>
        <v>-10.270157001458017</v>
      </c>
      <c r="AB55" s="21">
        <f>(E55+N55-M55-D55-L55+J55)*27.211324570273</f>
        <v>-3.8254809813470501</v>
      </c>
      <c r="AC55" s="21">
        <f>(R55+E55-H55+N55-M55-Q55-D55+G55-L55+J55)*27.211324570273</f>
        <v>-3.6182592340082862</v>
      </c>
      <c r="AD55" s="20">
        <v>4.84</v>
      </c>
      <c r="AE55" s="20">
        <v>4.4400000000000004</v>
      </c>
      <c r="AF55" s="21">
        <f>-Z55/2-AE55</f>
        <v>0.69855813865440108</v>
      </c>
      <c r="AG55" s="21">
        <f>-AA55/2-AE55</f>
        <v>0.69507850072900812</v>
      </c>
      <c r="AH55" s="21">
        <f>-AB55-AD55</f>
        <v>-1.0145190186529498</v>
      </c>
      <c r="AI55" s="21">
        <f>-AC55-AD55</f>
        <v>-1.2217407659917137</v>
      </c>
      <c r="AJ55" s="22">
        <v>0.54649999999999999</v>
      </c>
      <c r="AK55" s="21">
        <v>-1.0345</v>
      </c>
      <c r="AL55" s="21">
        <f>AF55+(0.69-AF$10)</f>
        <v>0.58275266770518774</v>
      </c>
      <c r="AM55" s="21">
        <f>AG55+(0.69-AG$10)</f>
        <v>0.58841613373693979</v>
      </c>
      <c r="AN55" s="21">
        <f>AH55+(-0.8815-AH$10)</f>
        <v>-1.0679694220857834</v>
      </c>
      <c r="AO55" s="21">
        <f>AI55+(-0.8815-AI$10)</f>
        <v>-1.0392226543643392</v>
      </c>
      <c r="AP55" s="20">
        <f t="shared" si="1"/>
        <v>3.6252667705187758E-2</v>
      </c>
      <c r="AQ55" s="20">
        <f t="shared" si="2"/>
        <v>4.1916133736939809E-2</v>
      </c>
      <c r="AR55" s="20">
        <f t="shared" si="3"/>
        <v>3.3469422085783407E-2</v>
      </c>
      <c r="AS55" s="20">
        <f t="shared" si="4"/>
        <v>4.7226543643392738E-3</v>
      </c>
    </row>
    <row r="56" spans="1:45" x14ac:dyDescent="0.2">
      <c r="A56" s="26" t="s">
        <v>128</v>
      </c>
      <c r="B56" s="19" t="s">
        <v>27</v>
      </c>
      <c r="C56" s="20">
        <f t="shared" si="0"/>
        <v>-0.42068146923305594</v>
      </c>
      <c r="D56" s="20">
        <v>-459.71310999999997</v>
      </c>
      <c r="E56" s="20">
        <v>-459.79027000000002</v>
      </c>
      <c r="F56" s="20">
        <v>-460.92765000000003</v>
      </c>
      <c r="G56" s="20">
        <v>-459.81871532410003</v>
      </c>
      <c r="H56" s="20">
        <v>-459.89316358590003</v>
      </c>
      <c r="I56" s="20">
        <v>-461.05693007420001</v>
      </c>
      <c r="J56" s="20">
        <v>-459.88721376960001</v>
      </c>
      <c r="K56" s="20">
        <v>-459.89416993319998</v>
      </c>
      <c r="L56" s="20">
        <v>-459.9000343033</v>
      </c>
      <c r="M56" s="20">
        <v>-459.9427643665</v>
      </c>
      <c r="N56" s="20">
        <v>-460.02380649230003</v>
      </c>
      <c r="O56" s="20">
        <v>-461.10797030449999</v>
      </c>
      <c r="P56" s="20">
        <v>-461.12390590989997</v>
      </c>
      <c r="Q56" s="20">
        <v>-460.3072495504</v>
      </c>
      <c r="R56" s="20">
        <v>-460.37903216450002</v>
      </c>
      <c r="S56" s="20">
        <v>-461.543166294</v>
      </c>
      <c r="T56" s="20">
        <f>(S56-Q56)/2*27.211324570273</f>
        <v>-16.815465825967248</v>
      </c>
      <c r="U56" s="20">
        <f>(R56-Q56)*27.211324570273</f>
        <v>-1.9533000107781895</v>
      </c>
      <c r="V56" s="20">
        <f>(F56-I56-D56+G56)/2*27.211324570273</f>
        <v>0.32211065454462995</v>
      </c>
      <c r="W56" s="20">
        <f>(E56-H56-D56+G56)*27.211324570273</f>
        <v>-7.3789988311123017E-2</v>
      </c>
      <c r="X56" s="20">
        <f>(P56-O56-K56+J56)/2*27.211324570273</f>
        <v>-0.12217125264014317</v>
      </c>
      <c r="Y56" s="20">
        <f>(N56-M56-L56+J56)*27.211324570273</f>
        <v>-1.8563998853347063</v>
      </c>
      <c r="Z56" s="21">
        <f>(F56+P56-O56-D56-K56+J56-2*C56)*27.211324570273</f>
        <v>-10.398984648861189</v>
      </c>
      <c r="AA56" s="21">
        <f>(S56+F56-I56+P56-O56-Q56-D56+G56-K56+J56-2*C56)*27.211324570273</f>
        <v>-10.336452848127067</v>
      </c>
      <c r="AB56" s="21">
        <f>(E56+N56-M56-D56-L56+J56)*27.211324570273</f>
        <v>-3.9560256891783037</v>
      </c>
      <c r="AC56" s="21">
        <f>(R56+E56-H56+N56-M56-Q56-D56+G56-L56+J56)*27.211324570273</f>
        <v>-3.8834898844255656</v>
      </c>
      <c r="AD56" s="20">
        <v>4.84</v>
      </c>
      <c r="AE56" s="20">
        <v>4.4400000000000004</v>
      </c>
      <c r="AF56" s="21">
        <f>-Z56/2-AE56</f>
        <v>0.75949232443059422</v>
      </c>
      <c r="AG56" s="21">
        <f>-AA56/2-AE56</f>
        <v>0.728226424063533</v>
      </c>
      <c r="AH56" s="21">
        <f>-AB56-AD56</f>
        <v>-0.8839743108216962</v>
      </c>
      <c r="AI56" s="21">
        <f>-AC56-AD56</f>
        <v>-0.95651011557443422</v>
      </c>
      <c r="AJ56" s="22">
        <v>0.55300000000000005</v>
      </c>
      <c r="AK56" s="21">
        <v>-1.0455000000000001</v>
      </c>
      <c r="AL56" s="27">
        <f>AF56+(0.69-AF$2)</f>
        <v>0.576685814456535</v>
      </c>
      <c r="AM56" s="27">
        <f>AG56+(0.69-AG$2)</f>
        <v>0.57095644830059689</v>
      </c>
      <c r="AN56" s="27">
        <f>AH56+(-0.8815-AH$2)</f>
        <v>-1.058495257932623</v>
      </c>
      <c r="AO56" s="27">
        <f>AI56+(-0.8815-AI$2)</f>
        <v>-1.0623717478545647</v>
      </c>
      <c r="AP56" s="20">
        <f t="shared" si="1"/>
        <v>2.3685814456534948E-2</v>
      </c>
      <c r="AQ56" s="20">
        <f t="shared" si="2"/>
        <v>1.7956448300596839E-2</v>
      </c>
      <c r="AR56" s="20">
        <f t="shared" si="3"/>
        <v>1.2995257932622906E-2</v>
      </c>
      <c r="AS56" s="20">
        <f t="shared" si="4"/>
        <v>1.6871747854564578E-2</v>
      </c>
    </row>
    <row r="57" spans="1:45" ht="15" customHeight="1" x14ac:dyDescent="0.2">
      <c r="A57" s="26" t="s">
        <v>128</v>
      </c>
      <c r="B57" s="19" t="s">
        <v>145</v>
      </c>
      <c r="C57" s="20">
        <f t="shared" si="0"/>
        <v>-0.42068146923305594</v>
      </c>
      <c r="D57" s="20">
        <v>-459.47018000000003</v>
      </c>
      <c r="E57" s="20">
        <v>-459.54268000000002</v>
      </c>
      <c r="F57" s="20">
        <v>-460.68247000000002</v>
      </c>
      <c r="G57" s="20">
        <v>-459.57690437529999</v>
      </c>
      <c r="H57" s="20">
        <v>-459.64800087219999</v>
      </c>
      <c r="I57" s="20">
        <v>-460.8136042273</v>
      </c>
      <c r="J57" s="20">
        <v>-459.88741880510003</v>
      </c>
      <c r="K57" s="20">
        <v>-459.89409130939998</v>
      </c>
      <c r="L57" s="20">
        <v>-459.90011339559999</v>
      </c>
      <c r="M57" s="20">
        <v>-459.94294538439999</v>
      </c>
      <c r="N57" s="20">
        <v>-460.02399226699998</v>
      </c>
      <c r="O57" s="20">
        <v>-461.1081550998</v>
      </c>
      <c r="P57" s="20">
        <v>-461.12385173809997</v>
      </c>
      <c r="Q57" s="20">
        <v>-460.07486784730003</v>
      </c>
      <c r="R57" s="20">
        <v>-460.14467031890001</v>
      </c>
      <c r="S57" s="20">
        <v>-461.31040958049999</v>
      </c>
      <c r="T57" s="20">
        <f>(S57-Q57)/2*27.211324570273</f>
        <v>-16.810363561110961</v>
      </c>
      <c r="U57" s="20">
        <f>(R57-Q57)*27.211324570273</f>
        <v>-1.8994177105144547</v>
      </c>
      <c r="V57" s="20">
        <f>(F57-I57-D57+G57)/2*27.211324570273</f>
        <v>0.3321122027424267</v>
      </c>
      <c r="W57" s="20">
        <f>(E57-H57-D57+G57)*27.211324570273</f>
        <v>-3.8191178389307072E-2</v>
      </c>
      <c r="X57" s="20">
        <f>(P57-O57-K57+J57)/2*27.211324570273</f>
        <v>-0.12277931962001912</v>
      </c>
      <c r="Y57" s="20">
        <f>(N57-M57-L57+J57)*27.211324570273</f>
        <v>-1.8599564054560331</v>
      </c>
      <c r="Z57" s="21">
        <f>(F57+P57-O57-D57-K57+J57-2*C57)*27.211324570273</f>
        <v>-10.338975302536181</v>
      </c>
      <c r="AA57" s="21">
        <f>(S57+F57-I57+P57-O57-Q57-D57+G57-K57+J57-2*C57)*27.211324570273</f>
        <v>-10.307461355977109</v>
      </c>
      <c r="AB57" s="21">
        <f>(E57+N57-M57-D57-L57+J57)*27.211324570273</f>
        <v>-3.8327774368021248</v>
      </c>
      <c r="AC57" s="21">
        <f>(R57+E57-H57+N57-M57-Q57-D57+G57-L57+J57)*27.211324570273</f>
        <v>-3.7975652943613416</v>
      </c>
      <c r="AD57" s="20">
        <v>4.84</v>
      </c>
      <c r="AE57" s="20">
        <v>4.4400000000000004</v>
      </c>
      <c r="AF57" s="21">
        <f>-Z57/2-AE57</f>
        <v>0.7294876512680899</v>
      </c>
      <c r="AG57" s="21">
        <f>-AA57/2-AE57</f>
        <v>0.71373067798855416</v>
      </c>
      <c r="AH57" s="21">
        <f>-AB57-AD57</f>
        <v>-1.0072225631978751</v>
      </c>
      <c r="AI57" s="21">
        <f>-AC57-AD57</f>
        <v>-1.0424347056386583</v>
      </c>
      <c r="AJ57" s="22">
        <v>0.55300000000000005</v>
      </c>
      <c r="AK57" s="21">
        <v>-1.0455000000000001</v>
      </c>
      <c r="AL57" s="27">
        <f>AF57+(0.69-AF$3)</f>
        <v>0.57020581030531536</v>
      </c>
      <c r="AM57" s="27">
        <f>AG57+(0.69-AG$3)</f>
        <v>0.56505049152894449</v>
      </c>
      <c r="AN57" s="27">
        <f>AH57+(-0.8815-AH$3)</f>
        <v>-1.0788173200273437</v>
      </c>
      <c r="AO57" s="27">
        <f>AI57+(-0.8815-AI$3)</f>
        <v>-1.0801292487314043</v>
      </c>
      <c r="AP57" s="20">
        <f t="shared" si="1"/>
        <v>1.7205810305315317E-2</v>
      </c>
      <c r="AQ57" s="20">
        <f t="shared" si="2"/>
        <v>1.205049152894444E-2</v>
      </c>
      <c r="AR57" s="20">
        <f t="shared" si="3"/>
        <v>3.3317320027343555E-2</v>
      </c>
      <c r="AS57" s="20">
        <f t="shared" si="4"/>
        <v>3.4629248731404161E-2</v>
      </c>
    </row>
    <row r="58" spans="1:45" ht="15" customHeight="1" x14ac:dyDescent="0.2">
      <c r="A58" s="26" t="s">
        <v>128</v>
      </c>
      <c r="B58" s="19" t="s">
        <v>29</v>
      </c>
      <c r="C58" s="20">
        <f t="shared" si="0"/>
        <v>-0.42068146923305594</v>
      </c>
      <c r="D58" s="20">
        <v>-459.85449999999997</v>
      </c>
      <c r="E58" s="20">
        <v>-459.92756000000003</v>
      </c>
      <c r="F58" s="20">
        <v>-461.07387</v>
      </c>
      <c r="G58" s="20">
        <v>-459.96193828240001</v>
      </c>
      <c r="H58" s="20">
        <v>-460.03305991410002</v>
      </c>
      <c r="I58" s="20">
        <v>-461.20506087799998</v>
      </c>
      <c r="J58" s="20">
        <v>-459.88737407500003</v>
      </c>
      <c r="K58" s="20">
        <v>-459.89410924729998</v>
      </c>
      <c r="L58" s="20">
        <v>-459.90010261869998</v>
      </c>
      <c r="M58" s="20">
        <v>-459.94285992430002</v>
      </c>
      <c r="N58" s="20">
        <v>-460.02390965929999</v>
      </c>
      <c r="O58" s="20">
        <v>-461.10803446760002</v>
      </c>
      <c r="P58" s="20">
        <v>-461.12390909300001</v>
      </c>
      <c r="Q58" s="20">
        <v>-460.44300846020002</v>
      </c>
      <c r="R58" s="20">
        <v>-460.51134539449998</v>
      </c>
      <c r="S58" s="20">
        <v>-461.6843307007</v>
      </c>
      <c r="T58" s="20">
        <f>(S58-Q58)/2*27.211324570273</f>
        <v>-16.889011191271756</v>
      </c>
      <c r="U58" s="20">
        <f>(R58-Q58)*27.211324570273</f>
        <v>-1.8595384993737425</v>
      </c>
      <c r="V58" s="20">
        <f>(F58-I58-D58+G58)/2*27.211324570273</f>
        <v>0.32316979412826363</v>
      </c>
      <c r="W58" s="20">
        <f>(E58-H58-D58+G58)*27.211324570273</f>
        <v>-5.2745568949268261E-2</v>
      </c>
      <c r="X58" s="20">
        <f>(P58-O58-K58+J58)/2*27.211324570273</f>
        <v>-0.12434831234989666</v>
      </c>
      <c r="Y58" s="20">
        <f>(N58-M58-L58+J58)*27.211324570273</f>
        <v>-1.8591101114924204</v>
      </c>
      <c r="Z58" s="21">
        <f>(F58+P58-O58-D58-K58+J58-2*C58)*27.211324570273</f>
        <v>-10.534769465954296</v>
      </c>
      <c r="AA58" s="21">
        <f>(S58+F58-I58+P58-O58-Q58-D58+G58-K58+J58-2*C58)*27.211324570273</f>
        <v>-10.485779418985233</v>
      </c>
      <c r="AB58" s="21">
        <f>(E58+N58-M58-D58-L58+J58)*27.211324570273</f>
        <v>-3.8471694845996085</v>
      </c>
      <c r="AC58" s="21">
        <f>(R58+E58-H58+N58-M58-Q58-D58+G58-L58+J58)*27.211324570273</f>
        <v>-3.7713941798154313</v>
      </c>
      <c r="AD58" s="20">
        <v>4.84</v>
      </c>
      <c r="AE58" s="20">
        <v>4.4400000000000004</v>
      </c>
      <c r="AF58" s="21">
        <f>-Z58/2-AE58</f>
        <v>0.82738473297714776</v>
      </c>
      <c r="AG58" s="21">
        <f>-AA58/2-AE58</f>
        <v>0.80288970949261618</v>
      </c>
      <c r="AH58" s="21">
        <f>-AB58-AD58</f>
        <v>-0.99283051540039136</v>
      </c>
      <c r="AI58" s="21">
        <f>-AC58-AD58</f>
        <v>-1.0686058201845685</v>
      </c>
      <c r="AJ58" s="22">
        <v>0.55300000000000005</v>
      </c>
      <c r="AK58" s="21">
        <v>-1.0455000000000001</v>
      </c>
      <c r="AL58" s="21">
        <f>AF58+(0.69-AF$4)</f>
        <v>0.58306404145234891</v>
      </c>
      <c r="AM58" s="21">
        <f>AG58+(0.69-AG$4)</f>
        <v>0.57860346452806377</v>
      </c>
      <c r="AN58" s="21">
        <f>AH58+(-0.8815-AH$4)</f>
        <v>-1.065154505796527</v>
      </c>
      <c r="AO58" s="21">
        <f>AI58+(-0.8815-AI$4)</f>
        <v>-1.0671933197355989</v>
      </c>
      <c r="AP58" s="20">
        <f t="shared" si="1"/>
        <v>3.0064041452348866E-2</v>
      </c>
      <c r="AQ58" s="20">
        <f t="shared" si="2"/>
        <v>2.5603464528063724E-2</v>
      </c>
      <c r="AR58" s="20">
        <f t="shared" si="3"/>
        <v>1.9654505796526944E-2</v>
      </c>
      <c r="AS58" s="20">
        <f t="shared" si="4"/>
        <v>2.1693319735598848E-2</v>
      </c>
    </row>
    <row r="59" spans="1:45" ht="15" customHeight="1" x14ac:dyDescent="0.2">
      <c r="A59" s="26" t="s">
        <v>128</v>
      </c>
      <c r="B59" s="19" t="s">
        <v>30</v>
      </c>
      <c r="C59" s="20">
        <f t="shared" si="0"/>
        <v>-0.42068146923305594</v>
      </c>
      <c r="D59" s="20">
        <v>-459.80414000000002</v>
      </c>
      <c r="E59" s="20">
        <v>-459.87644</v>
      </c>
      <c r="F59" s="20">
        <v>-461.01416999999998</v>
      </c>
      <c r="G59" s="20">
        <v>-459.91087937370003</v>
      </c>
      <c r="H59" s="20">
        <v>-459.98124113770001</v>
      </c>
      <c r="I59" s="20">
        <v>-461.14454966950001</v>
      </c>
      <c r="J59" s="20">
        <v>-459.88753191619998</v>
      </c>
      <c r="K59" s="20">
        <v>-459.89426510890002</v>
      </c>
      <c r="L59" s="20">
        <v>-459.90024894269999</v>
      </c>
      <c r="M59" s="20">
        <v>-459.9430131734</v>
      </c>
      <c r="N59" s="20">
        <v>-460.02406930680002</v>
      </c>
      <c r="O59" s="20">
        <v>-461.10821455569999</v>
      </c>
      <c r="P59" s="20">
        <v>-461.12403563459998</v>
      </c>
      <c r="Q59" s="20">
        <v>-460.40449310759999</v>
      </c>
      <c r="R59" s="20">
        <v>-460.47174077609998</v>
      </c>
      <c r="S59" s="20">
        <v>-461.63586301980001</v>
      </c>
      <c r="T59" s="20">
        <f>(S59-Q59)/2*27.211324570273</f>
        <v>-16.753603173471696</v>
      </c>
      <c r="U59" s="20">
        <f>(R59-Q59)*27.211324570273</f>
        <v>-1.8298981341472935</v>
      </c>
      <c r="V59" s="20">
        <f>(F59-I59-D59+G59)/2*27.211324570273</f>
        <v>0.32164188097581992</v>
      </c>
      <c r="W59" s="20">
        <f>(E59-H59-D59+G59)*27.211324570273</f>
        <v>-5.2741968889811336E-2</v>
      </c>
      <c r="X59" s="20">
        <f>(P59-O59-K59+J59)/2*27.211324570273</f>
        <v>-0.12364671052227129</v>
      </c>
      <c r="Y59" s="20">
        <f>(N59-M59-L59+J59)*27.211324570273</f>
        <v>-1.8595976186984318</v>
      </c>
      <c r="Z59" s="21">
        <f>(F59+P59-O59-D59-K59+J59-2*C59)*27.211324570273</f>
        <v>-10.279212490809362</v>
      </c>
      <c r="AA59" s="21">
        <f>(S59+F59-I59+P59-O59-Q59-D59+G59-K59+J59-2*C59)*27.211324570273</f>
        <v>-10.216616006036295</v>
      </c>
      <c r="AB59" s="21">
        <f>(E59+N59-M59-D59-L59+J59)*27.211324570273</f>
        <v>-3.8269763851287415</v>
      </c>
      <c r="AC59" s="21">
        <f>(R59+E59-H59+N59-M59-Q59-D59+G59-L59+J59)*27.211324570273</f>
        <v>-3.7422377217339897</v>
      </c>
      <c r="AD59" s="20">
        <v>4.84</v>
      </c>
      <c r="AE59" s="20">
        <v>4.4400000000000004</v>
      </c>
      <c r="AF59" s="21">
        <f>-Z59/2-AE59</f>
        <v>0.69960624540468075</v>
      </c>
      <c r="AG59" s="21">
        <f>-AA59/2-AE59</f>
        <v>0.66830800301814719</v>
      </c>
      <c r="AH59" s="21">
        <f>-AB59-AD59</f>
        <v>-1.0130236148712584</v>
      </c>
      <c r="AI59" s="21">
        <f>-AC59-AD59</f>
        <v>-1.0977622782660101</v>
      </c>
      <c r="AJ59" s="22">
        <v>0.55300000000000005</v>
      </c>
      <c r="AK59" s="21">
        <v>-1.0455000000000001</v>
      </c>
      <c r="AL59" s="21">
        <f>AF59+(0.69-AF$5)</f>
        <v>0.58380077445546741</v>
      </c>
      <c r="AM59" s="21">
        <f>AG59+(0.69-AG$5)</f>
        <v>0.57965158896505242</v>
      </c>
      <c r="AN59" s="21">
        <f>AH59+(-0.8815-AH$5)</f>
        <v>-1.0664740183040919</v>
      </c>
      <c r="AO59" s="21">
        <f>AI59+(-0.8815-AI$5)</f>
        <v>-1.065812649784005</v>
      </c>
      <c r="AP59" s="20">
        <f t="shared" si="1"/>
        <v>3.0800774455467361E-2</v>
      </c>
      <c r="AQ59" s="20">
        <f t="shared" si="2"/>
        <v>2.6651588965052375E-2</v>
      </c>
      <c r="AR59" s="20">
        <f t="shared" si="3"/>
        <v>2.0974018304091846E-2</v>
      </c>
      <c r="AS59" s="20">
        <f t="shared" si="4"/>
        <v>2.0312649784004932E-2</v>
      </c>
    </row>
    <row r="60" spans="1:45" ht="15" customHeight="1" x14ac:dyDescent="0.2">
      <c r="A60" s="26" t="s">
        <v>128</v>
      </c>
      <c r="B60" s="19" t="s">
        <v>31</v>
      </c>
      <c r="C60" s="20">
        <f t="shared" si="0"/>
        <v>-0.42068146923305594</v>
      </c>
      <c r="D60" s="20">
        <v>-459.85449999999997</v>
      </c>
      <c r="E60" s="20">
        <v>-459.92756000000003</v>
      </c>
      <c r="F60" s="20">
        <v>-461.07387</v>
      </c>
      <c r="G60" s="20">
        <v>-459.96193828240001</v>
      </c>
      <c r="H60" s="20">
        <v>-460.03305991410002</v>
      </c>
      <c r="I60" s="20">
        <v>-461.20506087799998</v>
      </c>
      <c r="J60" s="20">
        <v>-459.88737407500003</v>
      </c>
      <c r="K60" s="20">
        <v>-459.89410924729998</v>
      </c>
      <c r="L60" s="20">
        <v>-459.90010261869998</v>
      </c>
      <c r="M60" s="20">
        <v>-459.94285992430002</v>
      </c>
      <c r="N60" s="20">
        <v>-460.02390965929999</v>
      </c>
      <c r="O60" s="20">
        <v>-461.10803446760002</v>
      </c>
      <c r="P60" s="20">
        <v>-461.12390909300001</v>
      </c>
      <c r="Q60" s="20">
        <v>-460.13145943350003</v>
      </c>
      <c r="R60" s="20">
        <v>-460.19814750640001</v>
      </c>
      <c r="S60" s="20">
        <v>-461.36480011809999</v>
      </c>
      <c r="T60" s="20">
        <f>(S60-Q60)/2*27.211324570273</f>
        <v>-16.780416837186191</v>
      </c>
      <c r="U60" s="20">
        <f>(R60-Q60)*27.211324570273</f>
        <v>-1.8146707966473441</v>
      </c>
      <c r="V60" s="20">
        <f>(F60-I60-D60+G60)/2*27.211324570273</f>
        <v>0.32316979412826363</v>
      </c>
      <c r="W60" s="20">
        <f>(E60-H60-D60+G60)*27.211324570273</f>
        <v>-5.2745568949268261E-2</v>
      </c>
      <c r="X60" s="20">
        <f>(P60-O60-K60+J60)/2*27.211324570273</f>
        <v>-0.12434831234989666</v>
      </c>
      <c r="Y60" s="20">
        <f>(N60-M60-L60+J60)*27.211324570273</f>
        <v>-1.8591101114924204</v>
      </c>
      <c r="Z60" s="21">
        <f>(F60+P60-O60-D60-K60+J60-2*C60)*27.211324570273</f>
        <v>-10.534769465954296</v>
      </c>
      <c r="AA60" s="21">
        <f>(S60+F60-I60+P60-O60-Q60-D60+G60-K60+J60-2*C60)*27.211324570273</f>
        <v>-10.268590710814101</v>
      </c>
      <c r="AB60" s="21">
        <f>(E60+N60-M60-D60-L60+J60)*27.211324570273</f>
        <v>-3.8471694845996085</v>
      </c>
      <c r="AC60" s="21">
        <f>(R60+E60-H60+N60-M60-Q60-D60+G60-L60+J60)*27.211324570273</f>
        <v>-3.7265264770874862</v>
      </c>
      <c r="AD60" s="20">
        <v>4.84</v>
      </c>
      <c r="AE60" s="20">
        <v>4.4400000000000004</v>
      </c>
      <c r="AF60" s="21">
        <f>-Z60/2-AE60</f>
        <v>0.82738473297714776</v>
      </c>
      <c r="AG60" s="21">
        <f>-AA60/2-AE60</f>
        <v>0.6942953554070499</v>
      </c>
      <c r="AH60" s="21">
        <f>-AB60-AD60</f>
        <v>-0.99283051540039136</v>
      </c>
      <c r="AI60" s="21">
        <f>-AC60-AD60</f>
        <v>-1.1134735229125137</v>
      </c>
      <c r="AJ60" s="22">
        <v>0.55300000000000005</v>
      </c>
      <c r="AK60" s="21">
        <v>-1.0455000000000001</v>
      </c>
      <c r="AL60" s="21">
        <f>AF60+(0.69-AF$6)</f>
        <v>0.58306404145234891</v>
      </c>
      <c r="AM60" s="21">
        <f>AG60+(0.69-AG$6)</f>
        <v>0.57790829409673483</v>
      </c>
      <c r="AN60" s="21">
        <f>AH60+(-0.8815-AH$6)</f>
        <v>-1.065154505796527</v>
      </c>
      <c r="AO60" s="21">
        <f>AI60+(-0.8815-AI$6)</f>
        <v>-1.0618510101799123</v>
      </c>
      <c r="AP60" s="20">
        <f t="shared" si="1"/>
        <v>3.0064041452348866E-2</v>
      </c>
      <c r="AQ60" s="20">
        <f t="shared" si="2"/>
        <v>2.4908294096734784E-2</v>
      </c>
      <c r="AR60" s="20">
        <f t="shared" si="3"/>
        <v>1.9654505796526944E-2</v>
      </c>
      <c r="AS60" s="20">
        <f t="shared" si="4"/>
        <v>1.6351010179912251E-2</v>
      </c>
    </row>
    <row r="61" spans="1:45" ht="15" customHeight="1" x14ac:dyDescent="0.2">
      <c r="A61" s="26" t="s">
        <v>128</v>
      </c>
      <c r="B61" s="19" t="s">
        <v>32</v>
      </c>
      <c r="C61" s="20">
        <f t="shared" si="0"/>
        <v>-0.42068146923305594</v>
      </c>
      <c r="D61" s="20">
        <v>-459.80414000000002</v>
      </c>
      <c r="E61" s="20">
        <v>-459.87644</v>
      </c>
      <c r="F61" s="20">
        <v>-461.01416999999998</v>
      </c>
      <c r="G61" s="20">
        <v>-459.91087937370003</v>
      </c>
      <c r="H61" s="20">
        <v>-459.98124113770001</v>
      </c>
      <c r="I61" s="20">
        <v>-461.14454966950001</v>
      </c>
      <c r="J61" s="20">
        <v>-459.88753191619998</v>
      </c>
      <c r="K61" s="20">
        <v>-459.89426510890002</v>
      </c>
      <c r="L61" s="20">
        <v>-459.90024894269999</v>
      </c>
      <c r="M61" s="20">
        <v>-459.9430131734</v>
      </c>
      <c r="N61" s="20">
        <v>-460.02406930680002</v>
      </c>
      <c r="O61" s="20">
        <v>-461.10821455569999</v>
      </c>
      <c r="P61" s="20">
        <v>-461.12403563459998</v>
      </c>
      <c r="Q61" s="20">
        <v>-460.10164259160001</v>
      </c>
      <c r="R61" s="20">
        <v>-460.1673584838</v>
      </c>
      <c r="S61" s="20">
        <v>-461.32484569539997</v>
      </c>
      <c r="T61" s="20">
        <f>(S61-Q61)/2*27.211324570273</f>
        <v>-16.642488336433029</v>
      </c>
      <c r="U61" s="20">
        <f>(R61-Q61)*27.211324570273</f>
        <v>-1.7882164720789837</v>
      </c>
      <c r="V61" s="20">
        <f>(F61-I61-D61+G61)/2*27.211324570273</f>
        <v>0.32164188097581992</v>
      </c>
      <c r="W61" s="20">
        <f>(E61-H61-D61+G61)*27.211324570273</f>
        <v>-5.2741968889811336E-2</v>
      </c>
      <c r="X61" s="20">
        <f>(P61-O61-K61+J61)/2*27.211324570273</f>
        <v>-0.12364671052227129</v>
      </c>
      <c r="Y61" s="20">
        <f>(N61-M61-L61+J61)*27.211324570273</f>
        <v>-1.8595976186984318</v>
      </c>
      <c r="Z61" s="21">
        <f>(F61+P61-O61-D61-K61+J61-2*C61)*27.211324570273</f>
        <v>-10.279212490809362</v>
      </c>
      <c r="AA61" s="21">
        <f>(S61+F61-I61+P61-O61-Q61-D61+G61-K61+J61-2*C61)*27.211324570273</f>
        <v>-9.9943863319558677</v>
      </c>
      <c r="AB61" s="21">
        <f>(E61+N61-M61-D61-L61+J61)*27.211324570273</f>
        <v>-3.8269763851287415</v>
      </c>
      <c r="AC61" s="21">
        <f>(R61+E61-H61+N61-M61-Q61-D61+G61-L61+J61)*27.211324570273</f>
        <v>-3.7005560596641334</v>
      </c>
      <c r="AD61" s="20">
        <v>4.84</v>
      </c>
      <c r="AE61" s="20">
        <v>4.4400000000000004</v>
      </c>
      <c r="AF61" s="21">
        <f>-Z61/2-AE61</f>
        <v>0.69960624540468075</v>
      </c>
      <c r="AG61" s="21">
        <f>-AA61/2-AE61</f>
        <v>0.55719316597793345</v>
      </c>
      <c r="AH61" s="21">
        <f>-AB61-AD61</f>
        <v>-1.0130236148712584</v>
      </c>
      <c r="AI61" s="21">
        <f>-AC61-AD61</f>
        <v>-1.1394439403358665</v>
      </c>
      <c r="AJ61" s="22">
        <v>0.55300000000000005</v>
      </c>
      <c r="AK61" s="21">
        <v>-1.0455000000000001</v>
      </c>
      <c r="AL61" s="21">
        <f>AF61+(0.69-AF$7)</f>
        <v>0.58380077445546741</v>
      </c>
      <c r="AM61" s="21">
        <f>AG61+(0.69-AG$7)</f>
        <v>0.57777182521897652</v>
      </c>
      <c r="AN61" s="21">
        <f>AH61+(-0.8815-AH$7)</f>
        <v>-1.0664740183040919</v>
      </c>
      <c r="AO61" s="21">
        <f>AI61+(-0.8815-AI$7)</f>
        <v>-1.0599404976451612</v>
      </c>
      <c r="AP61" s="20">
        <f t="shared" si="1"/>
        <v>3.0800774455467361E-2</v>
      </c>
      <c r="AQ61" s="20">
        <f t="shared" si="2"/>
        <v>2.4771825218976473E-2</v>
      </c>
      <c r="AR61" s="20">
        <f t="shared" si="3"/>
        <v>2.0974018304091846E-2</v>
      </c>
      <c r="AS61" s="20">
        <f t="shared" si="4"/>
        <v>1.4440497645161088E-2</v>
      </c>
    </row>
    <row r="62" spans="1:45" ht="15" customHeight="1" x14ac:dyDescent="0.2">
      <c r="A62" s="26" t="s">
        <v>128</v>
      </c>
      <c r="B62" s="19" t="s">
        <v>33</v>
      </c>
      <c r="C62" s="20">
        <f t="shared" si="0"/>
        <v>-0.42068146923305594</v>
      </c>
      <c r="D62" s="20">
        <v>-459.99704000000003</v>
      </c>
      <c r="E62" s="20">
        <v>-460.04980999999998</v>
      </c>
      <c r="F62" s="20">
        <v>-461.19576000000001</v>
      </c>
      <c r="G62" s="20">
        <v>-460.10236314560001</v>
      </c>
      <c r="H62" s="20">
        <v>-460.1513612741</v>
      </c>
      <c r="I62" s="20">
        <v>-461.32538073000001</v>
      </c>
      <c r="J62" s="20">
        <v>-459.88739704109997</v>
      </c>
      <c r="K62" s="20">
        <v>-459.89401367289997</v>
      </c>
      <c r="L62" s="20">
        <v>-459.90000466279997</v>
      </c>
      <c r="M62" s="20">
        <v>-459.94277513399999</v>
      </c>
      <c r="N62" s="20">
        <v>-460.0237393008</v>
      </c>
      <c r="O62" s="20">
        <v>-461.1080887489</v>
      </c>
      <c r="P62" s="20">
        <v>-461.1238470111</v>
      </c>
      <c r="Q62" s="20">
        <v>-460.10212339039998</v>
      </c>
      <c r="R62" s="20">
        <v>-460.16775543009999</v>
      </c>
      <c r="S62" s="20">
        <v>-461.32534021399999</v>
      </c>
      <c r="T62" s="20">
        <f>(S62-Q62)/2*27.211324570273</f>
        <v>-16.642675003399152</v>
      </c>
      <c r="U62" s="20">
        <f>(R62-Q62)*27.211324570273</f>
        <v>-1.7859347344859025</v>
      </c>
      <c r="V62" s="20">
        <f>(F62-I62-D62+G62)/2*27.211324570273</f>
        <v>0.33058472769123304</v>
      </c>
      <c r="W62" s="20">
        <f>(E62-H62-D62+G62)*27.211324570273</f>
        <v>-0.10263761962288731</v>
      </c>
      <c r="X62" s="20">
        <f>(P62-O62-K62+J62)/2*27.211324570273</f>
        <v>-0.12437793595786842</v>
      </c>
      <c r="Y62" s="20">
        <f>(N62-M62-L62+J62)*27.211324570273</f>
        <v>-1.8600721352190486</v>
      </c>
      <c r="Z62" s="21">
        <f>(F62+P62-O62-D62-K62+J62-2*C62)*27.211324570273</f>
        <v>-9.9729148607943969</v>
      </c>
      <c r="AA62" s="21">
        <f>(S62+F62-I62+P62-O62-Q62-D62+G62-K62+J62-2*C62)*27.211324570273</f>
        <v>-9.9783364233300258</v>
      </c>
      <c r="AB62" s="21">
        <f>(E62+N62-M62-D62-L62+J62)*27.211324570273</f>
        <v>-3.2960137327910672</v>
      </c>
      <c r="AC62" s="21">
        <f>(R62+E62-H62+N62-M62-Q62-D62+G62-L62+J62)*27.211324570273</f>
        <v>-3.7486444893293851</v>
      </c>
      <c r="AD62" s="20">
        <v>4.84</v>
      </c>
      <c r="AE62" s="20">
        <v>4.4400000000000004</v>
      </c>
      <c r="AF62" s="21">
        <f>-Z62/2-AE62</f>
        <v>0.54645743039719807</v>
      </c>
      <c r="AG62" s="21">
        <f>-AA62/2-AE62</f>
        <v>0.54916821166501251</v>
      </c>
      <c r="AH62" s="21">
        <f>-AB62-AD62</f>
        <v>-1.5439862672089326</v>
      </c>
      <c r="AI62" s="21">
        <f>-AC62-AD62</f>
        <v>-1.0913555106706148</v>
      </c>
      <c r="AJ62" s="22">
        <v>0.55300000000000005</v>
      </c>
      <c r="AK62" s="21">
        <v>-1.0455000000000001</v>
      </c>
      <c r="AL62" s="21">
        <f>AF62+(0.69-AF$8)</f>
        <v>0.56701940773672588</v>
      </c>
      <c r="AM62" s="21">
        <f>AG62+(0.69-AG$8)</f>
        <v>0.56753779435428742</v>
      </c>
      <c r="AN62" s="21">
        <f>AH62+(-0.8815-AH$8)</f>
        <v>-1.0383123980868909</v>
      </c>
      <c r="AO62" s="21">
        <f>AI62+(-0.8815-AI$8)</f>
        <v>-1.0539387787795049</v>
      </c>
      <c r="AP62" s="20">
        <f t="shared" si="1"/>
        <v>1.4019407736725831E-2</v>
      </c>
      <c r="AQ62" s="20">
        <f t="shared" si="2"/>
        <v>1.453779435428737E-2</v>
      </c>
      <c r="AR62" s="20">
        <f t="shared" si="3"/>
        <v>7.1876019131091873E-3</v>
      </c>
      <c r="AS62" s="20">
        <f t="shared" si="4"/>
        <v>8.4387787795048297E-3</v>
      </c>
    </row>
    <row r="63" spans="1:45" ht="15" customHeight="1" x14ac:dyDescent="0.2">
      <c r="A63" s="26" t="s">
        <v>128</v>
      </c>
      <c r="B63" s="19" t="s">
        <v>174</v>
      </c>
      <c r="C63" s="20">
        <f t="shared" si="0"/>
        <v>-0.42068146923305594</v>
      </c>
      <c r="D63" s="20">
        <v>-459.99653000000001</v>
      </c>
      <c r="E63" s="20">
        <v>-460.06178999999997</v>
      </c>
      <c r="F63" s="20">
        <v>-461.19582000000003</v>
      </c>
      <c r="G63" s="20">
        <v>-460.10226328049998</v>
      </c>
      <c r="H63" s="20">
        <v>-460.165306547</v>
      </c>
      <c r="I63" s="20">
        <v>-461.32564493310002</v>
      </c>
      <c r="J63" s="20">
        <v>-459.88738829699997</v>
      </c>
      <c r="K63" s="20">
        <v>-459.89400225700001</v>
      </c>
      <c r="L63" s="20">
        <v>-459.89999288609999</v>
      </c>
      <c r="M63" s="20">
        <v>-459.94292011250002</v>
      </c>
      <c r="N63" s="20">
        <v>-460.02385673129999</v>
      </c>
      <c r="O63" s="20">
        <v>-461.10808581179998</v>
      </c>
      <c r="P63" s="20">
        <v>-461.12384390459999</v>
      </c>
      <c r="Q63" s="20">
        <v>-460.1021230705</v>
      </c>
      <c r="R63" s="20">
        <v>-460.1677576157</v>
      </c>
      <c r="S63" s="20">
        <v>-461.32533999150002</v>
      </c>
      <c r="T63" s="20">
        <f>(S63-Q63)/2*27.211324570273</f>
        <v>-16.642676328590717</v>
      </c>
      <c r="U63" s="20">
        <f>(R63-Q63)*27.211324570273</f>
        <v>-1.7860029124594057</v>
      </c>
      <c r="V63" s="20">
        <f>(F63-I63-D63+G63)/2*27.211324570273</f>
        <v>0.32778288916671033</v>
      </c>
      <c r="W63" s="20">
        <f>(E63-H63-D63+G63)*27.211324570273</f>
        <v>-6.03202547529215E-2</v>
      </c>
      <c r="X63" s="20">
        <f>(P63-O63-K63+J63)/2*27.211324570273</f>
        <v>-0.12441198276689422</v>
      </c>
      <c r="Y63" s="20">
        <f>(N63-M63-L63+J63)*27.211324570273</f>
        <v>-1.8594050387107499</v>
      </c>
      <c r="Z63" s="21">
        <f>(F63+P63-O63-D63-K63+J63-2*C63)*27.211324570273</f>
        <v>-9.9884934094170124</v>
      </c>
      <c r="AA63" s="21">
        <f>(S63+F63-I63+P63-O63-Q63-D63+G63-K63+J63-2*C63)*27.211324570273</f>
        <v>-9.984010844381805</v>
      </c>
      <c r="AB63" s="21">
        <f>(E63+N63-M63-D63-L63+J63)*27.211324570273</f>
        <v>-3.6352160801643096</v>
      </c>
      <c r="AC63" s="21">
        <f>(R63+E63-H63+N63-M63-Q63-D63+G63-L63+J63)*27.211324570273</f>
        <v>-3.7057282059246237</v>
      </c>
      <c r="AD63" s="20">
        <v>4.84</v>
      </c>
      <c r="AE63" s="20">
        <v>4.4400000000000004</v>
      </c>
      <c r="AF63" s="21">
        <f>-Z63/2-AE63</f>
        <v>0.55424670470850579</v>
      </c>
      <c r="AG63" s="21">
        <f>-AA63/2-AE63</f>
        <v>0.5520054221909021</v>
      </c>
      <c r="AH63" s="21">
        <f>-AB63-AD63</f>
        <v>-1.2047839198356902</v>
      </c>
      <c r="AI63" s="21">
        <f>-AC63-AD63</f>
        <v>-1.1342717940753761</v>
      </c>
      <c r="AJ63" s="22">
        <v>0.55300000000000005</v>
      </c>
      <c r="AK63" s="21">
        <v>-1.0455000000000001</v>
      </c>
      <c r="AL63" s="21">
        <f>AF63+(0.69-AF$9)</f>
        <v>0.56981940949847543</v>
      </c>
      <c r="AM63" s="21">
        <f>AG63+(0.69-AG$9)</f>
        <v>0.56963256293827369</v>
      </c>
      <c r="AN63" s="21">
        <f>AH63+(-0.8815-AH$9)</f>
        <v>-1.078680806260345</v>
      </c>
      <c r="AO63" s="21">
        <f>AI63+(-0.8815-AI$9)</f>
        <v>-1.0563559498558548</v>
      </c>
      <c r="AP63" s="20">
        <f t="shared" si="1"/>
        <v>1.6819409498475379E-2</v>
      </c>
      <c r="AQ63" s="20">
        <f t="shared" si="2"/>
        <v>1.6632562938273643E-2</v>
      </c>
      <c r="AR63" s="20">
        <f t="shared" si="3"/>
        <v>3.3180806260344919E-2</v>
      </c>
      <c r="AS63" s="20">
        <f t="shared" si="4"/>
        <v>1.0855949855854696E-2</v>
      </c>
    </row>
    <row r="64" spans="1:45" ht="15" customHeight="1" x14ac:dyDescent="0.2">
      <c r="A64" s="26" t="s">
        <v>128</v>
      </c>
      <c r="B64" s="19" t="s">
        <v>43</v>
      </c>
      <c r="C64" s="20">
        <f t="shared" si="0"/>
        <v>-0.42068146923305594</v>
      </c>
      <c r="D64" s="20">
        <v>-459.80414000000002</v>
      </c>
      <c r="E64" s="20">
        <v>-459.87644</v>
      </c>
      <c r="F64" s="20">
        <v>-461.01416999999998</v>
      </c>
      <c r="G64" s="20">
        <v>-459.91087937370003</v>
      </c>
      <c r="H64" s="20">
        <v>-459.98124113770001</v>
      </c>
      <c r="I64" s="20">
        <v>-461.14454966950001</v>
      </c>
      <c r="J64" s="20">
        <v>-459.88753191619998</v>
      </c>
      <c r="K64" s="20">
        <v>-459.89426510890002</v>
      </c>
      <c r="L64" s="20">
        <v>-459.90024894269999</v>
      </c>
      <c r="M64" s="20">
        <v>-459.9430131734</v>
      </c>
      <c r="N64" s="20">
        <v>-460.02406930680002</v>
      </c>
      <c r="O64" s="20">
        <v>-461.10821455569999</v>
      </c>
      <c r="P64" s="20">
        <v>-461.12403563459998</v>
      </c>
      <c r="Q64" s="20">
        <v>-459.48690443563203</v>
      </c>
      <c r="R64" s="20">
        <v>-459.549834832599</v>
      </c>
      <c r="S64" s="20">
        <v>-460.720393586444</v>
      </c>
      <c r="T64" s="20">
        <f>(S64-Q64)/2*27.211324570273</f>
        <v>-16.782436818327561</v>
      </c>
      <c r="U64" s="20">
        <f>(R64-Q64)*27.211324570273</f>
        <v>-1.7124194572045166</v>
      </c>
      <c r="V64" s="20">
        <f>(F64-I64-D64+G64)/2*27.211324570273</f>
        <v>0.32164188097581992</v>
      </c>
      <c r="W64" s="20">
        <f>(E64-H64-D64+G64)*27.211324570273</f>
        <v>-5.2741968889811336E-2</v>
      </c>
      <c r="X64" s="20">
        <f>(P64-O64-K64+J64)/2*27.211324570273</f>
        <v>-0.12364671052227129</v>
      </c>
      <c r="Y64" s="20">
        <f>(N64-M64-L64+J64)*27.211324570273</f>
        <v>-1.8595976186984318</v>
      </c>
      <c r="Z64" s="21">
        <f>(F64+P64-O64-D64-K64+J64-2*C64)*27.211324570273</f>
        <v>-10.279212490809362</v>
      </c>
      <c r="AA64" s="21">
        <f>(S64+F64-I64+P64-O64-Q64-D64+G64-K64+J64-2*C64)*27.211324570273</f>
        <v>-10.274283295746477</v>
      </c>
      <c r="AB64" s="21">
        <f>(E64+N64-M64-D64-L64+J64)*27.211324570273</f>
        <v>-3.8269763851287415</v>
      </c>
      <c r="AC64" s="21">
        <f>(R64+E64-H64+N64-M64-Q64-D64+G64-L64+J64)*27.211324570273</f>
        <v>-3.6247590447943066</v>
      </c>
      <c r="AD64" s="20">
        <v>4.84</v>
      </c>
      <c r="AE64" s="20">
        <v>4.4400000000000004</v>
      </c>
      <c r="AF64" s="21">
        <f>-Z64/2-AE64</f>
        <v>0.69960624540468075</v>
      </c>
      <c r="AG64" s="21">
        <f>-AA64/2-AE64</f>
        <v>0.69714164787323796</v>
      </c>
      <c r="AH64" s="21">
        <f>-AB64-AD64</f>
        <v>-1.0130236148712584</v>
      </c>
      <c r="AI64" s="21">
        <f>-AC64-AD64</f>
        <v>-1.2152409552056933</v>
      </c>
      <c r="AJ64" s="22">
        <v>0.55300000000000005</v>
      </c>
      <c r="AK64" s="21">
        <v>-1.0455000000000001</v>
      </c>
      <c r="AL64" s="21">
        <f>AF64+(0.69-AF$10)</f>
        <v>0.58380077445546741</v>
      </c>
      <c r="AM64" s="21">
        <f>AG64+(0.69-AG$10)</f>
        <v>0.59047928088116963</v>
      </c>
      <c r="AN64" s="21">
        <f>AH64+(-0.8815-AH$10)</f>
        <v>-1.0664740183040919</v>
      </c>
      <c r="AO64" s="21">
        <f>AI64+(-0.8815-AI$10)</f>
        <v>-1.0327228435783189</v>
      </c>
      <c r="AP64" s="20">
        <f t="shared" si="1"/>
        <v>3.0800774455467361E-2</v>
      </c>
      <c r="AQ64" s="20">
        <f t="shared" si="2"/>
        <v>3.7479280881169585E-2</v>
      </c>
      <c r="AR64" s="20">
        <f t="shared" si="3"/>
        <v>2.0974018304091846E-2</v>
      </c>
      <c r="AS64" s="20">
        <f t="shared" si="4"/>
        <v>1.2777156421681202E-2</v>
      </c>
    </row>
    <row r="65" spans="1:45" x14ac:dyDescent="0.2">
      <c r="A65" s="26" t="s">
        <v>129</v>
      </c>
      <c r="B65" s="19" t="s">
        <v>27</v>
      </c>
      <c r="C65" s="20">
        <f t="shared" si="0"/>
        <v>-0.42068146923305594</v>
      </c>
      <c r="D65" s="20">
        <v>-498.98962</v>
      </c>
      <c r="E65" s="20">
        <v>-499.06353000000001</v>
      </c>
      <c r="F65" s="20">
        <v>-500.19992999999999</v>
      </c>
      <c r="G65" s="20">
        <v>-499.12009495249998</v>
      </c>
      <c r="H65" s="20">
        <v>-499.19124517289998</v>
      </c>
      <c r="I65" s="20">
        <v>-500.35460537900002</v>
      </c>
      <c r="J65" s="20">
        <v>-499.18864662129999</v>
      </c>
      <c r="K65" s="20">
        <v>-499.19499864149998</v>
      </c>
      <c r="L65" s="20">
        <v>-499.20148735930002</v>
      </c>
      <c r="M65" s="20">
        <v>-499.24175836979998</v>
      </c>
      <c r="N65" s="20">
        <v>-499.32227155010003</v>
      </c>
      <c r="O65" s="20">
        <v>-500.40594364750001</v>
      </c>
      <c r="P65" s="20">
        <v>-500.42082792870002</v>
      </c>
      <c r="Q65" s="20">
        <v>-499.64850539370002</v>
      </c>
      <c r="R65" s="20">
        <v>-499.71691559620001</v>
      </c>
      <c r="S65" s="20">
        <v>-500.88054021980003</v>
      </c>
      <c r="T65" s="20">
        <f>(S65-Q65)/2*27.211324570273</f>
        <v>-16.762649767443545</v>
      </c>
      <c r="U65" s="20">
        <f>(R65-Q65)*27.211324570273</f>
        <v>-1.8615322241453345</v>
      </c>
      <c r="V65" s="20">
        <f>(F65-I65-D65+G65)/2*27.211324570273</f>
        <v>0.32926283011587493</v>
      </c>
      <c r="W65" s="20">
        <f>(E65-H65-D65+G65)*27.211324570273</f>
        <v>-7.5097258438352341E-2</v>
      </c>
      <c r="X65" s="20">
        <f>(P65-O65-K65+J65)/2*27.211324570273</f>
        <v>-0.1160870616950162</v>
      </c>
      <c r="Y65" s="20">
        <f>(N65-M65-L65+J65)*27.211324570273</f>
        <v>-1.8414567918889797</v>
      </c>
      <c r="Z65" s="21">
        <f>(F65+P65-O65-D65-K65+J65-2*C65)*27.211324570273</f>
        <v>-10.2717123640354</v>
      </c>
      <c r="AA65" s="21">
        <f>(S65+F65-I65+P65-O65-Q65-D65+G65-K65+J65-2*C65)*27.211324570273</f>
        <v>-10.204347998043822</v>
      </c>
      <c r="AB65" s="21">
        <f>(E65+N65-M65-D65-L65+J65)*27.211324570273</f>
        <v>-3.8526457908781873</v>
      </c>
      <c r="AC65" s="21">
        <f>(R65+E65-H65+N65-M65-Q65-D65+G65-L65+J65)*27.211324570273</f>
        <v>-3.7780862744711197</v>
      </c>
      <c r="AD65" s="20">
        <v>4.84</v>
      </c>
      <c r="AE65" s="20">
        <v>4.4400000000000004</v>
      </c>
      <c r="AF65" s="21">
        <f>-Z65/2-AE65</f>
        <v>0.69585618201769961</v>
      </c>
      <c r="AG65" s="21">
        <f>-AA65/2-AE65</f>
        <v>0.66217399902191065</v>
      </c>
      <c r="AH65" s="21">
        <f>-AB65-AD65</f>
        <v>-0.9873542091218126</v>
      </c>
      <c r="AI65" s="21">
        <f>-AC65-AD65</f>
        <v>-1.0619137255288802</v>
      </c>
      <c r="AJ65" s="22">
        <v>0.48649999999999999</v>
      </c>
      <c r="AK65" s="21">
        <v>-1.131</v>
      </c>
      <c r="AL65" s="27">
        <f>AF65+(0.69-AF$2)</f>
        <v>0.51304967204364038</v>
      </c>
      <c r="AM65" s="27">
        <f>AG65+(0.69-AG$2)</f>
        <v>0.50490402325897454</v>
      </c>
      <c r="AN65" s="27">
        <f>AH65+(-0.8815-AH$2)</f>
        <v>-1.1618751562327394</v>
      </c>
      <c r="AO65" s="27">
        <f>AI65+(-0.8815-AI$2)</f>
        <v>-1.1677753578090107</v>
      </c>
      <c r="AP65" s="20">
        <f t="shared" si="1"/>
        <v>2.6549672043640393E-2</v>
      </c>
      <c r="AQ65" s="20">
        <f t="shared" si="2"/>
        <v>1.8404023258974556E-2</v>
      </c>
      <c r="AR65" s="20">
        <f t="shared" si="3"/>
        <v>3.0875156232739398E-2</v>
      </c>
      <c r="AS65" s="20">
        <f t="shared" si="4"/>
        <v>3.6775357809010645E-2</v>
      </c>
    </row>
    <row r="66" spans="1:45" ht="15" customHeight="1" x14ac:dyDescent="0.2">
      <c r="A66" s="26" t="s">
        <v>129</v>
      </c>
      <c r="B66" s="19" t="s">
        <v>145</v>
      </c>
      <c r="C66" s="20">
        <f t="shared" ref="C66:C129" si="5">-11.4473/27.211324570273</f>
        <v>-0.42068146923305594</v>
      </c>
      <c r="D66" s="20">
        <v>-498.71960999999999</v>
      </c>
      <c r="E66" s="20">
        <v>-498.78888999999998</v>
      </c>
      <c r="F66" s="20">
        <v>-499.92736000000002</v>
      </c>
      <c r="G66" s="20">
        <v>-498.85119405490002</v>
      </c>
      <c r="H66" s="20">
        <v>-498.91917855819997</v>
      </c>
      <c r="I66" s="20">
        <v>-500.08414337480002</v>
      </c>
      <c r="J66" s="20">
        <v>-499.1888778636</v>
      </c>
      <c r="K66" s="20">
        <v>-499.19495751429997</v>
      </c>
      <c r="L66" s="20">
        <v>-499.20159539790001</v>
      </c>
      <c r="M66" s="20">
        <v>-499.24198500699998</v>
      </c>
      <c r="N66" s="20">
        <v>-499.32241293999999</v>
      </c>
      <c r="O66" s="20">
        <v>-500.4061562389</v>
      </c>
      <c r="P66" s="20">
        <v>-500.42076363540002</v>
      </c>
      <c r="Q66" s="20">
        <v>-499.39055263829999</v>
      </c>
      <c r="R66" s="20">
        <v>-499.45721839100003</v>
      </c>
      <c r="S66" s="20">
        <v>-500.62216614229999</v>
      </c>
      <c r="T66" s="20">
        <f>(S66-Q66)/2*27.211324570273</f>
        <v>-16.756917401237544</v>
      </c>
      <c r="U66" s="20">
        <f>(R66-Q66)*27.211324570273</f>
        <v>-1.814063434442138</v>
      </c>
      <c r="V66" s="20">
        <f>(F66-I66-D66+G66)/2*27.211324570273</f>
        <v>0.34285343637409094</v>
      </c>
      <c r="W66" s="20">
        <f>(E66-H66-D66+G66)*27.211324570273</f>
        <v>-3.5252181184458602E-2</v>
      </c>
      <c r="X66" s="20">
        <f>(P66-O66-K66+J66)/2*27.211324570273</f>
        <v>-0.11602562940899717</v>
      </c>
      <c r="Y66" s="20">
        <f>(N66-M66-L66+J66)*27.211324570273</f>
        <v>-1.8424896358083169</v>
      </c>
      <c r="Z66" s="21">
        <f>(F66+P66-O66-D66-K66+J66-2*C66)*27.211324570273</f>
        <v>-10.2019285085661</v>
      </c>
      <c r="AA66" s="21">
        <f>(S66+F66-I66+P66-O66-Q66-D66+G66-K66+J66-2*C66)*27.211324570273</f>
        <v>-10.165579188546445</v>
      </c>
      <c r="AB66" s="21">
        <f>(E66+N66-M66-D66-L66+J66)*27.211324570273</f>
        <v>-3.7276902020366132</v>
      </c>
      <c r="AC66" s="21">
        <f>(R66+E66-H66+N66-M66-Q66-D66+G66-L66+J66)*27.211324570273</f>
        <v>-3.6918052514364601</v>
      </c>
      <c r="AD66" s="20">
        <v>4.84</v>
      </c>
      <c r="AE66" s="20">
        <v>4.4400000000000004</v>
      </c>
      <c r="AF66" s="21">
        <f>-Z66/2-AE66</f>
        <v>0.66096425428304961</v>
      </c>
      <c r="AG66" s="21">
        <f>-AA66/2-AE66</f>
        <v>0.64278959427322224</v>
      </c>
      <c r="AH66" s="21">
        <f>-AB66-AD66</f>
        <v>-1.1123097979633867</v>
      </c>
      <c r="AI66" s="21">
        <f>-AC66-AD66</f>
        <v>-1.1481947485635398</v>
      </c>
      <c r="AJ66" s="22">
        <v>0.48649999999999999</v>
      </c>
      <c r="AK66" s="21">
        <v>-1.131</v>
      </c>
      <c r="AL66" s="27">
        <f>AF66+(0.69-AF$3)</f>
        <v>0.50168241332027508</v>
      </c>
      <c r="AM66" s="27">
        <f>AG66+(0.69-AG$3)</f>
        <v>0.49410940781361257</v>
      </c>
      <c r="AN66" s="27">
        <f>AH66+(-0.8815-AH$3)</f>
        <v>-1.1839045547928553</v>
      </c>
      <c r="AO66" s="27">
        <f>AI66+(-0.8815-AI$3)</f>
        <v>-1.1858892916562858</v>
      </c>
      <c r="AP66" s="20">
        <f t="shared" si="1"/>
        <v>1.518241332027509E-2</v>
      </c>
      <c r="AQ66" s="20">
        <f t="shared" si="2"/>
        <v>7.6094078136125787E-3</v>
      </c>
      <c r="AR66" s="20">
        <f t="shared" si="3"/>
        <v>5.2904554792855274E-2</v>
      </c>
      <c r="AS66" s="20">
        <f t="shared" si="4"/>
        <v>5.4889291656285755E-2</v>
      </c>
    </row>
    <row r="67" spans="1:45" ht="15" customHeight="1" x14ac:dyDescent="0.2">
      <c r="A67" s="26" t="s">
        <v>129</v>
      </c>
      <c r="B67" s="19" t="s">
        <v>29</v>
      </c>
      <c r="C67" s="20">
        <f t="shared" si="5"/>
        <v>-0.42068146923305594</v>
      </c>
      <c r="D67" s="20">
        <v>-499.15042999999997</v>
      </c>
      <c r="E67" s="20">
        <v>-499.22046</v>
      </c>
      <c r="F67" s="20">
        <v>-500.36563999999998</v>
      </c>
      <c r="G67" s="20">
        <v>-499.28301027309999</v>
      </c>
      <c r="H67" s="20">
        <v>-499.35102687839998</v>
      </c>
      <c r="I67" s="20">
        <v>-500.52255940420002</v>
      </c>
      <c r="J67" s="20">
        <v>-499.1888267946</v>
      </c>
      <c r="K67" s="20">
        <v>-499.19496471140002</v>
      </c>
      <c r="L67" s="20">
        <v>-499.20158159660002</v>
      </c>
      <c r="M67" s="20">
        <v>-499.24187216799999</v>
      </c>
      <c r="N67" s="20">
        <v>-499.32235517470002</v>
      </c>
      <c r="O67" s="20">
        <v>-500.40601561860001</v>
      </c>
      <c r="P67" s="20">
        <v>-500.42082493129999</v>
      </c>
      <c r="Q67" s="20">
        <v>-499.80291904400002</v>
      </c>
      <c r="R67" s="20">
        <v>-499.86808987569998</v>
      </c>
      <c r="S67" s="20">
        <v>-501.04049576969999</v>
      </c>
      <c r="T67" s="20">
        <f>(S67-Q67)/2*27.211324570273</f>
        <v>-16.838050981818753</v>
      </c>
      <c r="U67" s="20">
        <f>(R67-Q67)*27.211324570273</f>
        <v>-1.7733846539022169</v>
      </c>
      <c r="V67" s="20">
        <f>(F67-I67-D67+G67)/2*27.211324570273</f>
        <v>0.3311499980605479</v>
      </c>
      <c r="W67" s="20">
        <f>(E67-H67-D67+G67)*27.211324570273</f>
        <v>-5.4787136670941233E-2</v>
      </c>
      <c r="X67" s="20">
        <f>(P67-O67-K67+J67)/2*27.211324570273</f>
        <v>-0.11798008415566398</v>
      </c>
      <c r="Y67" s="20">
        <f>(N67-M67-L67+J67)*27.211324570273</f>
        <v>-1.8429741606540686</v>
      </c>
      <c r="Z67" s="21">
        <f>(F67+P67-O67-D67-K67+J67-2*C67)*27.211324570273</f>
        <v>-10.408833899353139</v>
      </c>
      <c r="AA67" s="21">
        <f>(S67+F67-I67+P67-O67-Q67-D67+G67-K67+J67-2*C67)*27.211324570273</f>
        <v>-10.355162135827742</v>
      </c>
      <c r="AB67" s="21">
        <f>(E67+N67-M67-D67-L67+J67)*27.211324570273</f>
        <v>-3.7485832203126805</v>
      </c>
      <c r="AC67" s="21">
        <f>(R67+E67-H67+N67-M67-Q67-D67+G67-L67+J67)*27.211324570273</f>
        <v>-3.6711459512272264</v>
      </c>
      <c r="AD67" s="20">
        <v>4.84</v>
      </c>
      <c r="AE67" s="20">
        <v>4.4400000000000004</v>
      </c>
      <c r="AF67" s="21">
        <f>-Z67/2-AE67</f>
        <v>0.76441694967656915</v>
      </c>
      <c r="AG67" s="21">
        <f>-AA67/2-AE67</f>
        <v>0.73758106791387057</v>
      </c>
      <c r="AH67" s="21">
        <f>-AB67-AD67</f>
        <v>-1.0914167796873193</v>
      </c>
      <c r="AI67" s="21">
        <f>-AC67-AD67</f>
        <v>-1.1688540487727734</v>
      </c>
      <c r="AJ67" s="22">
        <v>0.48649999999999999</v>
      </c>
      <c r="AK67" s="21">
        <v>-1.131</v>
      </c>
      <c r="AL67" s="21">
        <f>AF67+(0.69-AF$4)</f>
        <v>0.5200962581517703</v>
      </c>
      <c r="AM67" s="21">
        <f>AG67+(0.69-AG$4)</f>
        <v>0.51329482294931816</v>
      </c>
      <c r="AN67" s="21">
        <f>AH67+(-0.8815-AH$4)</f>
        <v>-1.163740770083455</v>
      </c>
      <c r="AO67" s="21">
        <f>AI67+(-0.8815-AI$4)</f>
        <v>-1.1674415483238039</v>
      </c>
      <c r="AP67" s="20">
        <f t="shared" ref="AP67:AP130" si="6">ABS(AL67-AJ67)</f>
        <v>3.3596258151770308E-2</v>
      </c>
      <c r="AQ67" s="20">
        <f t="shared" ref="AQ67:AQ130" si="7">ABS(AM67-AJ67)</f>
        <v>2.6794822949318176E-2</v>
      </c>
      <c r="AR67" s="20">
        <f t="shared" ref="AR67:AR130" si="8">ABS(AN67-AK67)</f>
        <v>3.2740770083454995E-2</v>
      </c>
      <c r="AS67" s="20">
        <f t="shared" ref="AS67:AS130" si="9">ABS(AO67-AK67)</f>
        <v>3.6441548323803863E-2</v>
      </c>
    </row>
    <row r="68" spans="1:45" ht="15" customHeight="1" x14ac:dyDescent="0.2">
      <c r="A68" s="26" t="s">
        <v>129</v>
      </c>
      <c r="B68" s="19" t="s">
        <v>30</v>
      </c>
      <c r="C68" s="20">
        <f t="shared" si="5"/>
        <v>-0.42068146923305594</v>
      </c>
      <c r="D68" s="20">
        <v>-499.08512000000002</v>
      </c>
      <c r="E68" s="20">
        <v>-499.15440000000001</v>
      </c>
      <c r="F68" s="20">
        <v>-500.291</v>
      </c>
      <c r="G68" s="20">
        <v>-499.2168101419</v>
      </c>
      <c r="H68" s="20">
        <v>-499.28405863519998</v>
      </c>
      <c r="I68" s="20">
        <v>-500.4468812865</v>
      </c>
      <c r="J68" s="20">
        <v>-499.18900498300002</v>
      </c>
      <c r="K68" s="20">
        <v>-499.1951419358</v>
      </c>
      <c r="L68" s="20">
        <v>-499.20174317430002</v>
      </c>
      <c r="M68" s="20">
        <v>-499.2420536262</v>
      </c>
      <c r="N68" s="20">
        <v>-499.32253575530001</v>
      </c>
      <c r="O68" s="20">
        <v>-500.40622457950002</v>
      </c>
      <c r="P68" s="20">
        <v>-500.42096978469999</v>
      </c>
      <c r="Q68" s="20">
        <v>-499.75070780030001</v>
      </c>
      <c r="R68" s="20">
        <v>-499.81484434160001</v>
      </c>
      <c r="S68" s="20">
        <v>-500.97829767399998</v>
      </c>
      <c r="T68" s="20">
        <f>(S68-Q68)/2*27.211324570273</f>
        <v>-16.702173246215153</v>
      </c>
      <c r="U68" s="20">
        <f>(R68-Q68)*27.211324570273</f>
        <v>-1.7452402421290647</v>
      </c>
      <c r="V68" s="20">
        <f>(F68-I68-D68+G68)/2*27.211324570273</f>
        <v>0.32913654371883644</v>
      </c>
      <c r="W68" s="20">
        <f>(E68-H68-D68+G68)*27.211324570273</f>
        <v>-5.5279988180573544E-2</v>
      </c>
      <c r="X68" s="20">
        <f>(P68-O68-K68+J68)/2*27.211324570273</f>
        <v>-0.11712097501954574</v>
      </c>
      <c r="Y68" s="20">
        <f>(N68-M68-L68+J68)*27.211324570273</f>
        <v>-1.8434022791442701</v>
      </c>
      <c r="Z68" s="21">
        <f>(F68+P68-O68-D68-K68+J68-2*C68)*27.211324570273</f>
        <v>-10.153234022837783</v>
      </c>
      <c r="AA68" s="21">
        <f>(S68+F68-I68+P68-O68-Q68-D68+G68-K68+J68-2*C68)*27.211324570273</f>
        <v>-10.085715355031722</v>
      </c>
      <c r="AB68" s="21">
        <f>(E68+N68-M68-D68-L68+J68)*27.211324570273</f>
        <v>-3.7286028453725661</v>
      </c>
      <c r="AC68" s="21">
        <f>(R68+E68-H68+N68-M68-Q68-D68+G68-L68+J68)*27.211324570273</f>
        <v>-3.6439225094508148</v>
      </c>
      <c r="AD68" s="20">
        <v>4.84</v>
      </c>
      <c r="AE68" s="20">
        <v>4.4400000000000004</v>
      </c>
      <c r="AF68" s="21">
        <f>-Z68/2-AE68</f>
        <v>0.63661701141889093</v>
      </c>
      <c r="AG68" s="21">
        <f>-AA68/2-AE68</f>
        <v>0.6028576775158605</v>
      </c>
      <c r="AH68" s="21">
        <f>-AB68-AD68</f>
        <v>-1.1113971546274337</v>
      </c>
      <c r="AI68" s="21">
        <f>-AC68-AD68</f>
        <v>-1.1960774905491851</v>
      </c>
      <c r="AJ68" s="22">
        <v>0.48649999999999999</v>
      </c>
      <c r="AK68" s="21">
        <v>-1.131</v>
      </c>
      <c r="AL68" s="21">
        <f>AF68+(0.69-AF$5)</f>
        <v>0.52081154046967759</v>
      </c>
      <c r="AM68" s="21">
        <f>AG68+(0.69-AG$5)</f>
        <v>0.51420126346276573</v>
      </c>
      <c r="AN68" s="21">
        <f>AH68+(-0.8815-AH$5)</f>
        <v>-1.1648475580602673</v>
      </c>
      <c r="AO68" s="21">
        <f>AI68+(-0.8815-AI$5)</f>
        <v>-1.16412786206718</v>
      </c>
      <c r="AP68" s="20">
        <f t="shared" si="6"/>
        <v>3.4311540469677604E-2</v>
      </c>
      <c r="AQ68" s="20">
        <f t="shared" si="7"/>
        <v>2.7701263462765746E-2</v>
      </c>
      <c r="AR68" s="20">
        <f t="shared" si="8"/>
        <v>3.3847558060267291E-2</v>
      </c>
      <c r="AS68" s="20">
        <f t="shared" si="9"/>
        <v>3.3127862067179992E-2</v>
      </c>
    </row>
    <row r="69" spans="1:45" ht="15" customHeight="1" x14ac:dyDescent="0.2">
      <c r="A69" s="26" t="s">
        <v>129</v>
      </c>
      <c r="B69" s="19" t="s">
        <v>31</v>
      </c>
      <c r="C69" s="20">
        <f t="shared" si="5"/>
        <v>-0.42068146923305594</v>
      </c>
      <c r="D69" s="20">
        <v>-499.15042999999997</v>
      </c>
      <c r="E69" s="20">
        <v>-499.22046</v>
      </c>
      <c r="F69" s="20">
        <v>-500.36563999999998</v>
      </c>
      <c r="G69" s="20">
        <v>-499.28301027309999</v>
      </c>
      <c r="H69" s="20">
        <v>-499.35102687839998</v>
      </c>
      <c r="I69" s="20">
        <v>-500.52255940420002</v>
      </c>
      <c r="J69" s="20">
        <v>-499.1888267946</v>
      </c>
      <c r="K69" s="20">
        <v>-499.19496471140002</v>
      </c>
      <c r="L69" s="20">
        <v>-499.20158159660002</v>
      </c>
      <c r="M69" s="20">
        <v>-499.24187216799999</v>
      </c>
      <c r="N69" s="20">
        <v>-499.32235517470002</v>
      </c>
      <c r="O69" s="20">
        <v>-500.40601561860001</v>
      </c>
      <c r="P69" s="20">
        <v>-500.42082493129999</v>
      </c>
      <c r="Q69" s="20">
        <v>-499.45674516870002</v>
      </c>
      <c r="R69" s="20">
        <v>-499.52036455780001</v>
      </c>
      <c r="S69" s="20">
        <v>-500.68639598150003</v>
      </c>
      <c r="T69" s="20">
        <f>(S69-Q69)/2*27.211324570273</f>
        <v>-16.73021368760044</v>
      </c>
      <c r="U69" s="20">
        <f>(R69-Q69)*27.211324570273</f>
        <v>-1.7311678457621376</v>
      </c>
      <c r="V69" s="20">
        <f>(F69-I69-D69+G69)/2*27.211324570273</f>
        <v>0.3311499980605479</v>
      </c>
      <c r="W69" s="20">
        <f>(E69-H69-D69+G69)*27.211324570273</f>
        <v>-5.4787136670941233E-2</v>
      </c>
      <c r="X69" s="20">
        <f>(P69-O69-K69+J69)/2*27.211324570273</f>
        <v>-0.11798008415566398</v>
      </c>
      <c r="Y69" s="20">
        <f>(N69-M69-L69+J69)*27.211324570273</f>
        <v>-1.8429741606540686</v>
      </c>
      <c r="Z69" s="21">
        <f>(F69+P69-O69-D69-K69+J69-2*C69)*27.211324570273</f>
        <v>-10.408833899353139</v>
      </c>
      <c r="AA69" s="21">
        <f>(S69+F69-I69+P69-O69-Q69-D69+G69-K69+J69-2*C69)*27.211324570273</f>
        <v>-10.139487547391113</v>
      </c>
      <c r="AB69" s="21">
        <f>(E69+N69-M69-D69-L69+J69)*27.211324570273</f>
        <v>-3.7485832203126805</v>
      </c>
      <c r="AC69" s="21">
        <f>(R69+E69-H69+N69-M69-Q69-D69+G69-L69+J69)*27.211324570273</f>
        <v>-3.6289291430871473</v>
      </c>
      <c r="AD69" s="20">
        <v>4.84</v>
      </c>
      <c r="AE69" s="20">
        <v>4.4400000000000004</v>
      </c>
      <c r="AF69" s="21">
        <f>-Z69/2-AE69</f>
        <v>0.76441694967656915</v>
      </c>
      <c r="AG69" s="21">
        <f>-AA69/2-AE69</f>
        <v>0.62974377369555601</v>
      </c>
      <c r="AH69" s="21">
        <f>-AB69-AD69</f>
        <v>-1.0914167796873193</v>
      </c>
      <c r="AI69" s="21">
        <f>-AC69-AD69</f>
        <v>-1.2110708569128525</v>
      </c>
      <c r="AJ69" s="22">
        <v>0.48649999999999999</v>
      </c>
      <c r="AK69" s="21">
        <v>-1.131</v>
      </c>
      <c r="AL69" s="21">
        <f>AF69+(0.69-AF$6)</f>
        <v>0.5200962581517703</v>
      </c>
      <c r="AM69" s="21">
        <f>AG69+(0.69-AG$6)</f>
        <v>0.51335671238524094</v>
      </c>
      <c r="AN69" s="21">
        <f>AH69+(-0.8815-AH$6)</f>
        <v>-1.163740770083455</v>
      </c>
      <c r="AO69" s="21">
        <f>AI69+(-0.8815-AI$6)</f>
        <v>-1.1594483441802512</v>
      </c>
      <c r="AP69" s="20">
        <f t="shared" si="6"/>
        <v>3.3596258151770308E-2</v>
      </c>
      <c r="AQ69" s="20">
        <f t="shared" si="7"/>
        <v>2.6856712385240955E-2</v>
      </c>
      <c r="AR69" s="20">
        <f t="shared" si="8"/>
        <v>3.2740770083454995E-2</v>
      </c>
      <c r="AS69" s="20">
        <f t="shared" si="9"/>
        <v>2.8448344180251217E-2</v>
      </c>
    </row>
    <row r="70" spans="1:45" ht="15" customHeight="1" x14ac:dyDescent="0.2">
      <c r="A70" s="26" t="s">
        <v>129</v>
      </c>
      <c r="B70" s="19" t="s">
        <v>32</v>
      </c>
      <c r="C70" s="20">
        <f t="shared" si="5"/>
        <v>-0.42068146923305594</v>
      </c>
      <c r="D70" s="20">
        <v>-499.08512000000002</v>
      </c>
      <c r="E70" s="20">
        <v>-499.15440000000001</v>
      </c>
      <c r="F70" s="20">
        <v>-500.291</v>
      </c>
      <c r="G70" s="20">
        <v>-499.2168101419</v>
      </c>
      <c r="H70" s="20">
        <v>-499.28405863519998</v>
      </c>
      <c r="I70" s="20">
        <v>-500.4468812865</v>
      </c>
      <c r="J70" s="20">
        <v>-499.18900498300002</v>
      </c>
      <c r="K70" s="20">
        <v>-499.1951419358</v>
      </c>
      <c r="L70" s="20">
        <v>-499.20174317430002</v>
      </c>
      <c r="M70" s="20">
        <v>-499.2420536262</v>
      </c>
      <c r="N70" s="20">
        <v>-499.32253575530001</v>
      </c>
      <c r="O70" s="20">
        <v>-500.40622457950002</v>
      </c>
      <c r="P70" s="20">
        <v>-500.42096978469999</v>
      </c>
      <c r="Q70" s="20">
        <v>-499.41408305900001</v>
      </c>
      <c r="R70" s="20">
        <v>-499.47679457620001</v>
      </c>
      <c r="S70" s="20">
        <v>-500.63355437130002</v>
      </c>
      <c r="T70" s="20">
        <f>(S70-Q70)/2*27.211324570273</f>
        <v>-16.591714841566237</v>
      </c>
      <c r="U70" s="20">
        <f>(R70-Q70)*27.211324570273</f>
        <v>-1.7064634488234671</v>
      </c>
      <c r="V70" s="20">
        <f>(F70-I70-D70+G70)/2*27.211324570273</f>
        <v>0.32913654371883644</v>
      </c>
      <c r="W70" s="20">
        <f>(E70-H70-D70+G70)*27.211324570273</f>
        <v>-5.5279988180573544E-2</v>
      </c>
      <c r="X70" s="20">
        <f>(P70-O70-K70+J70)/2*27.211324570273</f>
        <v>-0.11712097501954574</v>
      </c>
      <c r="Y70" s="20">
        <f>(N70-M70-L70+J70)*27.211324570273</f>
        <v>-1.8434022791442701</v>
      </c>
      <c r="Z70" s="21">
        <f>(F70+P70-O70-D70-K70+J70-2*C70)*27.211324570273</f>
        <v>-10.153234022837783</v>
      </c>
      <c r="AA70" s="21">
        <f>(S70+F70-I70+P70-O70-Q70-D70+G70-K70+J70-2*C70)*27.211324570273</f>
        <v>-9.8647985457338923</v>
      </c>
      <c r="AB70" s="21">
        <f>(E70+N70-M70-D70-L70+J70)*27.211324570273</f>
        <v>-3.7286028453725661</v>
      </c>
      <c r="AC70" s="21">
        <f>(R70+E70-H70+N70-M70-Q70-D70+G70-L70+J70)*27.211324570273</f>
        <v>-3.6051457161452172</v>
      </c>
      <c r="AD70" s="20">
        <v>4.84</v>
      </c>
      <c r="AE70" s="20">
        <v>4.4400000000000004</v>
      </c>
      <c r="AF70" s="21">
        <f>-Z70/2-AE70</f>
        <v>0.63661701141889093</v>
      </c>
      <c r="AG70" s="21">
        <f>-AA70/2-AE70</f>
        <v>0.49239927286694574</v>
      </c>
      <c r="AH70" s="21">
        <f>-AB70-AD70</f>
        <v>-1.1113971546274337</v>
      </c>
      <c r="AI70" s="21">
        <f>-AC70-AD70</f>
        <v>-1.2348542838547827</v>
      </c>
      <c r="AJ70" s="22">
        <v>0.48649999999999999</v>
      </c>
      <c r="AK70" s="21">
        <v>-1.131</v>
      </c>
      <c r="AL70" s="21">
        <f>AF70+(0.69-AF$7)</f>
        <v>0.52081154046967759</v>
      </c>
      <c r="AM70" s="21">
        <f>AG70+(0.69-AG$7)</f>
        <v>0.51297793210798881</v>
      </c>
      <c r="AN70" s="21">
        <f>AH70+(-0.8815-AH$7)</f>
        <v>-1.1648475580602673</v>
      </c>
      <c r="AO70" s="21">
        <f>AI70+(-0.8815-AI$7)</f>
        <v>-1.1553508411640774</v>
      </c>
      <c r="AP70" s="20">
        <f t="shared" si="6"/>
        <v>3.4311540469677604E-2</v>
      </c>
      <c r="AQ70" s="20">
        <f t="shared" si="7"/>
        <v>2.6477932107988822E-2</v>
      </c>
      <c r="AR70" s="20">
        <f t="shared" si="8"/>
        <v>3.3847558060267291E-2</v>
      </c>
      <c r="AS70" s="20">
        <f t="shared" si="9"/>
        <v>2.4350841164077375E-2</v>
      </c>
    </row>
    <row r="71" spans="1:45" ht="15" customHeight="1" x14ac:dyDescent="0.2">
      <c r="A71" s="26" t="s">
        <v>129</v>
      </c>
      <c r="B71" s="19" t="s">
        <v>33</v>
      </c>
      <c r="C71" s="20">
        <f t="shared" si="5"/>
        <v>-0.42068146923305594</v>
      </c>
      <c r="D71" s="20">
        <v>-499.28471999999999</v>
      </c>
      <c r="E71" s="20">
        <v>-499.33440999999999</v>
      </c>
      <c r="F71" s="20">
        <v>-500.47874999999999</v>
      </c>
      <c r="G71" s="20">
        <v>-499.41486024630001</v>
      </c>
      <c r="H71" s="20">
        <v>-499.46089702059999</v>
      </c>
      <c r="I71" s="20">
        <v>-500.63410138500001</v>
      </c>
      <c r="J71" s="20">
        <v>-499.1888461451</v>
      </c>
      <c r="K71" s="20">
        <v>-499.19485805250002</v>
      </c>
      <c r="L71" s="20">
        <v>-499.20146697460001</v>
      </c>
      <c r="M71" s="20">
        <v>-499.24184787199999</v>
      </c>
      <c r="N71" s="20">
        <v>-499.32220157080002</v>
      </c>
      <c r="O71" s="20">
        <v>-500.4060782743</v>
      </c>
      <c r="P71" s="20">
        <v>-500.42077240959998</v>
      </c>
      <c r="Q71" s="20">
        <v>-499.41459777019998</v>
      </c>
      <c r="R71" s="20">
        <v>-499.4772499956</v>
      </c>
      <c r="S71" s="20">
        <v>-500.63409684869998</v>
      </c>
      <c r="T71" s="20">
        <f>(S71-Q71)/2*27.211324570273</f>
        <v>-16.592092619106264</v>
      </c>
      <c r="U71" s="20">
        <f>(R71-Q71)*27.211324570273</f>
        <v>-1.7048500404100977</v>
      </c>
      <c r="V71" s="20">
        <f>(F71-I71-D71+G71)/2*27.211324570273</f>
        <v>0.34301423897595368</v>
      </c>
      <c r="W71" s="20">
        <f>(E71-H71-D71+G71)*27.211324570273</f>
        <v>-9.9409110251716726E-2</v>
      </c>
      <c r="X71" s="20">
        <f>(P71-O71-K71+J71)/2*27.211324570273</f>
        <v>-0.11812746068935628</v>
      </c>
      <c r="Y71" s="20">
        <f>(N71-M71-L71+J71)*27.211324570273</f>
        <v>-1.8431010905986238</v>
      </c>
      <c r="Z71" s="21">
        <f>(F71+P71-O71-D71-K71+J71-2*C71)*27.211324570273</f>
        <v>-9.8327927980217265</v>
      </c>
      <c r="AA71" s="21">
        <f>(S71+F71-I71+P71-O71-Q71-D71+G71-K71+J71-2*C71)*27.211324570273</f>
        <v>-9.8398116816393344</v>
      </c>
      <c r="AB71" s="21">
        <f>(E71+N71-M71-D71-L71+J71)*27.211324570273</f>
        <v>-3.195231808495441</v>
      </c>
      <c r="AC71" s="21">
        <f>(R71+E71-H71+N71-M71-Q71-D71+G71-L71+J71)*27.211324570273</f>
        <v>-3.6473602412573447</v>
      </c>
      <c r="AD71" s="20">
        <v>4.84</v>
      </c>
      <c r="AE71" s="20">
        <v>4.4400000000000004</v>
      </c>
      <c r="AF71" s="21">
        <f>-Z71/2-AE71</f>
        <v>0.47639639901086284</v>
      </c>
      <c r="AG71" s="21">
        <f>-AA71/2-AE71</f>
        <v>0.47990584081966681</v>
      </c>
      <c r="AH71" s="21">
        <f>-AB71-AD71</f>
        <v>-1.6447681915045589</v>
      </c>
      <c r="AI71" s="21">
        <f>-AC71-AD71</f>
        <v>-1.1926397587426552</v>
      </c>
      <c r="AJ71" s="22">
        <v>0.48649999999999999</v>
      </c>
      <c r="AK71" s="21">
        <v>-1.131</v>
      </c>
      <c r="AL71" s="21">
        <f>AF71+(0.69-AF$8)</f>
        <v>0.49695837635039064</v>
      </c>
      <c r="AM71" s="21">
        <f>AG71+(0.69-AG$8)</f>
        <v>0.49827542350894172</v>
      </c>
      <c r="AN71" s="21">
        <f>AH71+(-0.8815-AH$8)</f>
        <v>-1.1390943223825172</v>
      </c>
      <c r="AO71" s="21">
        <f>AI71+(-0.8815-AI$8)</f>
        <v>-1.1552230268515453</v>
      </c>
      <c r="AP71" s="20">
        <f t="shared" si="6"/>
        <v>1.0458376350390652E-2</v>
      </c>
      <c r="AQ71" s="20">
        <f t="shared" si="7"/>
        <v>1.1775423508941729E-2</v>
      </c>
      <c r="AR71" s="20">
        <f t="shared" si="8"/>
        <v>8.0943223825171717E-3</v>
      </c>
      <c r="AS71" s="20">
        <f t="shared" si="9"/>
        <v>2.4223026851545315E-2</v>
      </c>
    </row>
    <row r="72" spans="1:45" ht="15" customHeight="1" x14ac:dyDescent="0.2">
      <c r="A72" s="26" t="s">
        <v>129</v>
      </c>
      <c r="B72" s="19" t="s">
        <v>174</v>
      </c>
      <c r="C72" s="20">
        <f t="shared" si="5"/>
        <v>-0.42068146923305594</v>
      </c>
      <c r="D72" s="20">
        <v>-499.28411</v>
      </c>
      <c r="E72" s="20">
        <v>-499.3467</v>
      </c>
      <c r="F72" s="20">
        <v>-500.47892999999999</v>
      </c>
      <c r="G72" s="20">
        <v>-499.41482421910001</v>
      </c>
      <c r="H72" s="20">
        <v>-499.4750876379</v>
      </c>
      <c r="I72" s="20">
        <v>-500.63444979740001</v>
      </c>
      <c r="J72" s="20">
        <v>-499.18883759509998</v>
      </c>
      <c r="K72" s="20">
        <v>-499.19485122840001</v>
      </c>
      <c r="L72" s="20">
        <v>-499.20145797750001</v>
      </c>
      <c r="M72" s="20">
        <v>-499.24194257300002</v>
      </c>
      <c r="N72" s="20">
        <v>-499.32228245469997</v>
      </c>
      <c r="O72" s="20">
        <v>-500.40607448269998</v>
      </c>
      <c r="P72" s="20">
        <v>-500.42077308199998</v>
      </c>
      <c r="Q72" s="20">
        <v>-499.41459707050001</v>
      </c>
      <c r="R72" s="20">
        <v>-499.47723804579999</v>
      </c>
      <c r="S72" s="20">
        <v>-500.63409644889998</v>
      </c>
      <c r="T72" s="20">
        <f>(S72-Q72)/2*27.211324570273</f>
        <v>-16.592096699443925</v>
      </c>
      <c r="U72" s="20">
        <f>(R72-Q72)*27.211324570273</f>
        <v>-1.7045439102863404</v>
      </c>
      <c r="V72" s="20">
        <f>(F72-I72-D72+G72)/2*27.211324570273</f>
        <v>0.33749632113736577</v>
      </c>
      <c r="W72" s="20">
        <f>(E72-H72-D72+G72)*27.211324570273</f>
        <v>-6.3309356172541756E-2</v>
      </c>
      <c r="X72" s="20">
        <f>(P72-O72-K72+J72)/2*27.211324570273</f>
        <v>-0.11816471435356223</v>
      </c>
      <c r="Y72" s="20">
        <f>(N72-M72-L72+J72)*27.211324570273</f>
        <v>-1.8427372751866657</v>
      </c>
      <c r="Z72" s="21">
        <f>(F72+P72-O72-D72-K72+J72-2*C72)*27.211324570273</f>
        <v>-9.8543642517605168</v>
      </c>
      <c r="AA72" s="21">
        <f>(S72+F72-I72+P72-O72-Q72-D72+G72-K72+J72-2*C72)*27.211324570273</f>
        <v>-9.8509301853217881</v>
      </c>
      <c r="AB72" s="21">
        <f>(E72+N72-M72-D72-L72+J72)*27.211324570273</f>
        <v>-3.5458940800400569</v>
      </c>
      <c r="AC72" s="21">
        <f>(R72+E72-H72+N72-M72-Q72-D72+G72-L72+J72)*27.211324570273</f>
        <v>-3.6105905416455482</v>
      </c>
      <c r="AD72" s="20">
        <v>4.84</v>
      </c>
      <c r="AE72" s="20">
        <v>4.4400000000000004</v>
      </c>
      <c r="AF72" s="21">
        <f>-Z72/2-AE72</f>
        <v>0.487182125880258</v>
      </c>
      <c r="AG72" s="21">
        <f>-AA72/2-AE72</f>
        <v>0.48546509266089366</v>
      </c>
      <c r="AH72" s="21">
        <f>-AB72-AD72</f>
        <v>-1.294105919959943</v>
      </c>
      <c r="AI72" s="21">
        <f>-AC72-AD72</f>
        <v>-1.2294094583544517</v>
      </c>
      <c r="AJ72" s="22">
        <v>0.48649999999999999</v>
      </c>
      <c r="AK72" s="21">
        <v>-1.131</v>
      </c>
      <c r="AL72" s="21">
        <f>AF72+(0.69-AF$9)</f>
        <v>0.50275483067022764</v>
      </c>
      <c r="AM72" s="21">
        <f>AG72+(0.69-AG$9)</f>
        <v>0.50309223340826525</v>
      </c>
      <c r="AN72" s="21">
        <f>AH72+(-0.8815-AH$9)</f>
        <v>-1.1680028063845977</v>
      </c>
      <c r="AO72" s="21">
        <f>AI72+(-0.8815-AI$9)</f>
        <v>-1.1514936141349303</v>
      </c>
      <c r="AP72" s="20">
        <f t="shared" si="6"/>
        <v>1.6254830670227649E-2</v>
      </c>
      <c r="AQ72" s="20">
        <f t="shared" si="7"/>
        <v>1.6592233408265267E-2</v>
      </c>
      <c r="AR72" s="20">
        <f t="shared" si="8"/>
        <v>3.7002806384597742E-2</v>
      </c>
      <c r="AS72" s="20">
        <f t="shared" si="9"/>
        <v>2.0493614134930338E-2</v>
      </c>
    </row>
    <row r="73" spans="1:45" ht="15" customHeight="1" x14ac:dyDescent="0.2">
      <c r="A73" s="26" t="s">
        <v>129</v>
      </c>
      <c r="B73" s="19" t="s">
        <v>43</v>
      </c>
      <c r="C73" s="20">
        <f t="shared" si="5"/>
        <v>-0.42068146923305594</v>
      </c>
      <c r="D73" s="20">
        <v>-499.08512000000002</v>
      </c>
      <c r="E73" s="20">
        <v>-499.15440000000001</v>
      </c>
      <c r="F73" s="20">
        <v>-500.291</v>
      </c>
      <c r="G73" s="20">
        <v>-499.2168101419</v>
      </c>
      <c r="H73" s="20">
        <v>-499.28405863519998</v>
      </c>
      <c r="I73" s="20">
        <v>-500.4468812865</v>
      </c>
      <c r="J73" s="20">
        <v>-499.18900498300002</v>
      </c>
      <c r="K73" s="20">
        <v>-499.1951419358</v>
      </c>
      <c r="L73" s="20">
        <v>-499.20174317430002</v>
      </c>
      <c r="M73" s="20">
        <v>-499.2420536262</v>
      </c>
      <c r="N73" s="20">
        <v>-499.32253575530001</v>
      </c>
      <c r="O73" s="20">
        <v>-500.40622457950002</v>
      </c>
      <c r="P73" s="20">
        <v>-500.42096978469999</v>
      </c>
      <c r="Q73" s="20">
        <v>-498.74855006900202</v>
      </c>
      <c r="R73" s="20">
        <v>-498.80882877971402</v>
      </c>
      <c r="S73" s="20">
        <v>-499.97863104710302</v>
      </c>
      <c r="T73" s="20">
        <f>(S73-Q73)/2*27.211324570273</f>
        <v>-16.736066371412598</v>
      </c>
      <c r="U73" s="20">
        <f>(R73-Q73)*27.211324570273</f>
        <v>-1.6402635618617687</v>
      </c>
      <c r="V73" s="20">
        <f>(F73-I73-D73+G73)/2*27.211324570273</f>
        <v>0.32913654371883644</v>
      </c>
      <c r="W73" s="20">
        <f>(E73-H73-D73+G73)*27.211324570273</f>
        <v>-5.5279988180573544E-2</v>
      </c>
      <c r="X73" s="20">
        <f>(P73-O73-K73+J73)/2*27.211324570273</f>
        <v>-0.11712097501954574</v>
      </c>
      <c r="Y73" s="20">
        <f>(N73-M73-L73+J73)*27.211324570273</f>
        <v>-1.8434022791442701</v>
      </c>
      <c r="Z73" s="21">
        <f>(F73+P73-O73-D73-K73+J73-2*C73)*27.211324570273</f>
        <v>-10.153234022837783</v>
      </c>
      <c r="AA73" s="21">
        <f>(S73+F73-I73+P73-O73-Q73-D73+G73-K73+J73-2*C73)*27.211324570273</f>
        <v>-10.153501605428158</v>
      </c>
      <c r="AB73" s="21">
        <f>(E73+N73-M73-D73-L73+J73)*27.211324570273</f>
        <v>-3.7286028453725661</v>
      </c>
      <c r="AC73" s="21">
        <f>(R73+E73-H73+N73-M73-Q73-D73+G73-L73+J73)*27.211324570273</f>
        <v>-3.5389458291835187</v>
      </c>
      <c r="AD73" s="20">
        <v>4.84</v>
      </c>
      <c r="AE73" s="20">
        <v>4.4400000000000004</v>
      </c>
      <c r="AF73" s="21">
        <f>-Z73/2-AE73</f>
        <v>0.63661701141889093</v>
      </c>
      <c r="AG73" s="21">
        <f>-AA73/2-AE73</f>
        <v>0.63675080271407847</v>
      </c>
      <c r="AH73" s="21">
        <f>-AB73-AD73</f>
        <v>-1.1113971546274337</v>
      </c>
      <c r="AI73" s="21">
        <f>-AC73-AD73</f>
        <v>-1.3010541708164811</v>
      </c>
      <c r="AJ73" s="22">
        <v>0.48649999999999999</v>
      </c>
      <c r="AK73" s="21">
        <v>-1.131</v>
      </c>
      <c r="AL73" s="21">
        <f>AF73+(0.69-AF$10)</f>
        <v>0.52081154046967759</v>
      </c>
      <c r="AM73" s="21">
        <f>AG73+(0.69-AG$10)</f>
        <v>0.53008843572201014</v>
      </c>
      <c r="AN73" s="21">
        <f>AH73+(-0.8815-AH$10)</f>
        <v>-1.1648475580602673</v>
      </c>
      <c r="AO73" s="21">
        <f>AI73+(-0.8815-AI$10)</f>
        <v>-1.1185360591891067</v>
      </c>
      <c r="AP73" s="20">
        <f t="shared" si="6"/>
        <v>3.4311540469677604E-2</v>
      </c>
      <c r="AQ73" s="20">
        <f t="shared" si="7"/>
        <v>4.3588435722010155E-2</v>
      </c>
      <c r="AR73" s="20">
        <f t="shared" si="8"/>
        <v>3.3847558060267291E-2</v>
      </c>
      <c r="AS73" s="20">
        <f t="shared" si="9"/>
        <v>1.2463940810893304E-2</v>
      </c>
    </row>
    <row r="74" spans="1:45" x14ac:dyDescent="0.2">
      <c r="A74" s="26" t="s">
        <v>130</v>
      </c>
      <c r="B74" s="19" t="s">
        <v>27</v>
      </c>
      <c r="C74" s="20">
        <f t="shared" si="5"/>
        <v>-0.42068146923305594</v>
      </c>
      <c r="D74" s="20">
        <v>-610.01964999999996</v>
      </c>
      <c r="E74" s="20">
        <v>-610.08929999999998</v>
      </c>
      <c r="F74" s="20">
        <v>-611.23217999999997</v>
      </c>
      <c r="G74" s="20">
        <v>-610.1343952922</v>
      </c>
      <c r="H74" s="20">
        <v>-610.20100991189997</v>
      </c>
      <c r="I74" s="20">
        <v>-611.36925713100004</v>
      </c>
      <c r="J74" s="20">
        <v>-610.24784350020002</v>
      </c>
      <c r="K74" s="20">
        <v>-610.26233617540004</v>
      </c>
      <c r="L74" s="20">
        <v>-610.2658158452</v>
      </c>
      <c r="M74" s="20">
        <v>-610.29504722820002</v>
      </c>
      <c r="N74" s="20">
        <v>-610.38268799649995</v>
      </c>
      <c r="O74" s="20">
        <v>-611.46564339789995</v>
      </c>
      <c r="P74" s="20">
        <v>-611.48475936069997</v>
      </c>
      <c r="Q74" s="20">
        <v>-610.79038075660003</v>
      </c>
      <c r="R74" s="20">
        <v>-610.85429453489996</v>
      </c>
      <c r="S74" s="20">
        <v>-612.02249651570003</v>
      </c>
      <c r="T74" s="20">
        <f>(S74-Q74)/2*27.211324570273</f>
        <v>-16.763750914509163</v>
      </c>
      <c r="U74" s="20">
        <f>(R74-Q74)*27.211324570273</f>
        <v>-1.7391785658319798</v>
      </c>
      <c r="V74" s="20">
        <f>(F74-I74-D74+G74)/2*27.211324570273</f>
        <v>0.30383945691928865</v>
      </c>
      <c r="W74" s="20">
        <f>(E74-H74-D74+G74)*27.211324570273</f>
        <v>-8.2596718538819267E-2</v>
      </c>
      <c r="X74" s="20">
        <f>(P74-O74-K74+J74)/2*27.211324570273</f>
        <v>-6.2902889732627115E-2</v>
      </c>
      <c r="Y74" s="20">
        <f>(N74-M74-L74+J74)*27.211324570273</f>
        <v>-1.8957700787143463</v>
      </c>
      <c r="Z74" s="21">
        <f>(F74+P74-O74-D74-K74+J74-2*C74)*27.211324570273</f>
        <v>-10.225753160661881</v>
      </c>
      <c r="AA74" s="21">
        <f>(S74+F74-I74+P74-O74-Q74-D74+G74-K74+J74-2*C74)*27.211324570273</f>
        <v>-10.151028694638816</v>
      </c>
      <c r="AB74" s="21">
        <f>(E74+N74-M74-D74-L74+J74)*27.211324570273</f>
        <v>-3.7910388350376127</v>
      </c>
      <c r="AC74" s="21">
        <f>(R74+E74-H74+N74-M74-Q74-D74+G74-L74+J74)*27.211324570273</f>
        <v>-3.7175453630882389</v>
      </c>
      <c r="AD74" s="20">
        <v>4.84</v>
      </c>
      <c r="AE74" s="20">
        <v>4.4400000000000004</v>
      </c>
      <c r="AF74" s="21">
        <f>-Z74/2-AE74</f>
        <v>0.67287658033094022</v>
      </c>
      <c r="AG74" s="21">
        <f>-AA74/2-AE74</f>
        <v>0.63551434731940759</v>
      </c>
      <c r="AH74" s="21">
        <f>-AB74-AD74</f>
        <v>-1.0489611649623871</v>
      </c>
      <c r="AI74" s="21">
        <f>-AC74-AD74</f>
        <v>-1.122454636911761</v>
      </c>
      <c r="AJ74" s="22">
        <v>0.47299999999999998</v>
      </c>
      <c r="AK74" s="21">
        <v>-1.0920000000000001</v>
      </c>
      <c r="AL74" s="27">
        <f>AF74+(0.69-AF$2)</f>
        <v>0.49007007035688099</v>
      </c>
      <c r="AM74" s="27">
        <f>AG74+(0.69-AG$2)</f>
        <v>0.47824437155647148</v>
      </c>
      <c r="AN74" s="27">
        <f>AH74+(-0.8815-AH$2)</f>
        <v>-1.2234821120733139</v>
      </c>
      <c r="AO74" s="27">
        <f>AI74+(-0.8815-AI$2)</f>
        <v>-1.2283162691918914</v>
      </c>
      <c r="AP74" s="20">
        <f t="shared" si="6"/>
        <v>1.7070070356881017E-2</v>
      </c>
      <c r="AQ74" s="20">
        <f t="shared" si="7"/>
        <v>5.2443715564715054E-3</v>
      </c>
      <c r="AR74" s="20">
        <f t="shared" si="8"/>
        <v>0.13148211207331384</v>
      </c>
      <c r="AS74" s="20">
        <f t="shared" si="9"/>
        <v>0.13631626919189133</v>
      </c>
    </row>
    <row r="75" spans="1:45" ht="15" customHeight="1" x14ac:dyDescent="0.2">
      <c r="A75" s="26" t="s">
        <v>130</v>
      </c>
      <c r="B75" s="19" t="s">
        <v>145</v>
      </c>
      <c r="C75" s="20">
        <f t="shared" si="5"/>
        <v>-0.42068146923305594</v>
      </c>
      <c r="D75" s="20">
        <v>-609.72352999999998</v>
      </c>
      <c r="E75" s="20">
        <v>-609.79020000000003</v>
      </c>
      <c r="F75" s="20">
        <v>-610.93416000000002</v>
      </c>
      <c r="G75" s="20">
        <v>-609.84066739529999</v>
      </c>
      <c r="H75" s="20">
        <v>-609.90459739669996</v>
      </c>
      <c r="I75" s="20">
        <v>-611.07368030939995</v>
      </c>
      <c r="J75" s="20">
        <v>-610.24831695110004</v>
      </c>
      <c r="K75" s="20">
        <v>-610.26215732610001</v>
      </c>
      <c r="L75" s="20">
        <v>-610.26593575499999</v>
      </c>
      <c r="M75" s="20">
        <v>-610.29550055540005</v>
      </c>
      <c r="N75" s="20">
        <v>-610.38293529880002</v>
      </c>
      <c r="O75" s="20">
        <v>-611.46595267539999</v>
      </c>
      <c r="P75" s="20">
        <v>-611.48462306859994</v>
      </c>
      <c r="Q75" s="20">
        <v>-610.50790294820001</v>
      </c>
      <c r="R75" s="20">
        <v>-610.57075278980005</v>
      </c>
      <c r="S75" s="20">
        <v>-611.7397757256</v>
      </c>
      <c r="T75" s="20">
        <f>(S75-Q75)/2*27.211324570273</f>
        <v>-16.760444987557332</v>
      </c>
      <c r="U75" s="20">
        <f>(R75-Q75)*27.211324570273</f>
        <v>-1.7102274389689658</v>
      </c>
      <c r="V75" s="20">
        <f>(F75-I75-D75+G75)/2*27.211324570273</f>
        <v>0.30453437020075108</v>
      </c>
      <c r="W75" s="20">
        <f>(E75-H75-D75+G75)*27.211324570273</f>
        <v>-7.4558991228798208E-2</v>
      </c>
      <c r="X75" s="20">
        <f>(P75-O75-K75+J75)/2*27.211324570273</f>
        <v>-6.5715596460019038E-2</v>
      </c>
      <c r="Y75" s="20">
        <f>(N75-M75-L75+J75)*27.211324570273</f>
        <v>-1.8997841899135199</v>
      </c>
      <c r="Z75" s="21">
        <f>(F75+P75-O75-D75-K75+J75-2*C75)*27.211324570273</f>
        <v>-10.17967705743375</v>
      </c>
      <c r="AA75" s="21">
        <f>(S75+F75-I75+P75-O75-Q75-D75+G75-K75+J75-2*C75)*27.211324570273</f>
        <v>-10.148652427636293</v>
      </c>
      <c r="AB75" s="21">
        <f>(E75+N75-M75-D75-L75+J75)*27.211324570273</f>
        <v>-3.7139631990117419</v>
      </c>
      <c r="AC75" s="21">
        <f>(R75+E75-H75+N75-M75-Q75-D75+G75-L75+J75)*27.211324570273</f>
        <v>-3.6845706201143775</v>
      </c>
      <c r="AD75" s="20">
        <v>4.84</v>
      </c>
      <c r="AE75" s="20">
        <v>4.4400000000000004</v>
      </c>
      <c r="AF75" s="21">
        <f>-Z75/2-AE75</f>
        <v>0.64983852871687464</v>
      </c>
      <c r="AG75" s="21">
        <f>-AA75/2-AE75</f>
        <v>0.63432621381814602</v>
      </c>
      <c r="AH75" s="21">
        <f>-AB75-AD75</f>
        <v>-1.126036800988258</v>
      </c>
      <c r="AI75" s="21">
        <f>-AC75-AD75</f>
        <v>-1.1554293798856223</v>
      </c>
      <c r="AJ75" s="22">
        <v>0.47299999999999998</v>
      </c>
      <c r="AK75" s="21">
        <v>-1.0920000000000001</v>
      </c>
      <c r="AL75" s="27">
        <f>AF75+(0.69-AF$3)</f>
        <v>0.49055668775410011</v>
      </c>
      <c r="AM75" s="27">
        <f>AG75+(0.69-AG$3)</f>
        <v>0.48564602735853635</v>
      </c>
      <c r="AN75" s="27">
        <f>AH75+(-0.8815-AH$3)</f>
        <v>-1.1976315578177266</v>
      </c>
      <c r="AO75" s="27">
        <f>AI75+(-0.8815-AI$3)</f>
        <v>-1.1931239229783683</v>
      </c>
      <c r="AP75" s="20">
        <f t="shared" si="6"/>
        <v>1.7556687754100131E-2</v>
      </c>
      <c r="AQ75" s="20">
        <f t="shared" si="7"/>
        <v>1.2646027358536371E-2</v>
      </c>
      <c r="AR75" s="20">
        <f t="shared" si="8"/>
        <v>0.10563155781772648</v>
      </c>
      <c r="AS75" s="20">
        <f t="shared" si="9"/>
        <v>0.10112392297836825</v>
      </c>
    </row>
    <row r="76" spans="1:45" ht="15" customHeight="1" x14ac:dyDescent="0.2">
      <c r="A76" s="26" t="s">
        <v>130</v>
      </c>
      <c r="B76" s="19" t="s">
        <v>29</v>
      </c>
      <c r="C76" s="20">
        <f t="shared" si="5"/>
        <v>-0.42068146923305594</v>
      </c>
      <c r="D76" s="20">
        <v>-610.17507000000001</v>
      </c>
      <c r="E76" s="20">
        <v>-610.24201000000005</v>
      </c>
      <c r="F76" s="20">
        <v>-611.39292</v>
      </c>
      <c r="G76" s="20">
        <v>-610.29163498979995</v>
      </c>
      <c r="H76" s="20">
        <v>-610.35586104629999</v>
      </c>
      <c r="I76" s="20">
        <v>-611.53191682730005</v>
      </c>
      <c r="J76" s="20">
        <v>-610.24823713269996</v>
      </c>
      <c r="K76" s="20">
        <v>-610.26235981829996</v>
      </c>
      <c r="L76" s="20">
        <v>-610.26600874350004</v>
      </c>
      <c r="M76" s="20">
        <v>-610.29534320729999</v>
      </c>
      <c r="N76" s="20">
        <v>-610.38292535109997</v>
      </c>
      <c r="O76" s="20">
        <v>-611.46583251560003</v>
      </c>
      <c r="P76" s="20">
        <v>-611.48490807029998</v>
      </c>
      <c r="Q76" s="20">
        <v>-610.94027044510005</v>
      </c>
      <c r="R76" s="20">
        <v>-611.00168698360005</v>
      </c>
      <c r="S76" s="20">
        <v>-612.1782002246</v>
      </c>
      <c r="T76" s="20">
        <f>(S76-Q76)/2*27.211324570273</f>
        <v>-16.842854512589817</v>
      </c>
      <c r="U76" s="20">
        <f>(R76-Q76)*27.211324570273</f>
        <v>-1.6712253631061089</v>
      </c>
      <c r="V76" s="20">
        <f>(F76-I76-D76+G76)/2*27.211324570273</f>
        <v>0.30520000546152426</v>
      </c>
      <c r="W76" s="20">
        <f>(E76-H76-D76+G76)*27.211324570273</f>
        <v>-7.3849997443830862E-2</v>
      </c>
      <c r="X76" s="20">
        <f>(P76-O76-K76+J76)/2*27.211324570273</f>
        <v>-6.7387064316438899E-2</v>
      </c>
      <c r="Y76" s="20">
        <f>(N76-M76-L76+J76)*27.211324570273</f>
        <v>-1.899637071883904</v>
      </c>
      <c r="Z76" s="21">
        <f>(F76+P76-O76-D76-K76+J76-2*C76)*27.211324570273</f>
        <v>-10.379485756539811</v>
      </c>
      <c r="AA76" s="21">
        <f>(S76+F76-I76+P76-O76-Q76-D76+G76-K76+J76-2*C76)*27.211324570273</f>
        <v>-10.315483142892555</v>
      </c>
      <c r="AB76" s="21">
        <f>(E76+N76-M76-D76-L76+J76)*27.211324570273</f>
        <v>-3.7211631386192052</v>
      </c>
      <c r="AC76" s="21">
        <f>(R76+E76-H76+N76-M76-Q76-D76+G76-L76+J76)*27.211324570273</f>
        <v>-3.6447124324338436</v>
      </c>
      <c r="AD76" s="20">
        <v>4.84</v>
      </c>
      <c r="AE76" s="20">
        <v>4.4400000000000004</v>
      </c>
      <c r="AF76" s="21">
        <f>-Z76/2-AE76</f>
        <v>0.74974287826990516</v>
      </c>
      <c r="AG76" s="21">
        <f>-AA76/2-AE76</f>
        <v>0.71774157144627715</v>
      </c>
      <c r="AH76" s="21">
        <f>-AB76-AD76</f>
        <v>-1.1188368613807946</v>
      </c>
      <c r="AI76" s="21">
        <f>-AC76-AD76</f>
        <v>-1.1952875675661563</v>
      </c>
      <c r="AJ76" s="22">
        <v>0.47299999999999998</v>
      </c>
      <c r="AK76" s="21">
        <v>-1.0920000000000001</v>
      </c>
      <c r="AL76" s="21">
        <f>AF76+(0.69-AF$4)</f>
        <v>0.50542218674510631</v>
      </c>
      <c r="AM76" s="21">
        <f>AG76+(0.69-AG$4)</f>
        <v>0.49345532648172474</v>
      </c>
      <c r="AN76" s="21">
        <f>AH76+(-0.8815-AH$4)</f>
        <v>-1.1911608517769303</v>
      </c>
      <c r="AO76" s="21">
        <f>AI76+(-0.8815-AI$4)</f>
        <v>-1.1938750671171867</v>
      </c>
      <c r="AP76" s="20">
        <f t="shared" si="6"/>
        <v>3.2422186745106329E-2</v>
      </c>
      <c r="AQ76" s="20">
        <f t="shared" si="7"/>
        <v>2.0455326481724767E-2</v>
      </c>
      <c r="AR76" s="20">
        <f t="shared" si="8"/>
        <v>9.9160851776930237E-2</v>
      </c>
      <c r="AS76" s="20">
        <f t="shared" si="9"/>
        <v>0.10187506711718664</v>
      </c>
    </row>
    <row r="77" spans="1:45" ht="15" customHeight="1" x14ac:dyDescent="0.2">
      <c r="A77" s="26" t="s">
        <v>130</v>
      </c>
      <c r="B77" s="19" t="s">
        <v>30</v>
      </c>
      <c r="C77" s="20">
        <f t="shared" si="5"/>
        <v>-0.42068146923305594</v>
      </c>
      <c r="D77" s="20">
        <v>-610.13936999999999</v>
      </c>
      <c r="E77" s="20">
        <v>-610.20574999999997</v>
      </c>
      <c r="F77" s="20">
        <v>-611.34774000000004</v>
      </c>
      <c r="G77" s="20">
        <v>-610.25520301270001</v>
      </c>
      <c r="H77" s="20">
        <v>-610.31883723869998</v>
      </c>
      <c r="I77" s="20">
        <v>-611.48598768479997</v>
      </c>
      <c r="J77" s="20">
        <v>-610.24845515009997</v>
      </c>
      <c r="K77" s="20">
        <v>-610.26252302080002</v>
      </c>
      <c r="L77" s="20">
        <v>-610.26618456510005</v>
      </c>
      <c r="M77" s="20">
        <v>-610.29558296799996</v>
      </c>
      <c r="N77" s="20">
        <v>-610.38308427280003</v>
      </c>
      <c r="O77" s="20">
        <v>-611.46607932040001</v>
      </c>
      <c r="P77" s="20">
        <v>-611.48504697919998</v>
      </c>
      <c r="Q77" s="20">
        <v>-610.91838753909997</v>
      </c>
      <c r="R77" s="20">
        <v>-610.97878603009997</v>
      </c>
      <c r="S77" s="20">
        <v>-612.14624077420001</v>
      </c>
      <c r="T77" s="20">
        <f>(S77-Q77)/2*27.211324570273</f>
        <v>-16.705756452483485</v>
      </c>
      <c r="U77" s="20">
        <f>(R77-Q77)*27.211324570273</f>
        <v>-1.6435229421557354</v>
      </c>
      <c r="V77" s="20">
        <f>(F77-I77-D77+G77)/2*27.211324570273</f>
        <v>0.30496645882329421</v>
      </c>
      <c r="W77" s="20">
        <f>(E77-H77-D77+G77)*27.211324570273</f>
        <v>-7.4716147510740058E-2</v>
      </c>
      <c r="X77" s="20">
        <f>(P77-O77-K77+J77)/2*27.211324570273</f>
        <v>-6.6664862156235821E-2</v>
      </c>
      <c r="Y77" s="20">
        <f>(N77-M77-L77+J77)*27.211324570273</f>
        <v>-1.8985855392289792</v>
      </c>
      <c r="Z77" s="21">
        <f>(F77+P77-O77-D77-K77+J77-2*C77)*27.211324570273</f>
        <v>-10.120077995297956</v>
      </c>
      <c r="AA77" s="21">
        <f>(S77+F77-I77+P77-O77-Q77-D77+G77-K77+J77-2*C77)*27.211324570273</f>
        <v>-10.040309711632851</v>
      </c>
      <c r="AB77" s="21">
        <f>(E77+N77-M77-D77-L77+J77)*27.211324570273</f>
        <v>-3.7048732642000908</v>
      </c>
      <c r="AC77" s="21">
        <f>(R77+E77-H77+N77-M77-Q77-D77+G77-L77+J77)*27.211324570273</f>
        <v>-3.6168246288923611</v>
      </c>
      <c r="AD77" s="20">
        <v>4.84</v>
      </c>
      <c r="AE77" s="20">
        <v>4.4400000000000004</v>
      </c>
      <c r="AF77" s="21">
        <f>-Z77/2-AE77</f>
        <v>0.62003899764897774</v>
      </c>
      <c r="AG77" s="21">
        <f>-AA77/2-AE77</f>
        <v>0.58015485581642512</v>
      </c>
      <c r="AH77" s="21">
        <f>-AB77-AD77</f>
        <v>-1.1351267357999091</v>
      </c>
      <c r="AI77" s="21">
        <f>-AC77-AD77</f>
        <v>-1.2231753711076387</v>
      </c>
      <c r="AJ77" s="22">
        <v>0.47299999999999998</v>
      </c>
      <c r="AK77" s="21">
        <v>-1.0920000000000001</v>
      </c>
      <c r="AL77" s="21">
        <f>AF77+(0.69-AF$5)</f>
        <v>0.5042335266997644</v>
      </c>
      <c r="AM77" s="21">
        <f>AG77+(0.69-AG$5)</f>
        <v>0.49149844176333035</v>
      </c>
      <c r="AN77" s="21">
        <f>AH77+(-0.8815-AH$5)</f>
        <v>-1.1885771392327427</v>
      </c>
      <c r="AO77" s="21">
        <f>AI77+(-0.8815-AI$5)</f>
        <v>-1.1912257426256336</v>
      </c>
      <c r="AP77" s="20">
        <f t="shared" si="6"/>
        <v>3.1233526699764425E-2</v>
      </c>
      <c r="AQ77" s="20">
        <f t="shared" si="7"/>
        <v>1.8498441763330375E-2</v>
      </c>
      <c r="AR77" s="20">
        <f t="shared" si="8"/>
        <v>9.6577139232742581E-2</v>
      </c>
      <c r="AS77" s="20">
        <f t="shared" si="9"/>
        <v>9.9225742625633551E-2</v>
      </c>
    </row>
    <row r="78" spans="1:45" ht="15" customHeight="1" x14ac:dyDescent="0.2">
      <c r="A78" s="26" t="s">
        <v>130</v>
      </c>
      <c r="B78" s="19" t="s">
        <v>31</v>
      </c>
      <c r="C78" s="20">
        <f t="shared" si="5"/>
        <v>-0.42068146923305594</v>
      </c>
      <c r="D78" s="20">
        <v>-610.17507000000001</v>
      </c>
      <c r="E78" s="20">
        <v>-610.24201000000005</v>
      </c>
      <c r="F78" s="20">
        <v>-611.39292</v>
      </c>
      <c r="G78" s="20">
        <v>-610.29163498979995</v>
      </c>
      <c r="H78" s="20">
        <v>-610.35586104629999</v>
      </c>
      <c r="I78" s="20">
        <v>-611.53191682730005</v>
      </c>
      <c r="J78" s="20">
        <v>-610.24823713269996</v>
      </c>
      <c r="K78" s="20">
        <v>-610.26235981829996</v>
      </c>
      <c r="L78" s="20">
        <v>-610.26600874350004</v>
      </c>
      <c r="M78" s="20">
        <v>-610.29534320729999</v>
      </c>
      <c r="N78" s="20">
        <v>-610.38292535109997</v>
      </c>
      <c r="O78" s="20">
        <v>-611.46583251560003</v>
      </c>
      <c r="P78" s="20">
        <v>-611.48490807029998</v>
      </c>
      <c r="Q78" s="20">
        <v>-610.56384626179999</v>
      </c>
      <c r="R78" s="20">
        <v>-610.62363390459996</v>
      </c>
      <c r="S78" s="20">
        <v>-611.79391715500003</v>
      </c>
      <c r="T78" s="20">
        <f>(S78-Q78)/2*27.211324570273</f>
        <v>-16.7359291596559</v>
      </c>
      <c r="U78" s="20">
        <f>(R78-Q78)*27.211324570273</f>
        <v>-1.6269009535212802</v>
      </c>
      <c r="V78" s="20">
        <f>(F78-I78-D78+G78)/2*27.211324570273</f>
        <v>0.30520000546152426</v>
      </c>
      <c r="W78" s="20">
        <f>(E78-H78-D78+G78)*27.211324570273</f>
        <v>-7.3849997443830862E-2</v>
      </c>
      <c r="X78" s="20">
        <f>(P78-O78-K78+J78)/2*27.211324570273</f>
        <v>-6.7387064316438899E-2</v>
      </c>
      <c r="Y78" s="20">
        <f>(N78-M78-L78+J78)*27.211324570273</f>
        <v>-1.899637071883904</v>
      </c>
      <c r="Z78" s="21">
        <f>(F78+P78-O78-D78-K78+J78-2*C78)*27.211324570273</f>
        <v>-10.379485756539811</v>
      </c>
      <c r="AA78" s="21">
        <f>(S78+F78-I78+P78-O78-Q78-D78+G78-K78+J78-2*C78)*27.211324570273</f>
        <v>-10.101632437015441</v>
      </c>
      <c r="AB78" s="21">
        <f>(E78+N78-M78-D78-L78+J78)*27.211324570273</f>
        <v>-3.7211631386192052</v>
      </c>
      <c r="AC78" s="21">
        <f>(R78+E78-H78+N78-M78-Q78-D78+G78-L78+J78)*27.211324570273</f>
        <v>-3.6003880228459213</v>
      </c>
      <c r="AD78" s="20">
        <v>4.84</v>
      </c>
      <c r="AE78" s="20">
        <v>4.4400000000000004</v>
      </c>
      <c r="AF78" s="21">
        <f>-Z78/2-AE78</f>
        <v>0.74974287826990516</v>
      </c>
      <c r="AG78" s="21">
        <f>-AA78/2-AE78</f>
        <v>0.61081621850772017</v>
      </c>
      <c r="AH78" s="21">
        <f>-AB78-AD78</f>
        <v>-1.1188368613807946</v>
      </c>
      <c r="AI78" s="21">
        <f>-AC78-AD78</f>
        <v>-1.2396119771540786</v>
      </c>
      <c r="AJ78" s="22">
        <v>0.47299999999999998</v>
      </c>
      <c r="AK78" s="21">
        <v>-1.0920000000000001</v>
      </c>
      <c r="AL78" s="21">
        <f>AF78+(0.69-AF$6)</f>
        <v>0.50542218674510631</v>
      </c>
      <c r="AM78" s="21">
        <f>AG78+(0.69-AG$6)</f>
        <v>0.4944291571974051</v>
      </c>
      <c r="AN78" s="21">
        <f>AH78+(-0.8815-AH$6)</f>
        <v>-1.1911608517769303</v>
      </c>
      <c r="AO78" s="21">
        <f>AI78+(-0.8815-AI$6)</f>
        <v>-1.1879894644214772</v>
      </c>
      <c r="AP78" s="20">
        <f t="shared" si="6"/>
        <v>3.2422186745106329E-2</v>
      </c>
      <c r="AQ78" s="20">
        <f t="shared" si="7"/>
        <v>2.1429157197405124E-2</v>
      </c>
      <c r="AR78" s="20">
        <f t="shared" si="8"/>
        <v>9.9160851776930237E-2</v>
      </c>
      <c r="AS78" s="20">
        <f t="shared" si="9"/>
        <v>9.5989464421477155E-2</v>
      </c>
    </row>
    <row r="79" spans="1:45" ht="15" customHeight="1" x14ac:dyDescent="0.2">
      <c r="A79" s="26" t="s">
        <v>130</v>
      </c>
      <c r="B79" s="19" t="s">
        <v>32</v>
      </c>
      <c r="C79" s="20">
        <f t="shared" si="5"/>
        <v>-0.42068146923305594</v>
      </c>
      <c r="D79" s="20">
        <v>-610.13936999999999</v>
      </c>
      <c r="E79" s="20">
        <v>-610.20574999999997</v>
      </c>
      <c r="F79" s="20">
        <v>-611.34774000000004</v>
      </c>
      <c r="G79" s="20">
        <v>-610.25520301270001</v>
      </c>
      <c r="H79" s="20">
        <v>-610.31883723869998</v>
      </c>
      <c r="I79" s="20">
        <v>-611.48598768479997</v>
      </c>
      <c r="J79" s="20">
        <v>-610.24845515009997</v>
      </c>
      <c r="K79" s="20">
        <v>-610.26252302080002</v>
      </c>
      <c r="L79" s="20">
        <v>-610.26618456510005</v>
      </c>
      <c r="M79" s="20">
        <v>-610.29558296799996</v>
      </c>
      <c r="N79" s="20">
        <v>-610.38308427280003</v>
      </c>
      <c r="O79" s="20">
        <v>-611.46607932040001</v>
      </c>
      <c r="P79" s="20">
        <v>-611.48504697919998</v>
      </c>
      <c r="Q79" s="20">
        <v>-610.55058894599995</v>
      </c>
      <c r="R79" s="20">
        <v>-610.60945618719995</v>
      </c>
      <c r="S79" s="20">
        <v>-611.77045715060001</v>
      </c>
      <c r="T79" s="20">
        <f>(S79-Q79)/2*27.211324570273</f>
        <v>-16.59711482416423</v>
      </c>
      <c r="U79" s="20">
        <f>(R79-Q79)*27.211324570273</f>
        <v>-1.6018556068498853</v>
      </c>
      <c r="V79" s="20">
        <f>(F79-I79-D79+G79)/2*27.211324570273</f>
        <v>0.30496645882329421</v>
      </c>
      <c r="W79" s="20">
        <f>(E79-H79-D79+G79)*27.211324570273</f>
        <v>-7.4716147510740058E-2</v>
      </c>
      <c r="X79" s="20">
        <f>(P79-O79-K79+J79)/2*27.211324570273</f>
        <v>-6.6664862156235821E-2</v>
      </c>
      <c r="Y79" s="20">
        <f>(N79-M79-L79+J79)*27.211324570273</f>
        <v>-1.8985855392289792</v>
      </c>
      <c r="Z79" s="21">
        <f>(F79+P79-O79-D79-K79+J79-2*C79)*27.211324570273</f>
        <v>-10.120077995297956</v>
      </c>
      <c r="AA79" s="21">
        <f>(S79+F79-I79+P79-O79-Q79-D79+G79-K79+J79-2*C79)*27.211324570273</f>
        <v>-9.8230264549943413</v>
      </c>
      <c r="AB79" s="21">
        <f>(E79+N79-M79-D79-L79+J79)*27.211324570273</f>
        <v>-3.7048732642000908</v>
      </c>
      <c r="AC79" s="21">
        <f>(R79+E79-H79+N79-M79-Q79-D79+G79-L79+J79)*27.211324570273</f>
        <v>-3.5751572935926981</v>
      </c>
      <c r="AD79" s="20">
        <v>4.84</v>
      </c>
      <c r="AE79" s="20">
        <v>4.4400000000000004</v>
      </c>
      <c r="AF79" s="21">
        <f>-Z79/2-AE79</f>
        <v>0.62003899764897774</v>
      </c>
      <c r="AG79" s="21">
        <f>-AA79/2-AE79</f>
        <v>0.47151322749717028</v>
      </c>
      <c r="AH79" s="21">
        <f>-AB79-AD79</f>
        <v>-1.1351267357999091</v>
      </c>
      <c r="AI79" s="21">
        <f>-AC79-AD79</f>
        <v>-1.2648427064073018</v>
      </c>
      <c r="AJ79" s="22">
        <v>0.47299999999999998</v>
      </c>
      <c r="AK79" s="21">
        <v>-1.0920000000000001</v>
      </c>
      <c r="AL79" s="21">
        <f>AF79+(0.69-AF$7)</f>
        <v>0.5042335266997644</v>
      </c>
      <c r="AM79" s="21">
        <f>AG79+(0.69-AG$7)</f>
        <v>0.49209188673821336</v>
      </c>
      <c r="AN79" s="21">
        <f>AH79+(-0.8815-AH$7)</f>
        <v>-1.1885771392327427</v>
      </c>
      <c r="AO79" s="21">
        <f>AI79+(-0.8815-AI$7)</f>
        <v>-1.1853392637165965</v>
      </c>
      <c r="AP79" s="20">
        <f t="shared" si="6"/>
        <v>3.1233526699764425E-2</v>
      </c>
      <c r="AQ79" s="20">
        <f t="shared" si="7"/>
        <v>1.9091886738213382E-2</v>
      </c>
      <c r="AR79" s="20">
        <f t="shared" si="8"/>
        <v>9.6577139232742581E-2</v>
      </c>
      <c r="AS79" s="20">
        <f t="shared" si="9"/>
        <v>9.3339263716596399E-2</v>
      </c>
    </row>
    <row r="80" spans="1:45" ht="15" customHeight="1" x14ac:dyDescent="0.2">
      <c r="A80" s="26" t="s">
        <v>130</v>
      </c>
      <c r="B80" s="19" t="s">
        <v>33</v>
      </c>
      <c r="C80" s="20">
        <f t="shared" si="5"/>
        <v>-0.42068146923305594</v>
      </c>
      <c r="D80" s="20">
        <v>-610.43646999999999</v>
      </c>
      <c r="E80" s="20">
        <v>-610.48451999999997</v>
      </c>
      <c r="F80" s="20">
        <v>-611.63397999999995</v>
      </c>
      <c r="G80" s="20">
        <v>-610.55161545869998</v>
      </c>
      <c r="H80" s="20">
        <v>-610.59594990419998</v>
      </c>
      <c r="I80" s="20">
        <v>-611.77123000280005</v>
      </c>
      <c r="J80" s="20">
        <v>-610.24838304870002</v>
      </c>
      <c r="K80" s="20">
        <v>-610.26260491799997</v>
      </c>
      <c r="L80" s="20">
        <v>-610.26614943970003</v>
      </c>
      <c r="M80" s="20">
        <v>-610.2952377112</v>
      </c>
      <c r="N80" s="20">
        <v>-610.38278729390004</v>
      </c>
      <c r="O80" s="20">
        <v>-611.46604190990001</v>
      </c>
      <c r="P80" s="20">
        <v>-611.48520519639999</v>
      </c>
      <c r="Q80" s="20">
        <v>-610.5511298079</v>
      </c>
      <c r="R80" s="20">
        <v>-610.60976776439998</v>
      </c>
      <c r="S80" s="20">
        <v>-611.77104292399997</v>
      </c>
      <c r="T80" s="20">
        <f>(S80-Q80)/2*27.211324570273</f>
        <v>-16.597725874864761</v>
      </c>
      <c r="U80" s="20">
        <f>(R80-Q80)*27.211324570273</f>
        <v>-1.5956164664584731</v>
      </c>
      <c r="V80" s="20">
        <f>(F80-I80-D80+G80)/2*27.211324570273</f>
        <v>0.30074696199290019</v>
      </c>
      <c r="W80" s="20">
        <f>(E80-H80-D80+G80)*27.211324570273</f>
        <v>-0.10110515945777999</v>
      </c>
      <c r="X80" s="20">
        <f>(P80-O80-K80+J80)/2*27.211324570273</f>
        <v>-6.7231253633569146E-2</v>
      </c>
      <c r="Y80" s="20">
        <f>(N80-M80-L80+J80)*27.211324570273</f>
        <v>-1.8988930788989824</v>
      </c>
      <c r="Z80" s="21">
        <f>(F80+P80-O80-D80-K80+J80-2*C80)*27.211324570273</f>
        <v>-9.8256957934138232</v>
      </c>
      <c r="AA80" s="21">
        <f>(S80+F80-I80+P80-O80-Q80-D80+G80-K80+J80-2*C80)*27.211324570273</f>
        <v>-9.8338203330108627</v>
      </c>
      <c r="AB80" s="21">
        <f>(E80+N80-M80-D80-L80+J80)*27.211324570273</f>
        <v>-3.2063972245003081</v>
      </c>
      <c r="AC80" s="21">
        <f>(R80+E80-H80+N80-M80-Q80-D80+G80-L80+J80)*27.211324570273</f>
        <v>-3.5956147048183293</v>
      </c>
      <c r="AD80" s="20">
        <v>4.84</v>
      </c>
      <c r="AE80" s="20">
        <v>4.4400000000000004</v>
      </c>
      <c r="AF80" s="21">
        <f>-Z80/2-AE80</f>
        <v>0.47284789670691119</v>
      </c>
      <c r="AG80" s="21">
        <f>-AA80/2-AE80</f>
        <v>0.47691016650543094</v>
      </c>
      <c r="AH80" s="21">
        <f>-AB80-AD80</f>
        <v>-1.6336027754996918</v>
      </c>
      <c r="AI80" s="21">
        <f>-AC80-AD80</f>
        <v>-1.2443852951816705</v>
      </c>
      <c r="AJ80" s="22">
        <v>0.47299999999999998</v>
      </c>
      <c r="AK80" s="21">
        <v>-1.0920000000000001</v>
      </c>
      <c r="AL80" s="21">
        <f>AF80+(0.69-AF$8)</f>
        <v>0.49340987404643899</v>
      </c>
      <c r="AM80" s="21">
        <f>AG80+(0.69-AG$8)</f>
        <v>0.49527974919470585</v>
      </c>
      <c r="AN80" s="21">
        <f>AH80+(-0.8815-AH$8)</f>
        <v>-1.1279289063776501</v>
      </c>
      <c r="AO80" s="21">
        <f>AI80+(-0.8815-AI$8)</f>
        <v>-1.2069685632905607</v>
      </c>
      <c r="AP80" s="20">
        <f t="shared" si="6"/>
        <v>2.0409874046439014E-2</v>
      </c>
      <c r="AQ80" s="20">
        <f t="shared" si="7"/>
        <v>2.2279749194705878E-2</v>
      </c>
      <c r="AR80" s="20">
        <f t="shared" si="8"/>
        <v>3.5928906377650005E-2</v>
      </c>
      <c r="AS80" s="20">
        <f t="shared" si="9"/>
        <v>0.1149685632905606</v>
      </c>
    </row>
    <row r="81" spans="1:45" ht="15" customHeight="1" x14ac:dyDescent="0.2">
      <c r="A81" s="26" t="s">
        <v>130</v>
      </c>
      <c r="B81" s="19" t="s">
        <v>174</v>
      </c>
      <c r="C81" s="20">
        <f t="shared" si="5"/>
        <v>-0.42068146923305594</v>
      </c>
      <c r="D81" s="20">
        <v>-610.43624999999997</v>
      </c>
      <c r="E81" s="20">
        <v>-610.49552000000006</v>
      </c>
      <c r="F81" s="20">
        <v>-611.63413000000003</v>
      </c>
      <c r="G81" s="20">
        <v>-610.55154826820001</v>
      </c>
      <c r="H81" s="20">
        <v>-610.60822863670001</v>
      </c>
      <c r="I81" s="20">
        <v>-611.771498178</v>
      </c>
      <c r="J81" s="20">
        <v>-610.24839600359996</v>
      </c>
      <c r="K81" s="20">
        <v>-610.26259839670001</v>
      </c>
      <c r="L81" s="20">
        <v>-610.26615209249996</v>
      </c>
      <c r="M81" s="20">
        <v>-610.29554612749996</v>
      </c>
      <c r="N81" s="20">
        <v>-610.383047756</v>
      </c>
      <c r="O81" s="20">
        <v>-611.46604256620003</v>
      </c>
      <c r="P81" s="20">
        <v>-611.48520331880002</v>
      </c>
      <c r="Q81" s="20">
        <v>-610.55112996820003</v>
      </c>
      <c r="R81" s="20">
        <v>-610.60993720939996</v>
      </c>
      <c r="S81" s="20">
        <v>-611.77104211870005</v>
      </c>
      <c r="T81" s="20">
        <f>(S81-Q81)/2*27.211324570273</f>
        <v>-16.597712737237913</v>
      </c>
      <c r="U81" s="20">
        <f>(R81-Q81)*27.211324570273</f>
        <v>-1.6002229273736039</v>
      </c>
      <c r="V81" s="20">
        <f>(F81-I81-D81+G81)/2*27.211324570273</f>
        <v>0.30027573940138924</v>
      </c>
      <c r="W81" s="20">
        <f>(E81-H81-D81+G81)*27.211324570273</f>
        <v>-7.0467303266253931E-2</v>
      </c>
      <c r="X81" s="20">
        <f>(P81-O81-K81+J81)/2*27.211324570273</f>
        <v>-6.7461764844449476E-2</v>
      </c>
      <c r="Y81" s="20">
        <f>(N81-M81-L81+J81)*27.211324570273</f>
        <v>-1.897868515385382</v>
      </c>
      <c r="Z81" s="21">
        <f>(F81+P81-O81-D81-K81+J81-2*C81)*27.211324570273</f>
        <v>-9.8362250059290073</v>
      </c>
      <c r="AA81" s="21">
        <f>(S81+F81-I81+P81-O81-Q81-D81+G81-K81+J81-2*C81)*27.211324570273</f>
        <v>-9.835197525361945</v>
      </c>
      <c r="AB81" s="21">
        <f>(E81+N81-M81-D81-L81+J81)*27.211324570273</f>
        <v>-3.5106837226646332</v>
      </c>
      <c r="AC81" s="21">
        <f>(R81+E81-H81+N81-M81-Q81-D81+G81-L81+J81)*27.211324570273</f>
        <v>-3.5685587460221462</v>
      </c>
      <c r="AD81" s="20">
        <v>4.84</v>
      </c>
      <c r="AE81" s="20">
        <v>4.4400000000000004</v>
      </c>
      <c r="AF81" s="21">
        <f>-Z81/2-AE81</f>
        <v>0.47811250296450325</v>
      </c>
      <c r="AG81" s="21">
        <f>-AA81/2-AE81</f>
        <v>0.47759876268097212</v>
      </c>
      <c r="AH81" s="21">
        <f>-AB81-AD81</f>
        <v>-1.3293162773353666</v>
      </c>
      <c r="AI81" s="21">
        <f>-AC81-AD81</f>
        <v>-1.2714412539778537</v>
      </c>
      <c r="AJ81" s="22">
        <v>0.47299999999999998</v>
      </c>
      <c r="AK81" s="21">
        <v>-1.0920000000000001</v>
      </c>
      <c r="AL81" s="21">
        <f>AF81+(0.69-AF$9)</f>
        <v>0.49368520775447289</v>
      </c>
      <c r="AM81" s="21">
        <f>AG81+(0.69-AG$9)</f>
        <v>0.49522590342834372</v>
      </c>
      <c r="AN81" s="21">
        <f>AH81+(-0.8815-AH$9)</f>
        <v>-1.2032131637600214</v>
      </c>
      <c r="AO81" s="21">
        <f>AI81+(-0.8815-AI$9)</f>
        <v>-1.1935254097583323</v>
      </c>
      <c r="AP81" s="20">
        <f t="shared" si="6"/>
        <v>2.0685207754472912E-2</v>
      </c>
      <c r="AQ81" s="20">
        <f t="shared" si="7"/>
        <v>2.2225903428343741E-2</v>
      </c>
      <c r="AR81" s="20">
        <f t="shared" si="8"/>
        <v>0.11121316376002133</v>
      </c>
      <c r="AS81" s="20">
        <f t="shared" si="9"/>
        <v>0.10152540975833224</v>
      </c>
    </row>
    <row r="82" spans="1:45" ht="15" customHeight="1" x14ac:dyDescent="0.2">
      <c r="A82" s="26" t="s">
        <v>130</v>
      </c>
      <c r="B82" s="19" t="s">
        <v>43</v>
      </c>
      <c r="C82" s="20">
        <f t="shared" si="5"/>
        <v>-0.42068146923305594</v>
      </c>
      <c r="D82" s="20">
        <v>-610.13936999999999</v>
      </c>
      <c r="E82" s="20">
        <v>-610.20574999999997</v>
      </c>
      <c r="F82" s="20">
        <v>-611.34774000000004</v>
      </c>
      <c r="G82" s="20">
        <v>-610.25520301270001</v>
      </c>
      <c r="H82" s="20">
        <v>-610.31883723869998</v>
      </c>
      <c r="I82" s="20">
        <v>-611.48598768479997</v>
      </c>
      <c r="J82" s="20">
        <v>-610.24845515009997</v>
      </c>
      <c r="K82" s="20">
        <v>-610.26252302080002</v>
      </c>
      <c r="L82" s="20">
        <v>-610.26618456510005</v>
      </c>
      <c r="M82" s="20">
        <v>-610.29558296799996</v>
      </c>
      <c r="N82" s="20">
        <v>-610.38308427280003</v>
      </c>
      <c r="O82" s="20">
        <v>-611.46607932040001</v>
      </c>
      <c r="P82" s="20">
        <v>-611.48504697919998</v>
      </c>
      <c r="Q82" s="20">
        <v>-609.77126498504094</v>
      </c>
      <c r="R82" s="20">
        <v>-609.82752539852504</v>
      </c>
      <c r="S82" s="20">
        <v>-611.00132037395599</v>
      </c>
      <c r="T82" s="20">
        <f>(S82-Q82)/2*27.211324570273</f>
        <v>-16.735718213590378</v>
      </c>
      <c r="U82" s="20">
        <f>(R82-Q82)*27.211324570273</f>
        <v>-1.5309203717735194</v>
      </c>
      <c r="V82" s="20">
        <f>(F82-I82-D82+G82)/2*27.211324570273</f>
        <v>0.30496645882329421</v>
      </c>
      <c r="W82" s="20">
        <f>(E82-H82-D82+G82)*27.211324570273</f>
        <v>-7.4716147510740058E-2</v>
      </c>
      <c r="X82" s="20">
        <f>(P82-O82-K82+J82)/2*27.211324570273</f>
        <v>-6.6664862156235821E-2</v>
      </c>
      <c r="Y82" s="20">
        <f>(N82-M82-L82+J82)*27.211324570273</f>
        <v>-1.8985855392289792</v>
      </c>
      <c r="Z82" s="21">
        <f>(F82+P82-O82-D82-K82+J82-2*C82)*27.211324570273</f>
        <v>-10.120077995297956</v>
      </c>
      <c r="AA82" s="21">
        <f>(S82+F82-I82+P82-O82-Q82-D82+G82-K82+J82-2*C82)*27.211324570273</f>
        <v>-10.100233233846636</v>
      </c>
      <c r="AB82" s="21">
        <f>(E82+N82-M82-D82-L82+J82)*27.211324570273</f>
        <v>-3.7048732642000908</v>
      </c>
      <c r="AC82" s="21">
        <f>(R82+E82-H82+N82-M82-Q82-D82+G82-L82+J82)*27.211324570273</f>
        <v>-3.5042220585070516</v>
      </c>
      <c r="AD82" s="20">
        <v>4.84</v>
      </c>
      <c r="AE82" s="20">
        <v>4.4400000000000004</v>
      </c>
      <c r="AF82" s="21">
        <f>-Z82/2-AE82</f>
        <v>0.62003899764897774</v>
      </c>
      <c r="AG82" s="21">
        <f>-AA82/2-AE82</f>
        <v>0.61011661692331742</v>
      </c>
      <c r="AH82" s="21">
        <f>-AB82-AD82</f>
        <v>-1.1351267357999091</v>
      </c>
      <c r="AI82" s="21">
        <f>-AC82-AD82</f>
        <v>-1.3357779414929483</v>
      </c>
      <c r="AJ82" s="22">
        <v>0.47299999999999998</v>
      </c>
      <c r="AK82" s="21">
        <v>-1.0920000000000001</v>
      </c>
      <c r="AL82" s="21">
        <f>AF82+(0.69-AF$10)</f>
        <v>0.5042335266997644</v>
      </c>
      <c r="AM82" s="21">
        <f>AG82+(0.69-AG$10)</f>
        <v>0.5034542499312491</v>
      </c>
      <c r="AN82" s="21">
        <f>AH82+(-0.8815-AH$10)</f>
        <v>-1.1885771392327427</v>
      </c>
      <c r="AO82" s="21">
        <f>AI82+(-0.8815-AI$10)</f>
        <v>-1.1532598298655738</v>
      </c>
      <c r="AP82" s="20">
        <f t="shared" si="6"/>
        <v>3.1233526699764425E-2</v>
      </c>
      <c r="AQ82" s="20">
        <f t="shared" si="7"/>
        <v>3.0454249931249122E-2</v>
      </c>
      <c r="AR82" s="20">
        <f t="shared" si="8"/>
        <v>9.6577139232742581E-2</v>
      </c>
      <c r="AS82" s="20">
        <f t="shared" si="9"/>
        <v>6.1259829865573767E-2</v>
      </c>
    </row>
    <row r="83" spans="1:45" x14ac:dyDescent="0.2">
      <c r="A83" s="26" t="s">
        <v>131</v>
      </c>
      <c r="B83" s="19" t="s">
        <v>27</v>
      </c>
      <c r="C83" s="20">
        <f t="shared" si="5"/>
        <v>-0.42068146923305594</v>
      </c>
      <c r="D83" s="20">
        <v>-538.26265000000001</v>
      </c>
      <c r="E83" s="20">
        <v>-538.33414000000005</v>
      </c>
      <c r="F83" s="20">
        <v>-539.46786999999995</v>
      </c>
      <c r="G83" s="20">
        <v>-538.41790534120003</v>
      </c>
      <c r="H83" s="20">
        <v>-538.48686487960003</v>
      </c>
      <c r="I83" s="20">
        <v>-539.64871966850001</v>
      </c>
      <c r="J83" s="20">
        <v>-538.48688428399998</v>
      </c>
      <c r="K83" s="20">
        <v>-538.49172039619998</v>
      </c>
      <c r="L83" s="20">
        <v>-538.49917043539995</v>
      </c>
      <c r="M83" s="20">
        <v>-538.53896984590006</v>
      </c>
      <c r="N83" s="20">
        <v>-538.61810580439999</v>
      </c>
      <c r="O83" s="20">
        <v>-539.70011983129996</v>
      </c>
      <c r="P83" s="20">
        <v>-539.71366102800005</v>
      </c>
      <c r="Q83" s="20">
        <v>-538.98579553349998</v>
      </c>
      <c r="R83" s="20">
        <v>-539.05192674169996</v>
      </c>
      <c r="S83" s="20">
        <v>-540.21409607600003</v>
      </c>
      <c r="T83" s="20">
        <f>(S83-Q83)/2*27.211324570273</f>
        <v>-16.711842365905646</v>
      </c>
      <c r="U83" s="20">
        <f>(R83-Q83)*27.211324570273</f>
        <v>-1.7995177705538667</v>
      </c>
      <c r="V83" s="20">
        <f>(F83-I83-D83+G83)/2*27.211324570273</f>
        <v>0.34822777365960988</v>
      </c>
      <c r="W83" s="20">
        <f>(E83-H83-D83+G83)*27.211324570273</f>
        <v>-6.8857211911062158E-2</v>
      </c>
      <c r="X83" s="20">
        <f>(P83-O83-K83+J83)/2*27.211324570273</f>
        <v>-0.11843843987184312</v>
      </c>
      <c r="Y83" s="20">
        <f>(N83-M83-L83+J83)*27.211324570273</f>
        <v>-1.8190717984574336</v>
      </c>
      <c r="Z83" s="21">
        <f>(F83+P83-O83-D83-K83+J83-2*C83)*27.211324570273</f>
        <v>-10.13790947832339</v>
      </c>
      <c r="AA83" s="21">
        <f>(S83+F83-I83+P83-O83-Q83-D83+G83-K83+J83-2*C83)*27.211324570273</f>
        <v>-10.069506064232668</v>
      </c>
      <c r="AB83" s="21">
        <f>(E83+N83-M83-D83-L83+J83)*27.211324570273</f>
        <v>-3.7644093919873334</v>
      </c>
      <c r="AC83" s="21">
        <f>(R83+E83-H83+N83-M83-Q83-D83+G83-L83+J83)*27.211324570273</f>
        <v>-3.6874467809254559</v>
      </c>
      <c r="AD83" s="20">
        <v>4.84</v>
      </c>
      <c r="AE83" s="20">
        <v>4.4400000000000004</v>
      </c>
      <c r="AF83" s="21">
        <f>-Z83/2-AE83</f>
        <v>0.62895473916169475</v>
      </c>
      <c r="AG83" s="21">
        <f>-AA83/2-AE83</f>
        <v>0.59475303211633346</v>
      </c>
      <c r="AH83" s="21">
        <f>-AB83-AD83</f>
        <v>-1.0755906080126665</v>
      </c>
      <c r="AI83" s="21">
        <f>-AC83-AD83</f>
        <v>-1.152553219074544</v>
      </c>
      <c r="AJ83" s="22">
        <v>0.41549999999999998</v>
      </c>
      <c r="AK83" s="21">
        <v>-1.2130000000000001</v>
      </c>
      <c r="AL83" s="27">
        <f>AF83+(0.69-AF$2)</f>
        <v>0.44614822918763553</v>
      </c>
      <c r="AM83" s="27">
        <f>AG83+(0.69-AG$2)</f>
        <v>0.43748305635339735</v>
      </c>
      <c r="AN83" s="27">
        <f>AH83+(-0.8815-AH$2)</f>
        <v>-1.2501115551235933</v>
      </c>
      <c r="AO83" s="27">
        <f>AI83+(-0.8815-AI$2)</f>
        <v>-1.2584148513546745</v>
      </c>
      <c r="AP83" s="20">
        <f t="shared" si="6"/>
        <v>3.0648229187635545E-2</v>
      </c>
      <c r="AQ83" s="20">
        <f t="shared" si="7"/>
        <v>2.1983056353397368E-2</v>
      </c>
      <c r="AR83" s="20">
        <f t="shared" si="8"/>
        <v>3.711155512359321E-2</v>
      </c>
      <c r="AS83" s="20">
        <f t="shared" si="9"/>
        <v>4.5414851354674379E-2</v>
      </c>
    </row>
    <row r="84" spans="1:45" ht="15" customHeight="1" x14ac:dyDescent="0.2">
      <c r="A84" s="26" t="s">
        <v>131</v>
      </c>
      <c r="B84" s="19" t="s">
        <v>145</v>
      </c>
      <c r="C84" s="20">
        <f t="shared" si="5"/>
        <v>-0.42068146923305594</v>
      </c>
      <c r="D84" s="20">
        <v>-537.96567000000005</v>
      </c>
      <c r="E84" s="20">
        <v>-538.0317</v>
      </c>
      <c r="F84" s="20">
        <v>-539.16814999999997</v>
      </c>
      <c r="G84" s="20">
        <v>-538.12203050870005</v>
      </c>
      <c r="H84" s="20">
        <v>-538.18799431929995</v>
      </c>
      <c r="I84" s="20">
        <v>-539.35174375250006</v>
      </c>
      <c r="J84" s="20">
        <v>-538.48703871459998</v>
      </c>
      <c r="K84" s="20">
        <v>-538.49179299479999</v>
      </c>
      <c r="L84" s="20">
        <v>-538.49932401240005</v>
      </c>
      <c r="M84" s="20">
        <v>-538.53903169470004</v>
      </c>
      <c r="N84" s="20">
        <v>-538.61821170719998</v>
      </c>
      <c r="O84" s="20">
        <v>-539.70033479890003</v>
      </c>
      <c r="P84" s="20">
        <v>-539.7136417685</v>
      </c>
      <c r="Q84" s="20">
        <v>-538.70239213900004</v>
      </c>
      <c r="R84" s="20">
        <v>-538.76694594989999</v>
      </c>
      <c r="S84" s="20">
        <v>-539.93068659389996</v>
      </c>
      <c r="T84" s="20">
        <f>(S84-Q84)/2*27.211324570273</f>
        <v>-16.711759540074191</v>
      </c>
      <c r="U84" s="20">
        <f>(R84-Q84)*27.211324570273</f>
        <v>-1.7565947006466129</v>
      </c>
      <c r="V84" s="20">
        <f>(F84-I84-D84+G84)/2*27.211324570273</f>
        <v>0.37052631807271769</v>
      </c>
      <c r="W84" s="20">
        <f>(E84-H84-D84+G84)*27.211324570273</f>
        <v>-1.8011012481074944E-3</v>
      </c>
      <c r="X84" s="20">
        <f>(P84-O84-K84+J84)/2*27.211324570273</f>
        <v>-0.11636500360536707</v>
      </c>
      <c r="Y84" s="20">
        <f>(N84-M84-L84+J84)*27.211324570273</f>
        <v>-1.8202937937335992</v>
      </c>
      <c r="Z84" s="21">
        <f>(F84+P84-O84-D84-K84+J84-2*C84)*27.211324570273</f>
        <v>-10.059203576473614</v>
      </c>
      <c r="AA84" s="21">
        <f>(S84+F84-I84+P84-O84-Q84-D84+G84-K84+J84-2*C84)*27.211324570273</f>
        <v>-10.020596451213681</v>
      </c>
      <c r="AB84" s="21">
        <f>(E84+N84-M84-D84-L84+J84)*27.211324570273</f>
        <v>-3.6170575551044122</v>
      </c>
      <c r="AC84" s="21">
        <f>(R84+E84-H84+N84-M84-Q84-D84+G84-L84+J84)*27.211324570273</f>
        <v>-3.5786895956283198</v>
      </c>
      <c r="AD84" s="20">
        <v>4.84</v>
      </c>
      <c r="AE84" s="20">
        <v>4.4400000000000004</v>
      </c>
      <c r="AF84" s="21">
        <f>-Z84/2-AE84</f>
        <v>0.58960178823680653</v>
      </c>
      <c r="AG84" s="21">
        <f>-AA84/2-AE84</f>
        <v>0.57029822560684007</v>
      </c>
      <c r="AH84" s="21">
        <f>-AB84-AD84</f>
        <v>-1.2229424448955877</v>
      </c>
      <c r="AI84" s="21">
        <f>-AC84-AD84</f>
        <v>-1.2613104043716801</v>
      </c>
      <c r="AJ84" s="22">
        <v>0.41549999999999998</v>
      </c>
      <c r="AK84" s="21">
        <v>-1.2130000000000001</v>
      </c>
      <c r="AL84" s="27">
        <f>AF84+(0.69-AF$3)</f>
        <v>0.430319947274032</v>
      </c>
      <c r="AM84" s="27">
        <f>AG84+(0.69-AG$3)</f>
        <v>0.42161803914723039</v>
      </c>
      <c r="AN84" s="27">
        <f>AH84+(-0.8815-AH$3)</f>
        <v>-1.2945372017250563</v>
      </c>
      <c r="AO84" s="27">
        <f>AI84+(-0.8815-AI$3)</f>
        <v>-1.2990049474644261</v>
      </c>
      <c r="AP84" s="20">
        <f t="shared" si="6"/>
        <v>1.4819947274032019E-2</v>
      </c>
      <c r="AQ84" s="20">
        <f t="shared" si="7"/>
        <v>6.1180391472304141E-3</v>
      </c>
      <c r="AR84" s="20">
        <f t="shared" si="8"/>
        <v>8.1537201725056185E-2</v>
      </c>
      <c r="AS84" s="20">
        <f t="shared" si="9"/>
        <v>8.6004947464425996E-2</v>
      </c>
    </row>
    <row r="85" spans="1:45" ht="15" customHeight="1" x14ac:dyDescent="0.2">
      <c r="A85" s="26" t="s">
        <v>131</v>
      </c>
      <c r="B85" s="19" t="s">
        <v>29</v>
      </c>
      <c r="C85" s="20">
        <f t="shared" si="5"/>
        <v>-0.42068146923305594</v>
      </c>
      <c r="D85" s="20">
        <v>-538.44245000000001</v>
      </c>
      <c r="E85" s="20">
        <v>-538.50984000000005</v>
      </c>
      <c r="F85" s="20">
        <v>-539.65313000000003</v>
      </c>
      <c r="G85" s="20">
        <v>-538.60051236959998</v>
      </c>
      <c r="H85" s="20">
        <v>-538.66646675829998</v>
      </c>
      <c r="I85" s="20">
        <v>-539.8367442297</v>
      </c>
      <c r="J85" s="20">
        <v>-538.48701627030005</v>
      </c>
      <c r="K85" s="20">
        <v>-538.49174442499998</v>
      </c>
      <c r="L85" s="20">
        <v>-538.49928166799998</v>
      </c>
      <c r="M85" s="20">
        <v>-538.53899671720001</v>
      </c>
      <c r="N85" s="20">
        <v>-538.61815709810003</v>
      </c>
      <c r="O85" s="20">
        <v>-539.70019318469997</v>
      </c>
      <c r="P85" s="20">
        <v>-539.71365650630003</v>
      </c>
      <c r="Q85" s="20">
        <v>-539.15886150569997</v>
      </c>
      <c r="R85" s="20">
        <v>-539.22189094659996</v>
      </c>
      <c r="S85" s="20">
        <v>-540.39313634220002</v>
      </c>
      <c r="T85" s="20">
        <f>(S85-Q85)/2*27.211324570273</f>
        <v>-16.793126592461736</v>
      </c>
      <c r="U85" s="20">
        <f>(R85-Q85)*27.211324570273</f>
        <v>-1.7151145738122402</v>
      </c>
      <c r="V85" s="20">
        <f>(F85-I85-D85+G85)/2*27.211324570273</f>
        <v>0.34764997927758451</v>
      </c>
      <c r="W85" s="20">
        <f>(E85-H85-D85+G85)*27.211324570273</f>
        <v>-3.9064885042496396E-2</v>
      </c>
      <c r="X85" s="20">
        <f>(P85-O85-K85+J85)/2*27.211324570273</f>
        <v>-0.11884773084738517</v>
      </c>
      <c r="Y85" s="20">
        <f>(N85-M85-L85+J85)*27.211324570273</f>
        <v>-1.8203010999805063</v>
      </c>
      <c r="Z85" s="21">
        <f>(F85+P85-O85-D85-K85+J85-2*C85)*27.211324570273</f>
        <v>-10.287301892433561</v>
      </c>
      <c r="AA85" s="21">
        <f>(S85+F85-I85+P85-O85-Q85-D85+G85-K85+J85-2*C85)*27.211324570273</f>
        <v>-10.234048688059977</v>
      </c>
      <c r="AB85" s="21">
        <f>(E85+N85-M85-D85-L85+J85)*27.211324570273</f>
        <v>-3.6540722627693567</v>
      </c>
      <c r="AC85" s="21">
        <f>(R85+E85-H85+N85-M85-Q85-D85+G85-L85+J85)*27.211324570273</f>
        <v>-3.5744805588352428</v>
      </c>
      <c r="AD85" s="20">
        <v>4.84</v>
      </c>
      <c r="AE85" s="20">
        <v>4.4400000000000004</v>
      </c>
      <c r="AF85" s="21">
        <f>-Z85/2-AE85</f>
        <v>0.70365094621678015</v>
      </c>
      <c r="AG85" s="21">
        <f>-AA85/2-AE85</f>
        <v>0.6770243440299879</v>
      </c>
      <c r="AH85" s="21">
        <f>-AB85-AD85</f>
        <v>-1.1859277372306432</v>
      </c>
      <c r="AI85" s="21">
        <f>-AC85-AD85</f>
        <v>-1.265519441164757</v>
      </c>
      <c r="AJ85" s="22">
        <v>0.41549999999999998</v>
      </c>
      <c r="AK85" s="21">
        <v>-1.2130000000000001</v>
      </c>
      <c r="AL85" s="21">
        <f>AF85+(0.69-AF$4)</f>
        <v>0.4593302546919813</v>
      </c>
      <c r="AM85" s="21">
        <f>AG85+(0.69-AG$4)</f>
        <v>0.4527380990654355</v>
      </c>
      <c r="AN85" s="21">
        <f>AH85+(-0.8815-AH$4)</f>
        <v>-1.2582517276267788</v>
      </c>
      <c r="AO85" s="21">
        <f>AI85+(-0.8815-AI$4)</f>
        <v>-1.2641069407157874</v>
      </c>
      <c r="AP85" s="20">
        <f t="shared" si="6"/>
        <v>4.3830254691981319E-2</v>
      </c>
      <c r="AQ85" s="20">
        <f t="shared" si="7"/>
        <v>3.7238099065435515E-2</v>
      </c>
      <c r="AR85" s="20">
        <f t="shared" si="8"/>
        <v>4.5251727626778759E-2</v>
      </c>
      <c r="AS85" s="20">
        <f t="shared" si="9"/>
        <v>5.1106940715787363E-2</v>
      </c>
    </row>
    <row r="86" spans="1:45" ht="15" customHeight="1" x14ac:dyDescent="0.2">
      <c r="A86" s="26" t="s">
        <v>131</v>
      </c>
      <c r="B86" s="19" t="s">
        <v>30</v>
      </c>
      <c r="C86" s="20">
        <f t="shared" si="5"/>
        <v>-0.42068146923305594</v>
      </c>
      <c r="D86" s="20">
        <v>-538.36217999999997</v>
      </c>
      <c r="E86" s="20">
        <v>-538.42890999999997</v>
      </c>
      <c r="F86" s="20">
        <v>-539.56371000000001</v>
      </c>
      <c r="G86" s="20">
        <v>-538.51934324529998</v>
      </c>
      <c r="H86" s="20">
        <v>-538.58447285049999</v>
      </c>
      <c r="I86" s="20">
        <v>-539.74612225440001</v>
      </c>
      <c r="J86" s="20">
        <v>-538.48721237059999</v>
      </c>
      <c r="K86" s="20">
        <v>-538.49195149649995</v>
      </c>
      <c r="L86" s="20">
        <v>-538.49946846499995</v>
      </c>
      <c r="M86" s="20">
        <v>-538.53917741149996</v>
      </c>
      <c r="N86" s="20">
        <v>-538.61835827499999</v>
      </c>
      <c r="O86" s="20">
        <v>-539.70041259209995</v>
      </c>
      <c r="P86" s="20">
        <v>-539.71382724739999</v>
      </c>
      <c r="Q86" s="20">
        <v>-539.09315646640005</v>
      </c>
      <c r="R86" s="20">
        <v>-539.15513358730004</v>
      </c>
      <c r="S86" s="20">
        <v>-540.3174781033</v>
      </c>
      <c r="T86" s="20">
        <f>(S86-Q86)/2*27.211324570273</f>
        <v>-16.657706720046345</v>
      </c>
      <c r="U86" s="20">
        <f>(R86-Q86)*27.211324570273</f>
        <v>-1.6864795527408525</v>
      </c>
      <c r="V86" s="20">
        <f>(F86-I86-D86+G86)/2*27.211324570273</f>
        <v>0.34352949084866558</v>
      </c>
      <c r="W86" s="20">
        <f>(E86-H86-D86+G86)*27.211324570273</f>
        <v>-4.3548862343197818E-2</v>
      </c>
      <c r="X86" s="20">
        <f>(P86-O86-K86+J86)/2*27.211324570273</f>
        <v>-0.11803632316225508</v>
      </c>
      <c r="Y86" s="20">
        <f>(N86-M86-L86+J86)*27.211324570273</f>
        <v>-1.8211116137725594</v>
      </c>
      <c r="Z86" s="21">
        <f>(F86+P86-O86-D86-K86+J86-2*C86)*27.211324570273</f>
        <v>-10.036695457245932</v>
      </c>
      <c r="AA86" s="21">
        <f>(S86+F86-I86+P86-O86-Q86-D86+G86-K86+J86-2*C86)*27.211324570273</f>
        <v>-9.9698271047167797</v>
      </c>
      <c r="AB86" s="21">
        <f>(E86+N86-M86-D86-L86+J86)*27.211324570273</f>
        <v>-3.6369233023501564</v>
      </c>
      <c r="AC86" s="21">
        <f>(R86+E86-H86+N86-M86-Q86-D86+G86-L86+J86)*27.211324570273</f>
        <v>-3.5511400288627968</v>
      </c>
      <c r="AD86" s="20">
        <v>4.84</v>
      </c>
      <c r="AE86" s="20">
        <v>4.4400000000000004</v>
      </c>
      <c r="AF86" s="21">
        <f>-Z86/2-AE86</f>
        <v>0.57834772862296546</v>
      </c>
      <c r="AG86" s="21">
        <f>-AA86/2-AE86</f>
        <v>0.54491355235838945</v>
      </c>
      <c r="AH86" s="21">
        <f>-AB86-AD86</f>
        <v>-1.2030766976498435</v>
      </c>
      <c r="AI86" s="21">
        <f>-AC86-AD86</f>
        <v>-1.2888599711372031</v>
      </c>
      <c r="AJ86" s="22">
        <v>0.41549999999999998</v>
      </c>
      <c r="AK86" s="21">
        <v>-1.2130000000000001</v>
      </c>
      <c r="AL86" s="21">
        <f>AF86+(0.69-AF$5)</f>
        <v>0.46254225767375212</v>
      </c>
      <c r="AM86" s="21">
        <f>AG86+(0.69-AG$5)</f>
        <v>0.45625713830529468</v>
      </c>
      <c r="AN86" s="21">
        <f>AH86+(-0.8815-AH$5)</f>
        <v>-1.2565271010826771</v>
      </c>
      <c r="AO86" s="21">
        <f>AI86+(-0.8815-AI$5)</f>
        <v>-1.256910342655198</v>
      </c>
      <c r="AP86" s="20">
        <f t="shared" si="6"/>
        <v>4.7042257673752141E-2</v>
      </c>
      <c r="AQ86" s="20">
        <f t="shared" si="7"/>
        <v>4.0757138305294704E-2</v>
      </c>
      <c r="AR86" s="20">
        <f t="shared" si="8"/>
        <v>4.3527101082676989E-2</v>
      </c>
      <c r="AS86" s="20">
        <f t="shared" si="9"/>
        <v>4.3910342655197887E-2</v>
      </c>
    </row>
    <row r="87" spans="1:45" ht="15" customHeight="1" x14ac:dyDescent="0.2">
      <c r="A87" s="26" t="s">
        <v>131</v>
      </c>
      <c r="B87" s="19" t="s">
        <v>31</v>
      </c>
      <c r="C87" s="20">
        <f t="shared" si="5"/>
        <v>-0.42068146923305594</v>
      </c>
      <c r="D87" s="20">
        <v>-538.44245000000001</v>
      </c>
      <c r="E87" s="20">
        <v>-538.50984000000005</v>
      </c>
      <c r="F87" s="20">
        <v>-539.65313000000003</v>
      </c>
      <c r="G87" s="20">
        <v>-538.60051236959998</v>
      </c>
      <c r="H87" s="20">
        <v>-538.66646675829998</v>
      </c>
      <c r="I87" s="20">
        <v>-539.8367442297</v>
      </c>
      <c r="J87" s="20">
        <v>-538.48701627030005</v>
      </c>
      <c r="K87" s="20">
        <v>-538.49174442499998</v>
      </c>
      <c r="L87" s="20">
        <v>-538.49928166799998</v>
      </c>
      <c r="M87" s="20">
        <v>-538.53899671720001</v>
      </c>
      <c r="N87" s="20">
        <v>-538.61815709810003</v>
      </c>
      <c r="O87" s="20">
        <v>-539.70019318469997</v>
      </c>
      <c r="P87" s="20">
        <v>-539.71365650630003</v>
      </c>
      <c r="Q87" s="20">
        <v>-538.77800032949995</v>
      </c>
      <c r="R87" s="20">
        <v>-538.83955764689995</v>
      </c>
      <c r="S87" s="20">
        <v>-540.00426701670006</v>
      </c>
      <c r="T87" s="20">
        <f>(S87-Q87)/2*27.211324570273</f>
        <v>-16.684170417557802</v>
      </c>
      <c r="U87" s="20">
        <f>(R87-Q87)*27.211324570273</f>
        <v>-1.6750561434467659</v>
      </c>
      <c r="V87" s="20">
        <f>(F87-I87-D87+G87)/2*27.211324570273</f>
        <v>0.34764997927758451</v>
      </c>
      <c r="W87" s="20">
        <f>(E87-H87-D87+G87)*27.211324570273</f>
        <v>-3.9064885042496396E-2</v>
      </c>
      <c r="X87" s="20">
        <f>(P87-O87-K87+J87)/2*27.211324570273</f>
        <v>-0.11884773084738517</v>
      </c>
      <c r="Y87" s="20">
        <f>(N87-M87-L87+J87)*27.211324570273</f>
        <v>-1.8203010999805063</v>
      </c>
      <c r="Z87" s="21">
        <f>(F87+P87-O87-D87-K87+J87-2*C87)*27.211324570273</f>
        <v>-10.287301892433561</v>
      </c>
      <c r="AA87" s="21">
        <f>(S87+F87-I87+P87-O87-Q87-D87+G87-K87+J87-2*C87)*27.211324570273</f>
        <v>-10.016136338255205</v>
      </c>
      <c r="AB87" s="21">
        <f>(E87+N87-M87-D87-L87+J87)*27.211324570273</f>
        <v>-3.6540722627693567</v>
      </c>
      <c r="AC87" s="21">
        <f>(R87+E87-H87+N87-M87-Q87-D87+G87-L87+J87)*27.211324570273</f>
        <v>-3.5344221284666753</v>
      </c>
      <c r="AD87" s="20">
        <v>4.84</v>
      </c>
      <c r="AE87" s="20">
        <v>4.4400000000000004</v>
      </c>
      <c r="AF87" s="21">
        <f>-Z87/2-AE87</f>
        <v>0.70365094621678015</v>
      </c>
      <c r="AG87" s="21">
        <f>-AA87/2-AE87</f>
        <v>0.56806816912760194</v>
      </c>
      <c r="AH87" s="21">
        <f>-AB87-AD87</f>
        <v>-1.1859277372306432</v>
      </c>
      <c r="AI87" s="21">
        <f>-AC87-AD87</f>
        <v>-1.3055778715333246</v>
      </c>
      <c r="AJ87" s="22">
        <v>0.41549999999999998</v>
      </c>
      <c r="AK87" s="21">
        <v>-1.2130000000000001</v>
      </c>
      <c r="AL87" s="21">
        <f>AF87+(0.69-AF$6)</f>
        <v>0.4593302546919813</v>
      </c>
      <c r="AM87" s="21">
        <f>AG87+(0.69-AG$6)</f>
        <v>0.45168110781728688</v>
      </c>
      <c r="AN87" s="21">
        <f>AH87+(-0.8815-AH$6)</f>
        <v>-1.2582517276267788</v>
      </c>
      <c r="AO87" s="21">
        <f>AI87+(-0.8815-AI$6)</f>
        <v>-1.2539553588007233</v>
      </c>
      <c r="AP87" s="20">
        <f t="shared" si="6"/>
        <v>4.3830254691981319E-2</v>
      </c>
      <c r="AQ87" s="20">
        <f t="shared" si="7"/>
        <v>3.6181107817286895E-2</v>
      </c>
      <c r="AR87" s="20">
        <f t="shared" si="8"/>
        <v>4.5251727626778759E-2</v>
      </c>
      <c r="AS87" s="20">
        <f t="shared" si="9"/>
        <v>4.0955358800723207E-2</v>
      </c>
    </row>
    <row r="88" spans="1:45" ht="15" customHeight="1" x14ac:dyDescent="0.2">
      <c r="A88" s="26" t="s">
        <v>131</v>
      </c>
      <c r="B88" s="19" t="s">
        <v>32</v>
      </c>
      <c r="C88" s="20">
        <f t="shared" si="5"/>
        <v>-0.42068146923305594</v>
      </c>
      <c r="D88" s="20">
        <v>-538.36217999999997</v>
      </c>
      <c r="E88" s="20">
        <v>-538.42890999999997</v>
      </c>
      <c r="F88" s="20">
        <v>-539.56371000000001</v>
      </c>
      <c r="G88" s="20">
        <v>-538.51934324529998</v>
      </c>
      <c r="H88" s="20">
        <v>-538.58447285049999</v>
      </c>
      <c r="I88" s="20">
        <v>-539.74612225440001</v>
      </c>
      <c r="J88" s="20">
        <v>-538.48721237059999</v>
      </c>
      <c r="K88" s="20">
        <v>-538.49195149649995</v>
      </c>
      <c r="L88" s="20">
        <v>-538.49946846499995</v>
      </c>
      <c r="M88" s="20">
        <v>-538.53917741149996</v>
      </c>
      <c r="N88" s="20">
        <v>-538.61835827499999</v>
      </c>
      <c r="O88" s="20">
        <v>-539.70041259209995</v>
      </c>
      <c r="P88" s="20">
        <v>-539.71382724739999</v>
      </c>
      <c r="Q88" s="20">
        <v>-538.72273483080005</v>
      </c>
      <c r="R88" s="20">
        <v>-538.78337702379997</v>
      </c>
      <c r="S88" s="20">
        <v>-539.93876785539999</v>
      </c>
      <c r="T88" s="20">
        <f>(S88-Q88)/2*27.211324570273</f>
        <v>-16.544934660279836</v>
      </c>
      <c r="U88" s="20">
        <f>(R88-Q88)*27.211324570273</f>
        <v>-1.6501543963740002</v>
      </c>
      <c r="V88" s="20">
        <f>(F88-I88-D88+G88)/2*27.211324570273</f>
        <v>0.34352949084866558</v>
      </c>
      <c r="W88" s="20">
        <f>(E88-H88-D88+G88)*27.211324570273</f>
        <v>-4.3548862343197818E-2</v>
      </c>
      <c r="X88" s="20">
        <f>(P88-O88-K88+J88)/2*27.211324570273</f>
        <v>-0.11803632316225508</v>
      </c>
      <c r="Y88" s="20">
        <f>(N88-M88-L88+J88)*27.211324570273</f>
        <v>-1.8211116137725594</v>
      </c>
      <c r="Z88" s="21">
        <f>(F88+P88-O88-D88-K88+J88-2*C88)*27.211324570273</f>
        <v>-10.036695457245932</v>
      </c>
      <c r="AA88" s="21">
        <f>(S88+F88-I88+P88-O88-Q88-D88+G88-K88+J88-2*C88)*27.211324570273</f>
        <v>-9.7442829851837569</v>
      </c>
      <c r="AB88" s="21">
        <f>(E88+N88-M88-D88-L88+J88)*27.211324570273</f>
        <v>-3.6369233023501564</v>
      </c>
      <c r="AC88" s="21">
        <f>(R88+E88-H88+N88-M88-Q88-D88+G88-L88+J88)*27.211324570273</f>
        <v>-3.5148148724928512</v>
      </c>
      <c r="AD88" s="20">
        <v>4.84</v>
      </c>
      <c r="AE88" s="20">
        <v>4.4400000000000004</v>
      </c>
      <c r="AF88" s="21">
        <f>-Z88/2-AE88</f>
        <v>0.57834772862296546</v>
      </c>
      <c r="AG88" s="21">
        <f>-AA88/2-AE88</f>
        <v>0.43214149259187806</v>
      </c>
      <c r="AH88" s="21">
        <f>-AB88-AD88</f>
        <v>-1.2030766976498435</v>
      </c>
      <c r="AI88" s="21">
        <f>-AC88-AD88</f>
        <v>-1.3251851275071487</v>
      </c>
      <c r="AJ88" s="22">
        <v>0.41549999999999998</v>
      </c>
      <c r="AK88" s="21">
        <v>-1.2130000000000001</v>
      </c>
      <c r="AL88" s="21">
        <f>AF88+(0.69-AF$7)</f>
        <v>0.46254225767375212</v>
      </c>
      <c r="AM88" s="21">
        <f>AG88+(0.69-AG$7)</f>
        <v>0.45272015183292114</v>
      </c>
      <c r="AN88" s="21">
        <f>AH88+(-0.8815-AH$7)</f>
        <v>-1.2565271010826771</v>
      </c>
      <c r="AO88" s="21">
        <f>AI88+(-0.8815-AI$7)</f>
        <v>-1.2456816848164434</v>
      </c>
      <c r="AP88" s="20">
        <f t="shared" si="6"/>
        <v>4.7042257673752141E-2</v>
      </c>
      <c r="AQ88" s="20">
        <f t="shared" si="7"/>
        <v>3.7220151832921156E-2</v>
      </c>
      <c r="AR88" s="20">
        <f t="shared" si="8"/>
        <v>4.3527101082676989E-2</v>
      </c>
      <c r="AS88" s="20">
        <f t="shared" si="9"/>
        <v>3.268168481644329E-2</v>
      </c>
    </row>
    <row r="89" spans="1:45" ht="15" customHeight="1" x14ac:dyDescent="0.2">
      <c r="A89" s="26" t="s">
        <v>131</v>
      </c>
      <c r="B89" s="19" t="s">
        <v>33</v>
      </c>
      <c r="C89" s="20">
        <f t="shared" si="5"/>
        <v>-0.42068146923305594</v>
      </c>
      <c r="D89" s="20">
        <v>-538.56614999999999</v>
      </c>
      <c r="E89" s="20">
        <v>-538.61806999999999</v>
      </c>
      <c r="F89" s="20">
        <v>-539.75738000000001</v>
      </c>
      <c r="G89" s="20">
        <v>-538.72407780130004</v>
      </c>
      <c r="H89" s="20">
        <v>-538.76668256640005</v>
      </c>
      <c r="I89" s="20">
        <v>-539.93913256359997</v>
      </c>
      <c r="J89" s="20">
        <v>-538.48717325129996</v>
      </c>
      <c r="K89" s="20">
        <v>-538.49321908100001</v>
      </c>
      <c r="L89" s="20">
        <v>-538.49982968840004</v>
      </c>
      <c r="M89" s="20">
        <v>-538.53907978109999</v>
      </c>
      <c r="N89" s="20">
        <v>-538.6180479505</v>
      </c>
      <c r="O89" s="20">
        <v>-539.70024276449999</v>
      </c>
      <c r="P89" s="20">
        <v>-539.71356248020004</v>
      </c>
      <c r="Q89" s="20">
        <v>-538.72374638090002</v>
      </c>
      <c r="R89" s="20">
        <v>-538.78389008700003</v>
      </c>
      <c r="S89" s="20">
        <v>-539.93933039779995</v>
      </c>
      <c r="T89" s="20">
        <f>(S89-Q89)/2*27.211324570273</f>
        <v>-16.538825613150035</v>
      </c>
      <c r="U89" s="20">
        <f>(R89-Q89)*27.211324570273</f>
        <v>-1.6365899075463977</v>
      </c>
      <c r="V89" s="20">
        <f>(F89-I89-D89+G89)/2*27.211324570273</f>
        <v>0.32415166987622346</v>
      </c>
      <c r="W89" s="20">
        <f>(E89-H89-D89+G89)*27.211324570273</f>
        <v>-0.25347988031186813</v>
      </c>
      <c r="X89" s="20">
        <f>(P89-O89-K89+J89)/2*27.211324570273</f>
        <v>-9.8966036416680683E-2</v>
      </c>
      <c r="Y89" s="20">
        <f>(N89-M89-L89+J89)*27.211324570273</f>
        <v>-1.8044300704306393</v>
      </c>
      <c r="Z89" s="21">
        <f>(F89+P89-O89-D89-K89+J89-2*C89)*27.211324570273</f>
        <v>-9.7182782406770816</v>
      </c>
      <c r="AA89" s="21">
        <f>(S89+F89-I89+P89-O89-Q89-D89+G89-K89+J89-2*C89)*27.211324570273</f>
        <v>-9.7326799593840807</v>
      </c>
      <c r="AB89" s="21">
        <f>(E89+N89-M89-D89-L89+J89)*27.211324570273</f>
        <v>-3.217242042122185</v>
      </c>
      <c r="AC89" s="21">
        <f>(R89+E89-H89+N89-M89-Q89-D89+G89-L89+J89)*27.211324570273</f>
        <v>-3.6944998582950923</v>
      </c>
      <c r="AD89" s="20">
        <v>4.84</v>
      </c>
      <c r="AE89" s="20">
        <v>4.4400000000000004</v>
      </c>
      <c r="AF89" s="21">
        <f>-Z89/2-AE89</f>
        <v>0.41913912033854039</v>
      </c>
      <c r="AG89" s="21">
        <f>-AA89/2-AE89</f>
        <v>0.42633997969203996</v>
      </c>
      <c r="AH89" s="21">
        <f>-AB89-AD89</f>
        <v>-1.6227579578778148</v>
      </c>
      <c r="AI89" s="21">
        <f>-AC89-AD89</f>
        <v>-1.1455001417049075</v>
      </c>
      <c r="AJ89" s="22">
        <v>0.41549999999999998</v>
      </c>
      <c r="AK89" s="21">
        <v>-1.2130000000000001</v>
      </c>
      <c r="AL89" s="21">
        <f>AF89+(0.69-AF$8)</f>
        <v>0.4397010976780682</v>
      </c>
      <c r="AM89" s="21">
        <f>AG89+(0.69-AG$8)</f>
        <v>0.44470956238131487</v>
      </c>
      <c r="AN89" s="21">
        <f>AH89+(-0.8815-AH$8)</f>
        <v>-1.1170840887557731</v>
      </c>
      <c r="AO89" s="21">
        <f>AI89+(-0.8815-AI$8)</f>
        <v>-1.1080834098137977</v>
      </c>
      <c r="AP89" s="20">
        <f t="shared" si="6"/>
        <v>2.4201097678068217E-2</v>
      </c>
      <c r="AQ89" s="20">
        <f t="shared" si="7"/>
        <v>2.9209562381314891E-2</v>
      </c>
      <c r="AR89" s="20">
        <f t="shared" si="8"/>
        <v>9.5915911244226937E-2</v>
      </c>
      <c r="AS89" s="20">
        <f t="shared" si="9"/>
        <v>0.10491659018620236</v>
      </c>
    </row>
    <row r="90" spans="1:45" ht="15" customHeight="1" x14ac:dyDescent="0.2">
      <c r="A90" s="26" t="s">
        <v>131</v>
      </c>
      <c r="B90" s="19" t="s">
        <v>174</v>
      </c>
      <c r="C90" s="20">
        <f t="shared" si="5"/>
        <v>-0.42068146923305594</v>
      </c>
      <c r="D90" s="20">
        <v>-538.56889000000001</v>
      </c>
      <c r="E90" s="20">
        <v>-538.62766999999997</v>
      </c>
      <c r="F90" s="20">
        <v>-539.75762999999995</v>
      </c>
      <c r="G90" s="20">
        <v>-538.723543834</v>
      </c>
      <c r="H90" s="20">
        <v>-538.78171656810002</v>
      </c>
      <c r="I90" s="20">
        <v>-539.93968105340002</v>
      </c>
      <c r="J90" s="20">
        <v>-538.48700537820002</v>
      </c>
      <c r="K90" s="20">
        <v>-538.49167927190001</v>
      </c>
      <c r="L90" s="20">
        <v>-538.49917984360002</v>
      </c>
      <c r="M90" s="20">
        <v>-538.53902577300005</v>
      </c>
      <c r="N90" s="20">
        <v>-538.61807815060001</v>
      </c>
      <c r="O90" s="20">
        <v>-539.70024171980003</v>
      </c>
      <c r="P90" s="20">
        <v>-539.71356671379999</v>
      </c>
      <c r="Q90" s="20">
        <v>-538.72327694839998</v>
      </c>
      <c r="R90" s="20">
        <v>-538.78380662840004</v>
      </c>
      <c r="S90" s="20">
        <v>-539.93933042089998</v>
      </c>
      <c r="T90" s="20">
        <f>(S90-Q90)/2*27.211324570273</f>
        <v>-16.545212867502435</v>
      </c>
      <c r="U90" s="20">
        <f>(R90-Q90)*27.211324570273</f>
        <v>-1.6470927686163612</v>
      </c>
      <c r="V90" s="20">
        <f>(F90-I90-D90+G90)/2*27.211324570273</f>
        <v>0.37275731470936307</v>
      </c>
      <c r="W90" s="20">
        <f>(E90-H90-D90+G90)*27.211324570273</f>
        <v>-1.6524509503456832E-2</v>
      </c>
      <c r="X90" s="20">
        <f>(P90-O90-K90+J90)/2*27.211324570273</f>
        <v>-0.11770394907625399</v>
      </c>
      <c r="Y90" s="20">
        <f>(N90-M90-L90+J90)*27.211324570273</f>
        <v>-1.8198365754556183</v>
      </c>
      <c r="Z90" s="21">
        <f>(F90+P90-O90-D90-K90+J90-2*C90)*27.211324570273</f>
        <v>-9.687997867820263</v>
      </c>
      <c r="AA90" s="21">
        <f>(S90+F90-I90+P90-O90-Q90-D90+G90-K90+J90-2*C90)*27.211324570273</f>
        <v>-9.6857190037386545</v>
      </c>
      <c r="AB90" s="21">
        <f>(E90+N90-M90-D90-L90+J90)*27.211324570273</f>
        <v>-3.419318233691977</v>
      </c>
      <c r="AC90" s="21">
        <f>(R90+E90-H90+N90-M90-Q90-D90+G90-L90+J90)*27.211324570273</f>
        <v>-3.4834538535816235</v>
      </c>
      <c r="AD90" s="20">
        <v>4.84</v>
      </c>
      <c r="AE90" s="20">
        <v>4.4400000000000004</v>
      </c>
      <c r="AF90" s="21">
        <f>-Z90/2-AE90</f>
        <v>0.40399893391013109</v>
      </c>
      <c r="AG90" s="21">
        <f>-AA90/2-AE90</f>
        <v>0.40285950186932684</v>
      </c>
      <c r="AH90" s="21">
        <f>-AB90-AD90</f>
        <v>-1.4206817663080229</v>
      </c>
      <c r="AI90" s="21">
        <f>-AC90-AD90</f>
        <v>-1.3565461464183763</v>
      </c>
      <c r="AJ90" s="22">
        <v>0.41549999999999998</v>
      </c>
      <c r="AK90" s="21">
        <v>-1.2130000000000001</v>
      </c>
      <c r="AL90" s="21">
        <f>AF90+(0.69-AF$9)</f>
        <v>0.41957163870010072</v>
      </c>
      <c r="AM90" s="21">
        <f>AG90+(0.69-AG$9)</f>
        <v>0.42048664261669844</v>
      </c>
      <c r="AN90" s="21">
        <f>AH90+(-0.8815-AH$9)</f>
        <v>-1.2945786527326777</v>
      </c>
      <c r="AO90" s="21">
        <f>AI90+(-0.8815-AI$9)</f>
        <v>-1.278630302198855</v>
      </c>
      <c r="AP90" s="20">
        <f t="shared" si="6"/>
        <v>4.0716387001007437E-3</v>
      </c>
      <c r="AQ90" s="20">
        <f t="shared" si="7"/>
        <v>4.9866426166984557E-3</v>
      </c>
      <c r="AR90" s="20">
        <f t="shared" si="8"/>
        <v>8.1578652732677615E-2</v>
      </c>
      <c r="AS90" s="20">
        <f t="shared" si="9"/>
        <v>6.5630302198854906E-2</v>
      </c>
    </row>
    <row r="91" spans="1:45" ht="15" customHeight="1" x14ac:dyDescent="0.2">
      <c r="A91" s="26" t="s">
        <v>131</v>
      </c>
      <c r="B91" s="19" t="s">
        <v>43</v>
      </c>
      <c r="C91" s="20">
        <f t="shared" si="5"/>
        <v>-0.42068146923305594</v>
      </c>
      <c r="D91" s="20">
        <v>-538.36217999999997</v>
      </c>
      <c r="E91" s="20">
        <v>-538.42890999999997</v>
      </c>
      <c r="F91" s="20">
        <v>-539.56371000000001</v>
      </c>
      <c r="G91" s="20">
        <v>-538.51934324529998</v>
      </c>
      <c r="H91" s="20">
        <v>-538.58447285049999</v>
      </c>
      <c r="I91" s="20">
        <v>-539.74612225440001</v>
      </c>
      <c r="J91" s="20">
        <v>-538.48721237059999</v>
      </c>
      <c r="K91" s="20">
        <v>-538.49195149649995</v>
      </c>
      <c r="L91" s="20">
        <v>-538.49946846499995</v>
      </c>
      <c r="M91" s="20">
        <v>-538.53917741149996</v>
      </c>
      <c r="N91" s="20">
        <v>-538.61835827499999</v>
      </c>
      <c r="O91" s="20">
        <v>-539.70041259209995</v>
      </c>
      <c r="P91" s="20">
        <v>-539.71382724739999</v>
      </c>
      <c r="Q91" s="20">
        <v>-538.00651422303395</v>
      </c>
      <c r="R91" s="20">
        <v>-538.06507920406796</v>
      </c>
      <c r="S91" s="20">
        <v>-539.23366679805804</v>
      </c>
      <c r="T91" s="20">
        <f>(S91-Q91)/2*27.211324570273</f>
        <v>-16.696223508113437</v>
      </c>
      <c r="U91" s="20">
        <f>(R91-Q91)*27.211324570273</f>
        <v>-1.5936307073683309</v>
      </c>
      <c r="V91" s="20">
        <f>(F91-I91-D91+G91)/2*27.211324570273</f>
        <v>0.34352949084866558</v>
      </c>
      <c r="W91" s="20">
        <f>(E91-H91-D91+G91)*27.211324570273</f>
        <v>-4.3548862343197818E-2</v>
      </c>
      <c r="X91" s="20">
        <f>(P91-O91-K91+J91)/2*27.211324570273</f>
        <v>-0.11803632316225508</v>
      </c>
      <c r="Y91" s="20">
        <f>(N91-M91-L91+J91)*27.211324570273</f>
        <v>-1.8211116137725594</v>
      </c>
      <c r="Z91" s="21">
        <f>(F91+P91-O91-D91-K91+J91-2*C91)*27.211324570273</f>
        <v>-10.036695457245932</v>
      </c>
      <c r="AA91" s="21">
        <f>(S91+F91-I91+P91-O91-Q91-D91+G91-K91+J91-2*C91)*27.211324570273</f>
        <v>-10.046860680854051</v>
      </c>
      <c r="AB91" s="21">
        <f>(E91+N91-M91-D91-L91+J91)*27.211324570273</f>
        <v>-3.6369233023501564</v>
      </c>
      <c r="AC91" s="21">
        <f>(R91+E91-H91+N91-M91-Q91-D91+G91-L91+J91)*27.211324570273</f>
        <v>-3.4582911834871819</v>
      </c>
      <c r="AD91" s="20">
        <v>4.84</v>
      </c>
      <c r="AE91" s="20">
        <v>4.4400000000000004</v>
      </c>
      <c r="AF91" s="21">
        <f>-Z91/2-AE91</f>
        <v>0.57834772862296546</v>
      </c>
      <c r="AG91" s="21">
        <f>-AA91/2-AE91</f>
        <v>0.58343034042702513</v>
      </c>
      <c r="AH91" s="21">
        <f>-AB91-AD91</f>
        <v>-1.2030766976498435</v>
      </c>
      <c r="AI91" s="21">
        <f>-AC91-AD91</f>
        <v>-1.381708816512818</v>
      </c>
      <c r="AJ91" s="22">
        <v>0.41549999999999998</v>
      </c>
      <c r="AK91" s="21">
        <v>-1.2130000000000001</v>
      </c>
      <c r="AL91" s="21">
        <f>AF91+(0.69-AF$10)</f>
        <v>0.46254225767375212</v>
      </c>
      <c r="AM91" s="21">
        <f>AG91+(0.69-AG$10)</f>
        <v>0.4767679734349568</v>
      </c>
      <c r="AN91" s="21">
        <f>AH91+(-0.8815-AH$10)</f>
        <v>-1.2565271010826771</v>
      </c>
      <c r="AO91" s="21">
        <f>AI91+(-0.8815-AI$10)</f>
        <v>-1.1991907048854435</v>
      </c>
      <c r="AP91" s="20">
        <f t="shared" si="6"/>
        <v>4.7042257673752141E-2</v>
      </c>
      <c r="AQ91" s="20">
        <f t="shared" si="7"/>
        <v>6.1267973434956824E-2</v>
      </c>
      <c r="AR91" s="20">
        <f t="shared" si="8"/>
        <v>4.3527101082676989E-2</v>
      </c>
      <c r="AS91" s="20">
        <f t="shared" si="9"/>
        <v>1.380929511455653E-2</v>
      </c>
    </row>
    <row r="92" spans="1:45" x14ac:dyDescent="0.2">
      <c r="A92" s="25" t="s">
        <v>104</v>
      </c>
      <c r="B92" s="19" t="s">
        <v>27</v>
      </c>
      <c r="C92" s="20">
        <f t="shared" si="5"/>
        <v>-0.42068146923305594</v>
      </c>
      <c r="D92" s="20">
        <v>-1484.4783399999999</v>
      </c>
      <c r="E92" s="20">
        <v>-1484.6228699999999</v>
      </c>
      <c r="F92" s="20">
        <v>-1485.7205100000001</v>
      </c>
      <c r="G92" s="20">
        <v>-1484.5019908659999</v>
      </c>
      <c r="H92" s="20">
        <v>-1484.6454466037001</v>
      </c>
      <c r="I92" s="20">
        <v>-1485.7690934747</v>
      </c>
      <c r="J92" s="20">
        <v>-1484.8160102444999</v>
      </c>
      <c r="K92" s="20">
        <v>-1484.8248546817999</v>
      </c>
      <c r="L92" s="20">
        <v>-1484.834096301</v>
      </c>
      <c r="M92" s="20">
        <v>-1484.9454702583</v>
      </c>
      <c r="N92" s="20">
        <v>-1485.0118704649999</v>
      </c>
      <c r="O92" s="20">
        <v>-1486.0636958355001</v>
      </c>
      <c r="P92" s="20">
        <v>-1486.0766745695</v>
      </c>
      <c r="Q92" s="20">
        <v>-1485.4174353537001</v>
      </c>
      <c r="R92" s="20">
        <v>-1485.5572919773001</v>
      </c>
      <c r="S92" s="20">
        <v>-1486.6807018920999</v>
      </c>
      <c r="T92" s="20">
        <f>(S92-Q92)/2*27.211324570273</f>
        <v>-17.187577897582127</v>
      </c>
      <c r="U92" s="20">
        <f>(R92-Q92)*27.211324570273</f>
        <v>-3.8056839780835543</v>
      </c>
      <c r="V92" s="20">
        <f>(F92-I92-D92+G92)/2*27.211324570273</f>
        <v>0.3392246538573167</v>
      </c>
      <c r="W92" s="20">
        <f>(E92-H92-D92+G92)*27.211324570273</f>
        <v>-2.923210011565628E-2</v>
      </c>
      <c r="X92" s="20">
        <f>(P92-O92-K92+J92)/2*27.211324570273</f>
        <v>-5.6249844685814523E-2</v>
      </c>
      <c r="Y92" s="20">
        <f>(N92-M92-L92+J92)*27.211324570273</f>
        <v>-1.3146920224225331</v>
      </c>
      <c r="Z92" s="21">
        <f>(F92+P92-O92-D92-K92+J92-2*C92)*27.211324570273</f>
        <v>-11.018990730833483</v>
      </c>
      <c r="AA92" s="21">
        <f>(S92+F92-I92+P92-O92-Q92-D92+G92-K92+J92-2*C92)*27.211324570273</f>
        <v>-10.914606176827437</v>
      </c>
      <c r="AB92" s="21">
        <f>(E92+N92-M92-D92-L92+J92)*27.211324570273</f>
        <v>-5.2475447625587623</v>
      </c>
      <c r="AC92" s="21">
        <f>(R92+E92-H92+N92-M92-Q92-D92+G92-L92+J92)*27.211324570273</f>
        <v>-5.1496081006155565</v>
      </c>
      <c r="AD92" s="20">
        <v>4.84</v>
      </c>
      <c r="AE92" s="20">
        <v>4.4400000000000004</v>
      </c>
      <c r="AF92" s="21">
        <f>-Z92/2-AE92</f>
        <v>1.0694953654167412</v>
      </c>
      <c r="AG92" s="21">
        <f>-AA92/2-AE92</f>
        <v>1.0173030884137182</v>
      </c>
      <c r="AH92" s="21">
        <f>-AB92-AD92</f>
        <v>0.40754476255876249</v>
      </c>
      <c r="AI92" s="21">
        <f>-AC92-AD92</f>
        <v>0.30960810061555666</v>
      </c>
      <c r="AJ92" s="22">
        <v>0.88649999999999995</v>
      </c>
      <c r="AK92" s="21">
        <v>0.13700000000000001</v>
      </c>
      <c r="AL92" s="27">
        <f>AF92+(0.69-AF$2)</f>
        <v>0.88668885544268194</v>
      </c>
      <c r="AM92" s="27">
        <f>AG92+(0.69-AG$2)</f>
        <v>0.86003311265078208</v>
      </c>
      <c r="AN92" s="27">
        <f>AH92+(-0.8815-AH$2)</f>
        <v>0.23302381544783568</v>
      </c>
      <c r="AO92" s="27">
        <f>AI92+(-0.8815-AI$2)</f>
        <v>0.2037464683354262</v>
      </c>
      <c r="AP92" s="20">
        <f t="shared" si="6"/>
        <v>1.8885544268198995E-4</v>
      </c>
      <c r="AQ92" s="20">
        <f t="shared" si="7"/>
        <v>2.6466887349217871E-2</v>
      </c>
      <c r="AR92" s="20">
        <f t="shared" si="8"/>
        <v>9.602381544783567E-2</v>
      </c>
      <c r="AS92" s="20">
        <f t="shared" si="9"/>
        <v>6.674646833542619E-2</v>
      </c>
    </row>
    <row r="93" spans="1:45" ht="15" customHeight="1" x14ac:dyDescent="0.2">
      <c r="A93" s="25" t="s">
        <v>104</v>
      </c>
      <c r="B93" s="19" t="s">
        <v>145</v>
      </c>
      <c r="C93" s="20">
        <f t="shared" si="5"/>
        <v>-0.42068146923305594</v>
      </c>
      <c r="D93" s="20">
        <v>-1484.1768999999999</v>
      </c>
      <c r="E93" s="20">
        <v>-1484.31996</v>
      </c>
      <c r="F93" s="20">
        <v>-1485.41787</v>
      </c>
      <c r="G93" s="20">
        <v>-1484.2025765914</v>
      </c>
      <c r="H93" s="20">
        <v>-1484.3445432444</v>
      </c>
      <c r="I93" s="20">
        <v>-1485.4680509104001</v>
      </c>
      <c r="J93" s="20">
        <v>-1484.8163417712001</v>
      </c>
      <c r="K93" s="20">
        <v>-1484.8249821191</v>
      </c>
      <c r="L93" s="20">
        <v>-1484.8344247662001</v>
      </c>
      <c r="M93" s="20">
        <v>-1484.9458182206999</v>
      </c>
      <c r="N93" s="20">
        <v>-1485.0122609992</v>
      </c>
      <c r="O93" s="20">
        <v>-1486.0639947452</v>
      </c>
      <c r="P93" s="20">
        <v>-1486.0768788856001</v>
      </c>
      <c r="Q93" s="20">
        <v>-1485.1211874812</v>
      </c>
      <c r="R93" s="20">
        <v>-1485.2602127379</v>
      </c>
      <c r="S93" s="20">
        <v>-1486.3840055128001</v>
      </c>
      <c r="T93" s="20">
        <f>(S93-Q93)/2*27.211324570273</f>
        <v>-17.181475665531668</v>
      </c>
      <c r="U93" s="20">
        <f>(R93-Q93)*27.211324570273</f>
        <v>-3.7830613835306255</v>
      </c>
      <c r="V93" s="20">
        <f>(F93-I93-D93+G93)/2*27.211324570273</f>
        <v>0.33339748884147197</v>
      </c>
      <c r="W93" s="20">
        <f>(E93-H93-D93+G93)*27.211324570273</f>
        <v>-2.9751420086320039E-2</v>
      </c>
      <c r="X93" s="20">
        <f>(P93-O93-K93+J93)/2*27.211324570273</f>
        <v>-5.7739607564821362E-2</v>
      </c>
      <c r="Y93" s="20">
        <f>(N93-M93-L93+J93)*27.211324570273</f>
        <v>-1.315933764967129</v>
      </c>
      <c r="Z93" s="21">
        <f>(F93+P93-O93-D93-K93+J93-2*C93)*27.211324570273</f>
        <v>-10.989316667102992</v>
      </c>
      <c r="AA93" s="21">
        <f>(S93+F93-I93+P93-O93-Q93-D93+G93-K93+J93-2*C93)*27.211324570273</f>
        <v>-10.917035568503847</v>
      </c>
      <c r="AB93" s="21">
        <f>(E93+N93-M93-D93-L93+J93)*27.211324570273</f>
        <v>-5.2087858579994286</v>
      </c>
      <c r="AC93" s="21">
        <f>(R93+E93-H93+N93-M93-Q93-D93+G93-L93+J93)*27.211324570273</f>
        <v>-5.1287465685902616</v>
      </c>
      <c r="AD93" s="20">
        <v>4.84</v>
      </c>
      <c r="AE93" s="20">
        <v>4.4400000000000004</v>
      </c>
      <c r="AF93" s="21">
        <f>-Z93/2-AE93</f>
        <v>1.0546583335514956</v>
      </c>
      <c r="AG93" s="21">
        <f>-AA93/2-AE93</f>
        <v>1.0185177842519231</v>
      </c>
      <c r="AH93" s="21">
        <f>-AB93-AD93</f>
        <v>0.36878585799942876</v>
      </c>
      <c r="AI93" s="21">
        <f>-AC93-AD93</f>
        <v>0.28874656859026171</v>
      </c>
      <c r="AJ93" s="22">
        <v>0.88649999999999995</v>
      </c>
      <c r="AK93" s="21">
        <v>0.13700000000000001</v>
      </c>
      <c r="AL93" s="27">
        <f>AF93+(0.69-AF$3)</f>
        <v>0.8953764925887211</v>
      </c>
      <c r="AM93" s="27">
        <f>AG93+(0.69-AG$3)</f>
        <v>0.8698375977923134</v>
      </c>
      <c r="AN93" s="27">
        <f>AH93+(-0.8815-AH$3)</f>
        <v>0.29719110116996017</v>
      </c>
      <c r="AO93" s="27">
        <f>AI93+(-0.8815-AI$3)</f>
        <v>0.25105202549751571</v>
      </c>
      <c r="AP93" s="20">
        <f t="shared" si="6"/>
        <v>8.876492588721141E-3</v>
      </c>
      <c r="AQ93" s="20">
        <f t="shared" si="7"/>
        <v>1.6662402207686555E-2</v>
      </c>
      <c r="AR93" s="20">
        <f t="shared" si="8"/>
        <v>0.16019110116996016</v>
      </c>
      <c r="AS93" s="20">
        <f t="shared" si="9"/>
        <v>0.1140520254975157</v>
      </c>
    </row>
    <row r="94" spans="1:45" ht="15" customHeight="1" x14ac:dyDescent="0.2">
      <c r="A94" s="25" t="s">
        <v>104</v>
      </c>
      <c r="B94" s="19" t="s">
        <v>29</v>
      </c>
      <c r="C94" s="20">
        <f t="shared" si="5"/>
        <v>-0.42068146923305594</v>
      </c>
      <c r="D94" s="20">
        <v>-1484.5997299999999</v>
      </c>
      <c r="E94" s="20">
        <v>-1484.7426499999999</v>
      </c>
      <c r="F94" s="20">
        <v>-1485.8476900000001</v>
      </c>
      <c r="G94" s="20">
        <v>-1484.6246559013</v>
      </c>
      <c r="H94" s="20">
        <v>-1484.7666316154</v>
      </c>
      <c r="I94" s="20">
        <v>-1485.8974124333999</v>
      </c>
      <c r="J94" s="20">
        <v>-1484.8163639423001</v>
      </c>
      <c r="K94" s="20">
        <v>-1484.8250632985</v>
      </c>
      <c r="L94" s="20">
        <v>-1484.8344577687999</v>
      </c>
      <c r="M94" s="20">
        <v>-1484.9457678371</v>
      </c>
      <c r="N94" s="20">
        <v>-1485.0121770011999</v>
      </c>
      <c r="O94" s="20">
        <v>-1486.0639809372001</v>
      </c>
      <c r="P94" s="20">
        <v>-1486.0768541474999</v>
      </c>
      <c r="Q94" s="20">
        <v>-1485.5319818737</v>
      </c>
      <c r="R94" s="20">
        <v>-1485.6700996029999</v>
      </c>
      <c r="S94" s="20">
        <v>-1486.8012029460999</v>
      </c>
      <c r="T94" s="20">
        <f>(S94-Q94)/2*27.211324570273</f>
        <v>-17.268593276251643</v>
      </c>
      <c r="U94" s="20">
        <f>(R94-Q94)*27.211324570273</f>
        <v>-3.7583663608884863</v>
      </c>
      <c r="V94" s="20">
        <f>(F94-I94-D94+G94)/2*27.211324570273</f>
        <v>0.33737324159241389</v>
      </c>
      <c r="W94" s="20">
        <f>(E94-H94-D94+G94)*27.211324570273</f>
        <v>-2.5695270112157949E-2</v>
      </c>
      <c r="X94" s="20">
        <f>(P94-O94-K94+J94)/2*27.211324570273</f>
        <v>-5.6788049310912088E-2</v>
      </c>
      <c r="Y94" s="20">
        <f>(N94-M94-L94+J94)*27.211324570273</f>
        <v>-1.3147243331590586</v>
      </c>
      <c r="Z94" s="21">
        <f>(F94+P94-O94-D94-K94+J94-2*C94)*27.211324570273</f>
        <v>-11.177620709343753</v>
      </c>
      <c r="AA94" s="21">
        <f>(S94+F94-I94+P94-O94-Q94-D94+G94-K94+J94-2*C94)*27.211324570273</f>
        <v>-11.081416167946472</v>
      </c>
      <c r="AB94" s="21">
        <f>(E94+N94-M94-D94-L94+J94)*27.211324570273</f>
        <v>-5.2037668407425768</v>
      </c>
      <c r="AC94" s="21">
        <f>(R94+E94-H94+N94-M94-Q94-D94+G94-L94+J94)*27.211324570273</f>
        <v>-5.0987859641597026</v>
      </c>
      <c r="AD94" s="20">
        <v>4.84</v>
      </c>
      <c r="AE94" s="20">
        <v>4.4400000000000004</v>
      </c>
      <c r="AF94" s="21">
        <f>-Z94/2-AE94</f>
        <v>1.148810354671876</v>
      </c>
      <c r="AG94" s="21">
        <f>-AA94/2-AE94</f>
        <v>1.1007080839732355</v>
      </c>
      <c r="AH94" s="21">
        <f>-AB94-AD94</f>
        <v>0.36376684074257692</v>
      </c>
      <c r="AI94" s="21">
        <f>-AC94-AD94</f>
        <v>0.25878596415970279</v>
      </c>
      <c r="AJ94" s="22">
        <v>0.88649999999999995</v>
      </c>
      <c r="AK94" s="21">
        <v>0.13700000000000001</v>
      </c>
      <c r="AL94" s="21">
        <f>AF94+(0.69-AF$4)</f>
        <v>0.90448966314707713</v>
      </c>
      <c r="AM94" s="21">
        <f>AG94+(0.69-AG$4)</f>
        <v>0.87642183900868309</v>
      </c>
      <c r="AN94" s="21">
        <f>AH94+(-0.8815-AH$4)</f>
        <v>0.29144285034644124</v>
      </c>
      <c r="AO94" s="21">
        <f>AI94+(-0.8815-AI$4)</f>
        <v>0.26019846460867235</v>
      </c>
      <c r="AP94" s="20">
        <f t="shared" si="6"/>
        <v>1.7989663147077173E-2</v>
      </c>
      <c r="AQ94" s="20">
        <f t="shared" si="7"/>
        <v>1.0078160991316865E-2</v>
      </c>
      <c r="AR94" s="20">
        <f t="shared" si="8"/>
        <v>0.15444285034644123</v>
      </c>
      <c r="AS94" s="20">
        <f t="shared" si="9"/>
        <v>0.12319846460867234</v>
      </c>
    </row>
    <row r="95" spans="1:45" ht="15" customHeight="1" x14ac:dyDescent="0.2">
      <c r="A95" s="25" t="s">
        <v>104</v>
      </c>
      <c r="B95" s="19" t="s">
        <v>30</v>
      </c>
      <c r="C95" s="20">
        <f t="shared" si="5"/>
        <v>-0.42068146923305594</v>
      </c>
      <c r="D95" s="20">
        <v>-1484.70381</v>
      </c>
      <c r="E95" s="20">
        <v>-1484.8450399999999</v>
      </c>
      <c r="F95" s="20">
        <v>-1485.9416200000001</v>
      </c>
      <c r="G95" s="20">
        <v>-1484.7279989663</v>
      </c>
      <c r="H95" s="20">
        <v>-1484.8683137493999</v>
      </c>
      <c r="I95" s="20">
        <v>-1485.990712324</v>
      </c>
      <c r="J95" s="20">
        <v>-1484.8163938782</v>
      </c>
      <c r="K95" s="20">
        <v>-1484.8251285737001</v>
      </c>
      <c r="L95" s="20">
        <v>-1484.8345408224</v>
      </c>
      <c r="M95" s="20">
        <v>-1484.9458440257999</v>
      </c>
      <c r="N95" s="20">
        <v>-1485.0122450234001</v>
      </c>
      <c r="O95" s="20">
        <v>-1486.0640239076999</v>
      </c>
      <c r="P95" s="20">
        <v>-1486.0767963999999</v>
      </c>
      <c r="Q95" s="20">
        <v>-1485.6434920183999</v>
      </c>
      <c r="R95" s="20">
        <v>-1485.7792413182001</v>
      </c>
      <c r="S95" s="20">
        <v>-1486.9019455468001</v>
      </c>
      <c r="T95" s="20">
        <f>(S95-Q95)/2*27.211324570273</f>
        <v>-17.1220937089515</v>
      </c>
      <c r="U95" s="20">
        <f>(R95-Q95)*27.211324570273</f>
        <v>-3.6939182570500395</v>
      </c>
      <c r="V95" s="20">
        <f>(F95-I95-D95+G95)/2*27.211324570273</f>
        <v>0.33882667463134952</v>
      </c>
      <c r="W95" s="20">
        <f>(E95-H95-D95+G95)*27.211324570273</f>
        <v>-2.4904264118418229E-2</v>
      </c>
      <c r="X95" s="20">
        <f>(P95-O95-K95+J95)/2*27.211324570273</f>
        <v>-5.4936899634370533E-2</v>
      </c>
      <c r="Y95" s="20">
        <f>(N95-M95-L95+J95)*27.211324570273</f>
        <v>-1.313056708901803</v>
      </c>
      <c r="Z95" s="21">
        <f>(F95+P95-O95-D95-K95+J95-2*C95)*27.211324570273</f>
        <v>-10.897723465606763</v>
      </c>
      <c r="AA95" s="21">
        <f>(S95+F95-I95+P95-O95-Q95-D95+G95-K95+J95-2*C95)*27.211324570273</f>
        <v>-10.781807867902854</v>
      </c>
      <c r="AB95" s="21">
        <f>(E95+N95-M95-D95-L95+J95)*27.211324570273</f>
        <v>-5.1561120779601106</v>
      </c>
      <c r="AC95" s="21">
        <f>(R95+E95-H95+N95-M95-Q95-D95+G95-L95+J95)*27.211324570273</f>
        <v>-5.0318792300702606</v>
      </c>
      <c r="AD95" s="20">
        <v>4.84</v>
      </c>
      <c r="AE95" s="20">
        <v>4.4400000000000004</v>
      </c>
      <c r="AF95" s="21">
        <f>-Z95/2-AE95</f>
        <v>1.0088617328033811</v>
      </c>
      <c r="AG95" s="21">
        <f>-AA95/2-AE95</f>
        <v>0.95090393395142669</v>
      </c>
      <c r="AH95" s="21">
        <f>-AB95-AD95</f>
        <v>0.31611207796011076</v>
      </c>
      <c r="AI95" s="21">
        <f>-AC95-AD95</f>
        <v>0.19187923007026075</v>
      </c>
      <c r="AJ95" s="22">
        <v>0.88649999999999995</v>
      </c>
      <c r="AK95" s="21">
        <v>0.13700000000000001</v>
      </c>
      <c r="AL95" s="21">
        <f>AF95+(0.69-AF$5)</f>
        <v>0.89305626185416775</v>
      </c>
      <c r="AM95" s="21">
        <f>AG95+(0.69-AG$5)</f>
        <v>0.86224751989833193</v>
      </c>
      <c r="AN95" s="21">
        <f>AH95+(-0.8815-AH$5)</f>
        <v>0.26266167452727718</v>
      </c>
      <c r="AO95" s="21">
        <f>AI95+(-0.8815-AI$5)</f>
        <v>0.22382885855226586</v>
      </c>
      <c r="AP95" s="20">
        <f t="shared" si="6"/>
        <v>6.5562618541677997E-3</v>
      </c>
      <c r="AQ95" s="20">
        <f t="shared" si="7"/>
        <v>2.4252480101668028E-2</v>
      </c>
      <c r="AR95" s="20">
        <f t="shared" si="8"/>
        <v>0.12566167452727717</v>
      </c>
      <c r="AS95" s="20">
        <f t="shared" si="9"/>
        <v>8.6828858552265853E-2</v>
      </c>
    </row>
    <row r="96" spans="1:45" ht="15" customHeight="1" x14ac:dyDescent="0.2">
      <c r="A96" s="25" t="s">
        <v>104</v>
      </c>
      <c r="B96" s="19" t="s">
        <v>31</v>
      </c>
      <c r="C96" s="20">
        <f t="shared" si="5"/>
        <v>-0.42068146923305594</v>
      </c>
      <c r="D96" s="20">
        <v>-1484.5997299999999</v>
      </c>
      <c r="E96" s="20">
        <v>-1484.7426499999999</v>
      </c>
      <c r="F96" s="20">
        <v>-1485.8476900000001</v>
      </c>
      <c r="G96" s="20">
        <v>-1484.6246559013</v>
      </c>
      <c r="H96" s="20">
        <v>-1484.7666316154</v>
      </c>
      <c r="I96" s="20">
        <v>-1485.8974124333999</v>
      </c>
      <c r="J96" s="20">
        <v>-1484.8163639423001</v>
      </c>
      <c r="K96" s="20">
        <v>-1484.8250632985</v>
      </c>
      <c r="L96" s="20">
        <v>-1484.8344577687999</v>
      </c>
      <c r="M96" s="20">
        <v>-1484.9457678371</v>
      </c>
      <c r="N96" s="20">
        <v>-1485.0121770011999</v>
      </c>
      <c r="O96" s="20">
        <v>-1486.0639809372001</v>
      </c>
      <c r="P96" s="20">
        <v>-1486.0768541474999</v>
      </c>
      <c r="Q96" s="20">
        <v>-1485.0465522635</v>
      </c>
      <c r="R96" s="20">
        <v>-1485.1829909743001</v>
      </c>
      <c r="S96" s="20">
        <v>-1486.3076663453</v>
      </c>
      <c r="T96" s="20">
        <f>(S96-Q96)/2*27.211324570273</f>
        <v>-17.158292300002</v>
      </c>
      <c r="U96" s="20">
        <f>(R96-Q96)*27.211324570273</f>
        <v>-3.7126780435317057</v>
      </c>
      <c r="V96" s="20">
        <f>(F96-I96-D96+G96)/2*27.211324570273</f>
        <v>0.33737324159241389</v>
      </c>
      <c r="W96" s="20">
        <f>(E96-H96-D96+G96)*27.211324570273</f>
        <v>-2.5695270112157949E-2</v>
      </c>
      <c r="X96" s="20">
        <f>(P96-O96-K96+J96)/2*27.211324570273</f>
        <v>-5.6788049310912088E-2</v>
      </c>
      <c r="Y96" s="20">
        <f>(N96-M96-L96+J96)*27.211324570273</f>
        <v>-1.3147243331590586</v>
      </c>
      <c r="Z96" s="21">
        <f>(F96+P96-O96-D96-K96+J96-2*C96)*27.211324570273</f>
        <v>-11.177620709343753</v>
      </c>
      <c r="AA96" s="21">
        <f>(S96+F96-I96+P96-O96-Q96-D96+G96-K96+J96-2*C96)*27.211324570273</f>
        <v>-10.860814215434809</v>
      </c>
      <c r="AB96" s="21">
        <f>(E96+N96-M96-D96-L96+J96)*27.211324570273</f>
        <v>-5.2037668407425768</v>
      </c>
      <c r="AC96" s="21">
        <f>(R96+E96-H96+N96-M96-Q96-D96+G96-L96+J96)*27.211324570273</f>
        <v>-5.0530976468152966</v>
      </c>
      <c r="AD96" s="20">
        <v>4.84</v>
      </c>
      <c r="AE96" s="20">
        <v>4.4400000000000004</v>
      </c>
      <c r="AF96" s="21">
        <f>-Z96/2-AE96</f>
        <v>1.148810354671876</v>
      </c>
      <c r="AG96" s="21">
        <f>-AA96/2-AE96</f>
        <v>0.99040710771740414</v>
      </c>
      <c r="AH96" s="21">
        <f>-AB96-AD96</f>
        <v>0.36376684074257692</v>
      </c>
      <c r="AI96" s="21">
        <f>-AC96-AD96</f>
        <v>0.21309764681529675</v>
      </c>
      <c r="AJ96" s="22">
        <v>0.88649999999999995</v>
      </c>
      <c r="AK96" s="21">
        <v>0.13700000000000001</v>
      </c>
      <c r="AL96" s="21">
        <f>AF96+(0.69-AF$6)</f>
        <v>0.90448966314707713</v>
      </c>
      <c r="AM96" s="21">
        <f>AG96+(0.69-AG$6)</f>
        <v>0.87402004640708908</v>
      </c>
      <c r="AN96" s="21">
        <f>AH96+(-0.8815-AH$6)</f>
        <v>0.29144285034644124</v>
      </c>
      <c r="AO96" s="21">
        <f>AI96+(-0.8815-AI$6)</f>
        <v>0.26472015954789807</v>
      </c>
      <c r="AP96" s="20">
        <f t="shared" si="6"/>
        <v>1.7989663147077173E-2</v>
      </c>
      <c r="AQ96" s="20">
        <f t="shared" si="7"/>
        <v>1.2479953592910875E-2</v>
      </c>
      <c r="AR96" s="20">
        <f t="shared" si="8"/>
        <v>0.15444285034644123</v>
      </c>
      <c r="AS96" s="20">
        <f t="shared" si="9"/>
        <v>0.12772015954789806</v>
      </c>
    </row>
    <row r="97" spans="1:45" ht="15" customHeight="1" x14ac:dyDescent="0.2">
      <c r="A97" s="25" t="s">
        <v>104</v>
      </c>
      <c r="B97" s="19" t="s">
        <v>32</v>
      </c>
      <c r="C97" s="20">
        <f t="shared" si="5"/>
        <v>-0.42068146923305594</v>
      </c>
      <c r="D97" s="20">
        <v>-1484.70381</v>
      </c>
      <c r="E97" s="20">
        <v>-1484.8450399999999</v>
      </c>
      <c r="F97" s="20">
        <v>-1485.9416200000001</v>
      </c>
      <c r="G97" s="20">
        <v>-1484.7279989663</v>
      </c>
      <c r="H97" s="20">
        <v>-1484.8683137493999</v>
      </c>
      <c r="I97" s="20">
        <v>-1485.990712324</v>
      </c>
      <c r="J97" s="20">
        <v>-1484.8163938782</v>
      </c>
      <c r="K97" s="20">
        <v>-1484.8251285737001</v>
      </c>
      <c r="L97" s="20">
        <v>-1484.8345408224</v>
      </c>
      <c r="M97" s="20">
        <v>-1484.9458440257999</v>
      </c>
      <c r="N97" s="20">
        <v>-1485.0122450234001</v>
      </c>
      <c r="O97" s="20">
        <v>-1486.0640239076999</v>
      </c>
      <c r="P97" s="20">
        <v>-1486.0767963999999</v>
      </c>
      <c r="Q97" s="20">
        <v>-1485.1761838312</v>
      </c>
      <c r="R97" s="20">
        <v>-1485.3103880653</v>
      </c>
      <c r="S97" s="20">
        <v>-1486.4265863614</v>
      </c>
      <c r="T97" s="20">
        <f>(S97-Q97)/2*27.211324570273</f>
        <v>-17.012554546382248</v>
      </c>
      <c r="U97" s="20">
        <f>(R97-Q97)*27.211324570273</f>
        <v>-3.6518749728006834</v>
      </c>
      <c r="V97" s="20">
        <f>(F97-I97-D97+G97)/2*27.211324570273</f>
        <v>0.33882667463134952</v>
      </c>
      <c r="W97" s="20">
        <f>(E97-H97-D97+G97)*27.211324570273</f>
        <v>-2.4904264118418229E-2</v>
      </c>
      <c r="X97" s="20">
        <f>(P97-O97-K97+J97)/2*27.211324570273</f>
        <v>-5.4936899634370533E-2</v>
      </c>
      <c r="Y97" s="20">
        <f>(N97-M97-L97+J97)*27.211324570273</f>
        <v>-1.313056708901803</v>
      </c>
      <c r="Z97" s="21">
        <f>(F97+P97-O97-D97-K97+J97-2*C97)*27.211324570273</f>
        <v>-10.897723465606763</v>
      </c>
      <c r="AA97" s="21">
        <f>(S97+F97-I97+P97-O97-Q97-D97+G97-K97+J97-2*C97)*27.211324570273</f>
        <v>-10.562729542776724</v>
      </c>
      <c r="AB97" s="21">
        <f>(E97+N97-M97-D97-L97+J97)*27.211324570273</f>
        <v>-5.1561120779601106</v>
      </c>
      <c r="AC97" s="21">
        <f>(R97+E97-H97+N97-M97-Q97-D97+G97-L97+J97)*27.211324570273</f>
        <v>-4.9898359458270916</v>
      </c>
      <c r="AD97" s="20">
        <v>4.84</v>
      </c>
      <c r="AE97" s="20">
        <v>4.4400000000000004</v>
      </c>
      <c r="AF97" s="21">
        <f>-Z97/2-AE97</f>
        <v>1.0088617328033811</v>
      </c>
      <c r="AG97" s="21">
        <f>-AA97/2-AE97</f>
        <v>0.84136477138836163</v>
      </c>
      <c r="AH97" s="21">
        <f>-AB97-AD97</f>
        <v>0.31611207796011076</v>
      </c>
      <c r="AI97" s="21">
        <f>-AC97-AD97</f>
        <v>0.1498359458270917</v>
      </c>
      <c r="AJ97" s="22">
        <v>0.88649999999999995</v>
      </c>
      <c r="AK97" s="21">
        <v>0.13700000000000001</v>
      </c>
      <c r="AL97" s="21">
        <f>AF97+(0.69-AF$7)</f>
        <v>0.89305626185416775</v>
      </c>
      <c r="AM97" s="21">
        <f>AG97+(0.69-AG$7)</f>
        <v>0.86194343062940471</v>
      </c>
      <c r="AN97" s="21">
        <f>AH97+(-0.8815-AH$7)</f>
        <v>0.26266167452727718</v>
      </c>
      <c r="AO97" s="21">
        <f>AI97+(-0.8815-AI$7)</f>
        <v>0.229339388517797</v>
      </c>
      <c r="AP97" s="20">
        <f t="shared" si="6"/>
        <v>6.5562618541677997E-3</v>
      </c>
      <c r="AQ97" s="20">
        <f t="shared" si="7"/>
        <v>2.4556569370595249E-2</v>
      </c>
      <c r="AR97" s="20">
        <f t="shared" si="8"/>
        <v>0.12566167452727717</v>
      </c>
      <c r="AS97" s="20">
        <f t="shared" si="9"/>
        <v>9.2339388517796994E-2</v>
      </c>
    </row>
    <row r="98" spans="1:45" ht="15" customHeight="1" x14ac:dyDescent="0.2">
      <c r="A98" s="25" t="s">
        <v>104</v>
      </c>
      <c r="B98" s="19" t="s">
        <v>33</v>
      </c>
      <c r="C98" s="20">
        <f t="shared" si="5"/>
        <v>-0.42068146923305594</v>
      </c>
      <c r="D98" s="20">
        <v>-1485.1524199999999</v>
      </c>
      <c r="E98" s="20">
        <v>-1485.2707</v>
      </c>
      <c r="F98" s="20">
        <v>-1486.3788300000001</v>
      </c>
      <c r="G98" s="20">
        <v>-1485.1764497168999</v>
      </c>
      <c r="H98" s="20">
        <v>-1485.2933120358</v>
      </c>
      <c r="I98" s="20">
        <v>-1486.4270443594</v>
      </c>
      <c r="J98" s="20">
        <v>-1484.8159073136001</v>
      </c>
      <c r="K98" s="20">
        <v>-1484.8246970462999</v>
      </c>
      <c r="L98" s="20">
        <v>-1484.8341472691</v>
      </c>
      <c r="M98" s="20">
        <v>-1484.9450619204999</v>
      </c>
      <c r="N98" s="20">
        <v>-1485.0117430810001</v>
      </c>
      <c r="O98" s="20">
        <v>-1486.0636057963</v>
      </c>
      <c r="P98" s="20">
        <v>-1486.0763226745</v>
      </c>
      <c r="Q98" s="20">
        <v>-1485.1768226076999</v>
      </c>
      <c r="R98" s="20">
        <v>-1485.3108597485</v>
      </c>
      <c r="S98" s="20">
        <v>-1486.4273043439</v>
      </c>
      <c r="T98" s="20">
        <f>(S98-Q98)/2*27.211324570273</f>
        <v>-17.013632196469331</v>
      </c>
      <c r="U98" s="20">
        <f>(R98-Q98)*27.211324570273</f>
        <v>-3.6473281427814461</v>
      </c>
      <c r="V98" s="20">
        <f>(F98-I98-D98+G98)/2*27.211324570273</f>
        <v>0.32904807834045224</v>
      </c>
      <c r="W98" s="20">
        <f>(E98-H98-D98+G98)*27.211324570273</f>
        <v>-3.8576980551016861E-2</v>
      </c>
      <c r="X98" s="20">
        <f>(P98-O98-K98+J98)/2*27.211324570273</f>
        <v>-5.3431415421080673E-2</v>
      </c>
      <c r="Y98" s="20">
        <f>(N98-M98-L98+J98)*27.211324570273</f>
        <v>-1.3181493518367908</v>
      </c>
      <c r="Z98" s="21">
        <f>(F98+P98-O98-D98-K98+J98-2*C98)*27.211324570273</f>
        <v>-10.584503397070321</v>
      </c>
      <c r="AA98" s="21">
        <f>(S98+F98-I98+P98-O98-Q98-D98+G98-K98+J98-2*C98)*27.211324570273</f>
        <v>-10.581431067099921</v>
      </c>
      <c r="AB98" s="21">
        <f>(E98+N98-M98-D98-L98+J98)*27.211324570273</f>
        <v>-4.5367048220125108</v>
      </c>
      <c r="AC98" s="21">
        <f>(R98+E98-H98+N98-M98-Q98-D98+G98-L98+J98)*27.211324570273</f>
        <v>-5.0040544751692542</v>
      </c>
      <c r="AD98" s="20">
        <v>4.84</v>
      </c>
      <c r="AE98" s="20">
        <v>4.4400000000000004</v>
      </c>
      <c r="AF98" s="21">
        <f>-Z98/2-AE98</f>
        <v>0.85225169853516025</v>
      </c>
      <c r="AG98" s="21">
        <f>-AA98/2-AE98</f>
        <v>0.85071553354995988</v>
      </c>
      <c r="AH98" s="21">
        <f>-AB98-AD98</f>
        <v>-0.30329517798748906</v>
      </c>
      <c r="AI98" s="21">
        <f>-AC98-AD98</f>
        <v>0.16405447516925431</v>
      </c>
      <c r="AJ98" s="22">
        <v>0.88649999999999995</v>
      </c>
      <c r="AK98" s="21">
        <v>0.13700000000000001</v>
      </c>
      <c r="AL98" s="21">
        <f>AF98+(0.69-AF$8)</f>
        <v>0.87281367587468806</v>
      </c>
      <c r="AM98" s="21">
        <f>AG98+(0.69-AG$8)</f>
        <v>0.86908511623923479</v>
      </c>
      <c r="AN98" s="21">
        <f>AH98+(-0.8815-AH$8)</f>
        <v>0.20237869113455265</v>
      </c>
      <c r="AO98" s="21">
        <f>AI98+(-0.8815-AI$8)</f>
        <v>0.20147120706036414</v>
      </c>
      <c r="AP98" s="20">
        <f t="shared" si="6"/>
        <v>1.3686324125311899E-2</v>
      </c>
      <c r="AQ98" s="20">
        <f t="shared" si="7"/>
        <v>1.7414883760765165E-2</v>
      </c>
      <c r="AR98" s="20">
        <f t="shared" si="8"/>
        <v>6.5378691134552636E-2</v>
      </c>
      <c r="AS98" s="20">
        <f t="shared" si="9"/>
        <v>6.4471207060364133E-2</v>
      </c>
    </row>
    <row r="99" spans="1:45" ht="15" customHeight="1" x14ac:dyDescent="0.2">
      <c r="A99" s="25" t="s">
        <v>104</v>
      </c>
      <c r="B99" s="19" t="s">
        <v>174</v>
      </c>
      <c r="C99" s="20">
        <f t="shared" si="5"/>
        <v>-0.42068146923305594</v>
      </c>
      <c r="D99" s="20">
        <v>-1485.15292</v>
      </c>
      <c r="E99" s="20">
        <v>-1485.2849699999999</v>
      </c>
      <c r="F99" s="20">
        <v>-1486.3795</v>
      </c>
      <c r="G99" s="20">
        <v>-1485.1769813599001</v>
      </c>
      <c r="H99" s="20">
        <v>-1485.3074069033</v>
      </c>
      <c r="I99" s="20">
        <v>-1486.4277661358001</v>
      </c>
      <c r="J99" s="20">
        <v>-1484.8159020937001</v>
      </c>
      <c r="K99" s="20">
        <v>-1484.8247059007999</v>
      </c>
      <c r="L99" s="20">
        <v>-1484.8341514166</v>
      </c>
      <c r="M99" s="20">
        <v>-1484.9452982713001</v>
      </c>
      <c r="N99" s="20">
        <v>-1485.0119321879999</v>
      </c>
      <c r="O99" s="20">
        <v>-1486.0636213145999</v>
      </c>
      <c r="P99" s="20">
        <v>-1486.0763428723999</v>
      </c>
      <c r="Q99" s="20">
        <v>-1485.1768182165999</v>
      </c>
      <c r="R99" s="20">
        <v>-1485.3108701342001</v>
      </c>
      <c r="S99" s="20">
        <v>-1486.4273055629999</v>
      </c>
      <c r="T99" s="20">
        <f>(S99-Q99)/2*27.211324570273</f>
        <v>-17.013708526954225</v>
      </c>
      <c r="U99" s="20">
        <f>(R99-Q99)*27.211324570273</f>
        <v>-3.6477302390843032</v>
      </c>
      <c r="V99" s="20">
        <f>(F99-I99-D99+G99)/2*27.211324570273</f>
        <v>0.32932200658265876</v>
      </c>
      <c r="W99" s="20">
        <f>(E99-H99-D99+G99)*27.211324570273</f>
        <v>-4.4203615792489867E-2</v>
      </c>
      <c r="X99" s="20">
        <f>(P99-O99-K99+J99)/2*27.211324570273</f>
        <v>-5.3303592943072187E-2</v>
      </c>
      <c r="Y99" s="20">
        <f>(N99-M99-L99+J99)*27.211324570273</f>
        <v>-1.316608886090922</v>
      </c>
      <c r="Z99" s="21">
        <f>(F99+P99-O99-D99-K99+J99-2*C99)*27.211324570273</f>
        <v>-10.588873677291945</v>
      </c>
      <c r="AA99" s="21">
        <f>(S99+F99-I99+P99-O99-Q99-D99+G99-K99+J99-2*C99)*27.211324570273</f>
        <v>-10.580780226635461</v>
      </c>
      <c r="AB99" s="21">
        <f>(E99+N99-M99-D99-L99+J99)*27.211324570273</f>
        <v>-4.9098642955937191</v>
      </c>
      <c r="AC99" s="21">
        <f>(R99+E99-H99+N99-M99-Q99-D99+G99-L99+J99)*27.211324570273</f>
        <v>-5.008542740961528</v>
      </c>
      <c r="AD99" s="20">
        <v>4.84</v>
      </c>
      <c r="AE99" s="20">
        <v>4.4400000000000004</v>
      </c>
      <c r="AF99" s="21">
        <f>-Z99/2-AE99</f>
        <v>0.85443683864597197</v>
      </c>
      <c r="AG99" s="21">
        <f>-AA99/2-AE99</f>
        <v>0.85039011331773029</v>
      </c>
      <c r="AH99" s="21">
        <f>-AB99-AD99</f>
        <v>6.9864295593719206E-2</v>
      </c>
      <c r="AI99" s="21">
        <f>-AC99-AD99</f>
        <v>0.1685427409615281</v>
      </c>
      <c r="AJ99" s="22">
        <v>0.88649999999999995</v>
      </c>
      <c r="AK99" s="21">
        <v>0.13700000000000001</v>
      </c>
      <c r="AL99" s="21">
        <f>AF99+(0.69-AF$9)</f>
        <v>0.87000954343594161</v>
      </c>
      <c r="AM99" s="21">
        <f>AG99+(0.69-AG$9)</f>
        <v>0.86801725406510188</v>
      </c>
      <c r="AN99" s="21">
        <f>AH99+(-0.8815-AH$9)</f>
        <v>0.19596740916906441</v>
      </c>
      <c r="AO99" s="21">
        <f>AI99+(-0.8815-AI$9)</f>
        <v>0.24645858518104946</v>
      </c>
      <c r="AP99" s="20">
        <f t="shared" si="6"/>
        <v>1.6490456564058342E-2</v>
      </c>
      <c r="AQ99" s="20">
        <f t="shared" si="7"/>
        <v>1.848274593489807E-2</v>
      </c>
      <c r="AR99" s="20">
        <f t="shared" si="8"/>
        <v>5.89674091690644E-2</v>
      </c>
      <c r="AS99" s="20">
        <f t="shared" si="9"/>
        <v>0.10945858518104945</v>
      </c>
    </row>
    <row r="100" spans="1:45" ht="15" customHeight="1" x14ac:dyDescent="0.2">
      <c r="A100" s="25" t="s">
        <v>104</v>
      </c>
      <c r="B100" s="19" t="s">
        <v>43</v>
      </c>
      <c r="C100" s="20">
        <f t="shared" si="5"/>
        <v>-0.42068146923305594</v>
      </c>
      <c r="D100" s="20">
        <v>-1484.70381</v>
      </c>
      <c r="E100" s="20">
        <v>-1484.8450399999999</v>
      </c>
      <c r="F100" s="20">
        <v>-1485.9416200000001</v>
      </c>
      <c r="G100" s="20">
        <v>-1484.7279989663</v>
      </c>
      <c r="H100" s="20">
        <v>-1484.8683137493999</v>
      </c>
      <c r="I100" s="20">
        <v>-1485.990712324</v>
      </c>
      <c r="J100" s="20">
        <v>-1484.8163938782</v>
      </c>
      <c r="K100" s="20">
        <v>-1484.8251285737001</v>
      </c>
      <c r="L100" s="20">
        <v>-1484.8345408224</v>
      </c>
      <c r="M100" s="20">
        <v>-1484.9458440257999</v>
      </c>
      <c r="N100" s="20">
        <v>-1485.0122450234001</v>
      </c>
      <c r="O100" s="20">
        <v>-1486.0640239076999</v>
      </c>
      <c r="P100" s="20">
        <v>-1486.0767963999999</v>
      </c>
      <c r="Q100" s="20">
        <v>-1483.51410981052</v>
      </c>
      <c r="R100" s="20">
        <v>-1483.64364205744</v>
      </c>
      <c r="S100" s="20">
        <v>-1484.7730842578601</v>
      </c>
      <c r="T100" s="20">
        <f>(S100-Q100)/2*27.211324570273</f>
        <v>-17.129181156125107</v>
      </c>
      <c r="U100" s="20">
        <f>(R100-Q100)*27.211324570273</f>
        <v>-3.524744013257064</v>
      </c>
      <c r="V100" s="20">
        <f>(F100-I100-D100+G100)/2*27.211324570273</f>
        <v>0.33882667463134952</v>
      </c>
      <c r="W100" s="20">
        <f>(E100-H100-D100+G100)*27.211324570273</f>
        <v>-2.4904264118418229E-2</v>
      </c>
      <c r="X100" s="20">
        <f>(P100-O100-K100+J100)/2*27.211324570273</f>
        <v>-5.4936899634370533E-2</v>
      </c>
      <c r="Y100" s="20">
        <f>(N100-M100-L100+J100)*27.211324570273</f>
        <v>-1.313056708901803</v>
      </c>
      <c r="Z100" s="21">
        <f>(F100+P100-O100-D100-K100+J100-2*C100)*27.211324570273</f>
        <v>-10.897723465606763</v>
      </c>
      <c r="AA100" s="21">
        <f>(S100+F100-I100+P100-O100-Q100-D100+G100-K100+J100-2*C100)*27.211324570273</f>
        <v>-10.795982762243881</v>
      </c>
      <c r="AB100" s="21">
        <f>(E100+N100-M100-D100-L100+J100)*27.211324570273</f>
        <v>-5.1561120779601106</v>
      </c>
      <c r="AC100" s="21">
        <f>(R100+E100-H100+N100-M100-Q100-D100+G100-L100+J100)*27.211324570273</f>
        <v>-4.8627049862896596</v>
      </c>
      <c r="AD100" s="20">
        <v>4.84</v>
      </c>
      <c r="AE100" s="20">
        <v>4.4400000000000004</v>
      </c>
      <c r="AF100" s="21">
        <f>-Z100/2-AE100</f>
        <v>1.0088617328033811</v>
      </c>
      <c r="AG100" s="21">
        <f>-AA100/2-AE100</f>
        <v>0.95799138112194004</v>
      </c>
      <c r="AH100" s="21">
        <f>-AB100-AD100</f>
        <v>0.31611207796011076</v>
      </c>
      <c r="AI100" s="21">
        <f>-AC100-AD100</f>
        <v>2.2704986289659779E-2</v>
      </c>
      <c r="AJ100" s="22">
        <v>0.88649999999999995</v>
      </c>
      <c r="AK100" s="21">
        <v>0.13700000000000001</v>
      </c>
      <c r="AL100" s="21">
        <f>AF100+(0.69-AF$10)</f>
        <v>0.89305626185416775</v>
      </c>
      <c r="AM100" s="21">
        <f>AG100+(0.69-AG$10)</f>
        <v>0.85132901412987172</v>
      </c>
      <c r="AN100" s="21">
        <f>AH100+(-0.8815-AH$10)</f>
        <v>0.26266167452727718</v>
      </c>
      <c r="AO100" s="21">
        <f>AI100+(-0.8815-AI$10)</f>
        <v>0.20522309791703419</v>
      </c>
      <c r="AP100" s="20">
        <f t="shared" si="6"/>
        <v>6.5562618541677997E-3</v>
      </c>
      <c r="AQ100" s="20">
        <f t="shared" si="7"/>
        <v>3.5170985870128235E-2</v>
      </c>
      <c r="AR100" s="20">
        <f t="shared" si="8"/>
        <v>0.12566167452727717</v>
      </c>
      <c r="AS100" s="20">
        <f t="shared" si="9"/>
        <v>6.8223097917034181E-2</v>
      </c>
    </row>
    <row r="101" spans="1:45" x14ac:dyDescent="0.2">
      <c r="A101" s="26" t="s">
        <v>132</v>
      </c>
      <c r="B101" s="19" t="s">
        <v>27</v>
      </c>
      <c r="C101" s="20">
        <f t="shared" si="5"/>
        <v>-0.42068146923305594</v>
      </c>
      <c r="D101" s="20">
        <v>-777.83744000000002</v>
      </c>
      <c r="E101" s="20">
        <v>-777.95039999999995</v>
      </c>
      <c r="F101" s="20">
        <v>-779.06330000000003</v>
      </c>
      <c r="G101" s="20">
        <v>-777.85691780219997</v>
      </c>
      <c r="H101" s="20">
        <v>-777.96768057969996</v>
      </c>
      <c r="I101" s="20">
        <v>-779.10562994070006</v>
      </c>
      <c r="J101" s="20">
        <v>-778.07192138430003</v>
      </c>
      <c r="K101" s="20">
        <v>-778.07549919370001</v>
      </c>
      <c r="L101" s="20">
        <v>-778.08215686430003</v>
      </c>
      <c r="M101" s="20">
        <v>-778.16026020239997</v>
      </c>
      <c r="N101" s="20">
        <v>-778.23089823420003</v>
      </c>
      <c r="O101" s="20">
        <v>-779.30458057910005</v>
      </c>
      <c r="P101" s="20">
        <v>-779.31285943629996</v>
      </c>
      <c r="Q101" s="20">
        <v>-778.72469472180001</v>
      </c>
      <c r="R101" s="20">
        <v>-778.83105034389996</v>
      </c>
      <c r="S101" s="20">
        <v>-779.9700409738</v>
      </c>
      <c r="T101" s="20">
        <f>(S101-Q101)/2*27.211324570273</f>
        <v>-16.943760532772362</v>
      </c>
      <c r="U101" s="20">
        <f>(R101-Q101)*27.211324570273</f>
        <v>-2.8940773528351595</v>
      </c>
      <c r="V101" s="20">
        <f>(F101-I101-D101+G101)/2*27.211324570273</f>
        <v>0.31091847892512359</v>
      </c>
      <c r="W101" s="20">
        <f>(E101-H101-D101+G101)*27.211324570273</f>
        <v>-5.978933459909571E-2</v>
      </c>
      <c r="X101" s="20">
        <f>(P101-O101-K101+J101)/2*27.211324570273</f>
        <v>-6.3960868752084274E-2</v>
      </c>
      <c r="Y101" s="20">
        <f>(N101-M101-L101+J101)*27.211324570273</f>
        <v>-1.6436334419039591</v>
      </c>
      <c r="Z101" s="21">
        <f>(F101+P101-O101-D101-K101+J101-2*C101)*27.211324570273</f>
        <v>-10.590596075219342</v>
      </c>
      <c r="AA101" s="21">
        <f>(S101+F101-I101+P101-O101-Q101-D101+G101-K101+J101-2*C101)*27.211324570273</f>
        <v>-10.499005845198647</v>
      </c>
      <c r="AB101" s="21">
        <f>(E101+N101-M101-D101-L101+J101)*27.211324570273</f>
        <v>-4.7174246653569991</v>
      </c>
      <c r="AC101" s="21">
        <f>(R101+E101-H101+N101-M101-Q101-D101+G101-L101+J101)*27.211324570273</f>
        <v>-4.5975001293382141</v>
      </c>
      <c r="AD101" s="20">
        <v>4.84</v>
      </c>
      <c r="AE101" s="20">
        <v>4.4400000000000004</v>
      </c>
      <c r="AF101" s="21">
        <f>-Z101/2-AE101</f>
        <v>0.85529803760967038</v>
      </c>
      <c r="AG101" s="21">
        <f>-AA101/2-AE101</f>
        <v>0.80950292259932333</v>
      </c>
      <c r="AH101" s="21">
        <f>-AB101-AD101</f>
        <v>-0.12257533464300074</v>
      </c>
      <c r="AI101" s="21">
        <f>-AC101-AD101</f>
        <v>-0.2424998706617858</v>
      </c>
      <c r="AJ101" s="22">
        <v>0.70599999999999996</v>
      </c>
      <c r="AK101" s="21">
        <v>-0.377</v>
      </c>
      <c r="AL101" s="27">
        <f>AF101+(0.69-AF$2)</f>
        <v>0.67249152763561115</v>
      </c>
      <c r="AM101" s="27">
        <f>AG101+(0.69-AG$2)</f>
        <v>0.65223294683638722</v>
      </c>
      <c r="AN101" s="27">
        <f>AH101+(-0.8815-AH$2)</f>
        <v>-0.29709628175392755</v>
      </c>
      <c r="AO101" s="27">
        <f>AI101+(-0.8815-AI$2)</f>
        <v>-0.34836150294191626</v>
      </c>
      <c r="AP101" s="20">
        <f t="shared" si="6"/>
        <v>3.3508472364388808E-2</v>
      </c>
      <c r="AQ101" s="20">
        <f t="shared" si="7"/>
        <v>5.3767053163612744E-2</v>
      </c>
      <c r="AR101" s="20">
        <f t="shared" si="8"/>
        <v>7.9903718246072453E-2</v>
      </c>
      <c r="AS101" s="20">
        <f t="shared" si="9"/>
        <v>2.8638497058083745E-2</v>
      </c>
    </row>
    <row r="102" spans="1:45" ht="15" customHeight="1" x14ac:dyDescent="0.2">
      <c r="A102" s="26" t="s">
        <v>132</v>
      </c>
      <c r="B102" s="19" t="s">
        <v>145</v>
      </c>
      <c r="C102" s="20">
        <f t="shared" si="5"/>
        <v>-0.42068146923305594</v>
      </c>
      <c r="D102" s="20">
        <v>-777.53671999999995</v>
      </c>
      <c r="E102" s="20">
        <v>-777.64647000000002</v>
      </c>
      <c r="F102" s="20">
        <v>-778.76043000000004</v>
      </c>
      <c r="G102" s="20">
        <v>-777.55737996790003</v>
      </c>
      <c r="H102" s="20">
        <v>-777.66509305390002</v>
      </c>
      <c r="I102" s="20">
        <v>-778.80387735529996</v>
      </c>
      <c r="J102" s="20">
        <v>-778.07192252640004</v>
      </c>
      <c r="K102" s="20">
        <v>-778.07520140810004</v>
      </c>
      <c r="L102" s="20">
        <v>-778.08191714459997</v>
      </c>
      <c r="M102" s="20">
        <v>-778.16030674629997</v>
      </c>
      <c r="N102" s="20">
        <v>-778.23106075110002</v>
      </c>
      <c r="O102" s="20">
        <v>-779.30469529710001</v>
      </c>
      <c r="P102" s="20">
        <v>-779.31277942129998</v>
      </c>
      <c r="Q102" s="20">
        <v>-778.42895251790003</v>
      </c>
      <c r="R102" s="20">
        <v>-778.53375908119995</v>
      </c>
      <c r="S102" s="20">
        <v>-779.67391527389998</v>
      </c>
      <c r="T102" s="20">
        <f>(S102-Q102)/2*27.211324570273</f>
        <v>-16.938542815708114</v>
      </c>
      <c r="U102" s="20">
        <f>(R102-Q102)*27.211324570273</f>
        <v>-2.8519254110489007</v>
      </c>
      <c r="V102" s="20">
        <f>(F102-I102-D102+G102)/2*27.211324570273</f>
        <v>0.31003749732266922</v>
      </c>
      <c r="W102" s="20">
        <f>(E102-H102-D102+G102)*27.211324570273</f>
        <v>-5.5427127978091018E-2</v>
      </c>
      <c r="X102" s="20">
        <f>(P102-O102-K102+J102)/2*27.211324570273</f>
        <v>-6.5378506652771534E-2</v>
      </c>
      <c r="Y102" s="20">
        <f>(N102-M102-L102+J102)*27.211324570273</f>
        <v>-1.6533433894667044</v>
      </c>
      <c r="Z102" s="21">
        <f>(F102+P102-O102-D102-K102+J102-2*C102)*27.211324570273</f>
        <v>-10.534927003193847</v>
      </c>
      <c r="AA102" s="21">
        <f>(S102+F102-I102+P102-O102-Q102-D102+G102-K102+J102-2*C102)*27.211324570273</f>
        <v>-10.493167650073337</v>
      </c>
      <c r="AB102" s="21">
        <f>(E102+N102-M102-D102-L102+J102)*27.211324570273</f>
        <v>-4.639786261056245</v>
      </c>
      <c r="AC102" s="21">
        <f>(R102+E102-H102+N102-M102-Q102-D102+G102-L102+J102)*27.211324570273</f>
        <v>-4.5606959284936961</v>
      </c>
      <c r="AD102" s="20">
        <v>4.84</v>
      </c>
      <c r="AE102" s="20">
        <v>4.4400000000000004</v>
      </c>
      <c r="AF102" s="21">
        <f>-Z102/2-AE102</f>
        <v>0.82746350159692295</v>
      </c>
      <c r="AG102" s="21">
        <f>-AA102/2-AE102</f>
        <v>0.80658382503666815</v>
      </c>
      <c r="AH102" s="21">
        <f>-AB102-AD102</f>
        <v>-0.20021373894375483</v>
      </c>
      <c r="AI102" s="21">
        <f>-AC102-AD102</f>
        <v>-0.27930407150630376</v>
      </c>
      <c r="AJ102" s="22">
        <v>0.70599999999999996</v>
      </c>
      <c r="AK102" s="21">
        <v>-0.377</v>
      </c>
      <c r="AL102" s="27">
        <f>AF102+(0.69-AF$3)</f>
        <v>0.66818166063414841</v>
      </c>
      <c r="AM102" s="27">
        <f>AG102+(0.69-AG$3)</f>
        <v>0.65790363857705847</v>
      </c>
      <c r="AN102" s="27">
        <f>AH102+(-0.8815-AH$3)</f>
        <v>-0.27180849577322341</v>
      </c>
      <c r="AO102" s="27">
        <f>AI102+(-0.8815-AI$3)</f>
        <v>-0.31699861459904977</v>
      </c>
      <c r="AP102" s="20">
        <f t="shared" si="6"/>
        <v>3.781833936585155E-2</v>
      </c>
      <c r="AQ102" s="20">
        <f t="shared" si="7"/>
        <v>4.8096361422941492E-2</v>
      </c>
      <c r="AR102" s="20">
        <f t="shared" si="8"/>
        <v>0.10519150422677659</v>
      </c>
      <c r="AS102" s="20">
        <f t="shared" si="9"/>
        <v>6.0001385400950236E-2</v>
      </c>
    </row>
    <row r="103" spans="1:45" ht="15" customHeight="1" x14ac:dyDescent="0.2">
      <c r="A103" s="26" t="s">
        <v>132</v>
      </c>
      <c r="B103" s="19" t="s">
        <v>29</v>
      </c>
      <c r="C103" s="20">
        <f t="shared" si="5"/>
        <v>-0.42068146923305594</v>
      </c>
      <c r="D103" s="20">
        <v>-777.94991000000005</v>
      </c>
      <c r="E103" s="20">
        <v>-778.06011000000001</v>
      </c>
      <c r="F103" s="20">
        <v>-779.18122000000005</v>
      </c>
      <c r="G103" s="20">
        <v>-777.97029420989998</v>
      </c>
      <c r="H103" s="20">
        <v>-778.07853846069997</v>
      </c>
      <c r="I103" s="20">
        <v>-779.22457169339998</v>
      </c>
      <c r="J103" s="20">
        <v>-778.07207774430003</v>
      </c>
      <c r="K103" s="20">
        <v>-778.07545929729997</v>
      </c>
      <c r="L103" s="20">
        <v>-778.08221160630001</v>
      </c>
      <c r="M103" s="20">
        <v>-778.16041976880001</v>
      </c>
      <c r="N103" s="20">
        <v>-778.2310737601</v>
      </c>
      <c r="O103" s="20">
        <v>-779.30478372729999</v>
      </c>
      <c r="P103" s="20">
        <v>-779.31300210510005</v>
      </c>
      <c r="Q103" s="20">
        <v>-778.83276163369999</v>
      </c>
      <c r="R103" s="20">
        <v>-778.93636488849995</v>
      </c>
      <c r="S103" s="20">
        <v>-780.08397745850004</v>
      </c>
      <c r="T103" s="20">
        <f>(S103-Q103)/2*27.211324570273</f>
        <v>-17.02361995804808</v>
      </c>
      <c r="U103" s="20">
        <f>(R103-Q103)*27.211324570273</f>
        <v>-2.8191817928985121</v>
      </c>
      <c r="V103" s="20">
        <f>(F103-I103-D103+G103)/2*27.211324570273</f>
        <v>0.31248782404040254</v>
      </c>
      <c r="W103" s="20">
        <f>(E103-H103-D103+G103)*27.211324570273</f>
        <v>-5.3218526258296227E-2</v>
      </c>
      <c r="X103" s="20">
        <f>(P103-O103-K103+J103)/2*27.211324570273</f>
        <v>-6.5808204762839398E-2</v>
      </c>
      <c r="Y103" s="20">
        <f>(N103-M103-L103+J103)*27.211324570273</f>
        <v>-1.6468328814176345</v>
      </c>
      <c r="Z103" s="21">
        <f>(F103+P103-O103-D103-K103+J103-2*C103)*27.211324570273</f>
        <v>-10.742592466148736</v>
      </c>
      <c r="AA103" s="21">
        <f>(S103+F103-I103+P103-O103-Q103-D103+G103-K103+J103-2*C103)*27.211324570273</f>
        <v>-10.659280677541034</v>
      </c>
      <c r="AB103" s="21">
        <f>(E103+N103-M103-D103-L103+J103)*27.211324570273</f>
        <v>-4.6455208490607243</v>
      </c>
      <c r="AC103" s="21">
        <f>(R103+E103-H103+N103-M103-Q103-D103+G103-L103+J103)*27.211324570273</f>
        <v>-4.5192332005713496</v>
      </c>
      <c r="AD103" s="20">
        <v>4.84</v>
      </c>
      <c r="AE103" s="20">
        <v>4.4400000000000004</v>
      </c>
      <c r="AF103" s="21">
        <f>-Z103/2-AE103</f>
        <v>0.93129623307436749</v>
      </c>
      <c r="AG103" s="21">
        <f>-AA103/2-AE103</f>
        <v>0.88964033877051651</v>
      </c>
      <c r="AH103" s="21">
        <f>-AB103-AD103</f>
        <v>-0.19447915093927559</v>
      </c>
      <c r="AI103" s="21">
        <f>-AC103-AD103</f>
        <v>-0.32076679942865027</v>
      </c>
      <c r="AJ103" s="22">
        <v>0.70599999999999996</v>
      </c>
      <c r="AK103" s="21">
        <v>-0.377</v>
      </c>
      <c r="AL103" s="21">
        <f>AF103+(0.69-AF$4)</f>
        <v>0.68697554154956864</v>
      </c>
      <c r="AM103" s="21">
        <f>AG103+(0.69-AG$4)</f>
        <v>0.66535409380596411</v>
      </c>
      <c r="AN103" s="21">
        <f>AH103+(-0.8815-AH$4)</f>
        <v>-0.26680314133541128</v>
      </c>
      <c r="AO103" s="21">
        <f>AI103+(-0.8815-AI$4)</f>
        <v>-0.31935429897968071</v>
      </c>
      <c r="AP103" s="20">
        <f t="shared" si="6"/>
        <v>1.9024458450431325E-2</v>
      </c>
      <c r="AQ103" s="20">
        <f t="shared" si="7"/>
        <v>4.0645906194035852E-2</v>
      </c>
      <c r="AR103" s="20">
        <f t="shared" si="8"/>
        <v>0.11019685866458873</v>
      </c>
      <c r="AS103" s="20">
        <f t="shared" si="9"/>
        <v>5.7645701020319295E-2</v>
      </c>
    </row>
    <row r="104" spans="1:45" ht="15" customHeight="1" x14ac:dyDescent="0.2">
      <c r="A104" s="26" t="s">
        <v>132</v>
      </c>
      <c r="B104" s="19" t="s">
        <v>30</v>
      </c>
      <c r="C104" s="20">
        <f t="shared" si="5"/>
        <v>-0.42068146923305594</v>
      </c>
      <c r="D104" s="20">
        <v>-777.99204999999995</v>
      </c>
      <c r="E104" s="20">
        <v>-778.10101999999995</v>
      </c>
      <c r="F104" s="20">
        <v>-779.21361000000002</v>
      </c>
      <c r="G104" s="20">
        <v>-778.01208565110005</v>
      </c>
      <c r="H104" s="20">
        <v>-778.1190477115</v>
      </c>
      <c r="I104" s="20">
        <v>-779.25657269010003</v>
      </c>
      <c r="J104" s="20">
        <v>-778.07215553369997</v>
      </c>
      <c r="K104" s="20">
        <v>-778.07556332850004</v>
      </c>
      <c r="L104" s="20">
        <v>-778.08230890029995</v>
      </c>
      <c r="M104" s="20">
        <v>-778.16049368589995</v>
      </c>
      <c r="N104" s="20">
        <v>-778.23118492039998</v>
      </c>
      <c r="O104" s="20">
        <v>-779.30490084120004</v>
      </c>
      <c r="P104" s="20">
        <v>-779.31308639810004</v>
      </c>
      <c r="Q104" s="20">
        <v>-778.88860573869999</v>
      </c>
      <c r="R104" s="20">
        <v>-778.99021811279999</v>
      </c>
      <c r="S104" s="20">
        <v>-780.12936618130004</v>
      </c>
      <c r="T104" s="20">
        <f>(S104-Q104)/2*27.211324570273</f>
        <v>-16.881367558772755</v>
      </c>
      <c r="U104" s="20">
        <f>(R104-Q104)*27.211324570273</f>
        <v>-2.7650072919911053</v>
      </c>
      <c r="V104" s="20">
        <f>(F104-I104-D104+G104)/2*27.211324570273</f>
        <v>0.31193754983093064</v>
      </c>
      <c r="W104" s="20">
        <f>(E104-H104-D104+G104)*27.211324570273</f>
        <v>-5.4638696174418529E-2</v>
      </c>
      <c r="X104" s="20">
        <f>(P104-O104-K104+J104)/2*27.211324570273</f>
        <v>-6.5004617610427667E-2</v>
      </c>
      <c r="Y104" s="20">
        <f>(N104-M104-L104+J104)*27.211324570273</f>
        <v>-1.6473155722206352</v>
      </c>
      <c r="Z104" s="21">
        <f>(F104+P104-O104-D104-K104+J104-2*C104)*27.211324570273</f>
        <v>-10.475674877285384</v>
      </c>
      <c r="AA104" s="21">
        <f>(S104+F104-I104+P104-O104-Q104-D104+G104-K104+J104-2*C104)*27.211324570273</f>
        <v>-10.374269253101414</v>
      </c>
      <c r="AB104" s="21">
        <f>(E104+N104-M104-D104-L104+J104)*27.211324570273</f>
        <v>-4.6125336106401722</v>
      </c>
      <c r="AC104" s="21">
        <f>(R104+E104-H104+N104-M104-Q104-D104+G104-L104+J104)*27.211324570273</f>
        <v>-4.4669615603923463</v>
      </c>
      <c r="AD104" s="20">
        <v>4.84</v>
      </c>
      <c r="AE104" s="20">
        <v>4.4400000000000004</v>
      </c>
      <c r="AF104" s="21">
        <f>-Z104/2-AE104</f>
        <v>0.79783743864269141</v>
      </c>
      <c r="AG104" s="21">
        <f>-AA104/2-AE104</f>
        <v>0.74713462655070639</v>
      </c>
      <c r="AH104" s="21">
        <f>-AB104-AD104</f>
        <v>-0.22746638935982766</v>
      </c>
      <c r="AI104" s="21">
        <f>-AC104-AD104</f>
        <v>-0.37303843960765359</v>
      </c>
      <c r="AJ104" s="22">
        <v>0.70599999999999996</v>
      </c>
      <c r="AK104" s="21">
        <v>-0.377</v>
      </c>
      <c r="AL104" s="21">
        <f>AF104+(0.69-AF$5)</f>
        <v>0.68203196769347807</v>
      </c>
      <c r="AM104" s="21">
        <f>AG104+(0.69-AG$5)</f>
        <v>0.65847821249761163</v>
      </c>
      <c r="AN104" s="21">
        <f>AH104+(-0.8815-AH$5)</f>
        <v>-0.28091679279266124</v>
      </c>
      <c r="AO104" s="21">
        <f>AI104+(-0.8815-AI$5)</f>
        <v>-0.34108881112564848</v>
      </c>
      <c r="AP104" s="20">
        <f t="shared" si="6"/>
        <v>2.3968032306521891E-2</v>
      </c>
      <c r="AQ104" s="20">
        <f t="shared" si="7"/>
        <v>4.7521787502388335E-2</v>
      </c>
      <c r="AR104" s="20">
        <f t="shared" si="8"/>
        <v>9.6083207207338761E-2</v>
      </c>
      <c r="AS104" s="20">
        <f t="shared" si="9"/>
        <v>3.5911188874351518E-2</v>
      </c>
    </row>
    <row r="105" spans="1:45" ht="15" customHeight="1" x14ac:dyDescent="0.2">
      <c r="A105" s="26" t="s">
        <v>132</v>
      </c>
      <c r="B105" s="19" t="s">
        <v>31</v>
      </c>
      <c r="C105" s="20">
        <f t="shared" si="5"/>
        <v>-0.42068146923305594</v>
      </c>
      <c r="D105" s="20">
        <v>-777.94991000000005</v>
      </c>
      <c r="E105" s="20">
        <v>-778.06011000000001</v>
      </c>
      <c r="F105" s="20">
        <v>-779.18122000000005</v>
      </c>
      <c r="G105" s="20">
        <v>-777.97029420989998</v>
      </c>
      <c r="H105" s="20">
        <v>-778.07853846069997</v>
      </c>
      <c r="I105" s="20">
        <v>-779.22457169339998</v>
      </c>
      <c r="J105" s="20">
        <v>-778.07207774430003</v>
      </c>
      <c r="K105" s="20">
        <v>-778.07545929729997</v>
      </c>
      <c r="L105" s="20">
        <v>-778.08221160630001</v>
      </c>
      <c r="M105" s="20">
        <v>-778.16041976880001</v>
      </c>
      <c r="N105" s="20">
        <v>-778.2310737601</v>
      </c>
      <c r="O105" s="20">
        <v>-779.30478372729999</v>
      </c>
      <c r="P105" s="20">
        <v>-779.31300210510005</v>
      </c>
      <c r="Q105" s="20">
        <v>-778.45803120610003</v>
      </c>
      <c r="R105" s="20">
        <v>-778.55972912100003</v>
      </c>
      <c r="S105" s="20">
        <v>-779.70136199709998</v>
      </c>
      <c r="T105" s="20">
        <f>(S105-Q105)/2*27.211324570273</f>
        <v>-16.916338851056931</v>
      </c>
      <c r="U105" s="20">
        <f>(R105-Q105)*27.211324570273</f>
        <v>-2.7673349704639243</v>
      </c>
      <c r="V105" s="20">
        <f>(F105-I105-D105+G105)/2*27.211324570273</f>
        <v>0.31248782404040254</v>
      </c>
      <c r="W105" s="20">
        <f>(E105-H105-D105+G105)*27.211324570273</f>
        <v>-5.3218526258296227E-2</v>
      </c>
      <c r="X105" s="20">
        <f>(P105-O105-K105+J105)/2*27.211324570273</f>
        <v>-6.5808204762839398E-2</v>
      </c>
      <c r="Y105" s="20">
        <f>(N105-M105-L105+J105)*27.211324570273</f>
        <v>-1.6468328814176345</v>
      </c>
      <c r="Z105" s="21">
        <f>(F105+P105-O105-D105-K105+J105-2*C105)*27.211324570273</f>
        <v>-10.742592466148736</v>
      </c>
      <c r="AA105" s="21">
        <f>(S105+F105-I105+P105-O105-Q105-D105+G105-K105+J105-2*C105)*27.211324570273</f>
        <v>-10.444718463558736</v>
      </c>
      <c r="AB105" s="21">
        <f>(E105+N105-M105-D105-L105+J105)*27.211324570273</f>
        <v>-4.6455208490607243</v>
      </c>
      <c r="AC105" s="21">
        <f>(R105+E105-H105+N105-M105-Q105-D105+G105-L105+J105)*27.211324570273</f>
        <v>-4.4673863781367613</v>
      </c>
      <c r="AD105" s="20">
        <v>4.84</v>
      </c>
      <c r="AE105" s="20">
        <v>4.4400000000000004</v>
      </c>
      <c r="AF105" s="21">
        <f>-Z105/2-AE105</f>
        <v>0.93129623307436749</v>
      </c>
      <c r="AG105" s="21">
        <f>-AA105/2-AE105</f>
        <v>0.78235923177936773</v>
      </c>
      <c r="AH105" s="21">
        <f>-AB105-AD105</f>
        <v>-0.19447915093927559</v>
      </c>
      <c r="AI105" s="21">
        <f>-AC105-AD105</f>
        <v>-0.37261362186323854</v>
      </c>
      <c r="AJ105" s="22">
        <v>0.70599999999999996</v>
      </c>
      <c r="AK105" s="21">
        <v>-0.377</v>
      </c>
      <c r="AL105" s="21">
        <f>AF105+(0.69-AF$6)</f>
        <v>0.68697554154956864</v>
      </c>
      <c r="AM105" s="21">
        <f>AG105+(0.69-AG$6)</f>
        <v>0.66597217046905266</v>
      </c>
      <c r="AN105" s="21">
        <f>AH105+(-0.8815-AH$6)</f>
        <v>-0.26680314133541128</v>
      </c>
      <c r="AO105" s="21">
        <f>AI105+(-0.8815-AI$6)</f>
        <v>-0.32099110913063722</v>
      </c>
      <c r="AP105" s="20">
        <f t="shared" si="6"/>
        <v>1.9024458450431325E-2</v>
      </c>
      <c r="AQ105" s="20">
        <f t="shared" si="7"/>
        <v>4.0027829530947301E-2</v>
      </c>
      <c r="AR105" s="20">
        <f t="shared" si="8"/>
        <v>0.11019685866458873</v>
      </c>
      <c r="AS105" s="20">
        <f t="shared" si="9"/>
        <v>5.6008890869362782E-2</v>
      </c>
    </row>
    <row r="106" spans="1:45" ht="15" customHeight="1" x14ac:dyDescent="0.2">
      <c r="A106" s="26" t="s">
        <v>132</v>
      </c>
      <c r="B106" s="19" t="s">
        <v>32</v>
      </c>
      <c r="C106" s="20">
        <f t="shared" si="5"/>
        <v>-0.42068146923305594</v>
      </c>
      <c r="D106" s="20">
        <v>-777.99204999999995</v>
      </c>
      <c r="E106" s="20">
        <v>-778.10101999999995</v>
      </c>
      <c r="F106" s="20">
        <v>-779.21361000000002</v>
      </c>
      <c r="G106" s="20">
        <v>-778.01208565110005</v>
      </c>
      <c r="H106" s="20">
        <v>-778.1190477115</v>
      </c>
      <c r="I106" s="20">
        <v>-779.25657269010003</v>
      </c>
      <c r="J106" s="20">
        <v>-778.07215553369997</v>
      </c>
      <c r="K106" s="20">
        <v>-778.07556332850004</v>
      </c>
      <c r="L106" s="20">
        <v>-778.08230890029995</v>
      </c>
      <c r="M106" s="20">
        <v>-778.16049368589995</v>
      </c>
      <c r="N106" s="20">
        <v>-778.23118492039998</v>
      </c>
      <c r="O106" s="20">
        <v>-779.30490084120004</v>
      </c>
      <c r="P106" s="20">
        <v>-779.31308639810004</v>
      </c>
      <c r="Q106" s="20">
        <v>-778.5220622864</v>
      </c>
      <c r="R106" s="20">
        <v>-778.62188569190005</v>
      </c>
      <c r="S106" s="20">
        <v>-779.75486050209997</v>
      </c>
      <c r="T106" s="20">
        <f>(S106-Q106)/2*27.211324570273</f>
        <v>-16.773036188532686</v>
      </c>
      <c r="U106" s="20">
        <f>(R106-Q106)*27.211324570273</f>
        <v>-2.7163270867717442</v>
      </c>
      <c r="V106" s="20">
        <f>(F106-I106-D106+G106)/2*27.211324570273</f>
        <v>0.31193754983093064</v>
      </c>
      <c r="W106" s="20">
        <f>(E106-H106-D106+G106)*27.211324570273</f>
        <v>-5.4638696174418529E-2</v>
      </c>
      <c r="X106" s="20">
        <f>(P106-O106-K106+J106)/2*27.211324570273</f>
        <v>-6.5004617610427667E-2</v>
      </c>
      <c r="Y106" s="20">
        <f>(N106-M106-L106+J106)*27.211324570273</f>
        <v>-1.6473155722206352</v>
      </c>
      <c r="Z106" s="21">
        <f>(F106+P106-O106-D106-K106+J106-2*C106)*27.211324570273</f>
        <v>-10.475674877285384</v>
      </c>
      <c r="AA106" s="21">
        <f>(S106+F106-I106+P106-O106-Q106-D106+G106-K106+J106-2*C106)*27.211324570273</f>
        <v>-10.157606512624366</v>
      </c>
      <c r="AB106" s="21">
        <f>(E106+N106-M106-D106-L106+J106)*27.211324570273</f>
        <v>-4.6125336106401722</v>
      </c>
      <c r="AC106" s="21">
        <f>(R106+E106-H106+N106-M106-Q106-D106+G106-L106+J106)*27.211324570273</f>
        <v>-4.4182813551698912</v>
      </c>
      <c r="AD106" s="20">
        <v>4.84</v>
      </c>
      <c r="AE106" s="20">
        <v>4.4400000000000004</v>
      </c>
      <c r="AF106" s="21">
        <f>-Z106/2-AE106</f>
        <v>0.79783743864269141</v>
      </c>
      <c r="AG106" s="21">
        <f>-AA106/2-AE106</f>
        <v>0.63880325631218238</v>
      </c>
      <c r="AH106" s="21">
        <f>-AB106-AD106</f>
        <v>-0.22746638935982766</v>
      </c>
      <c r="AI106" s="21">
        <f>-AC106-AD106</f>
        <v>-0.42171864483010868</v>
      </c>
      <c r="AJ106" s="22">
        <v>0.70599999999999996</v>
      </c>
      <c r="AK106" s="21">
        <v>-0.377</v>
      </c>
      <c r="AL106" s="21">
        <f>AF106+(0.69-AF$7)</f>
        <v>0.68203196769347807</v>
      </c>
      <c r="AM106" s="21">
        <f>AG106+(0.69-AG$7)</f>
        <v>0.65938191555322545</v>
      </c>
      <c r="AN106" s="21">
        <f>AH106+(-0.8815-AH$7)</f>
        <v>-0.28091679279266124</v>
      </c>
      <c r="AO106" s="21">
        <f>AI106+(-0.8815-AI$7)</f>
        <v>-0.34221520213940337</v>
      </c>
      <c r="AP106" s="20">
        <f t="shared" si="6"/>
        <v>2.3968032306521891E-2</v>
      </c>
      <c r="AQ106" s="20">
        <f t="shared" si="7"/>
        <v>4.661808444677451E-2</v>
      </c>
      <c r="AR106" s="20">
        <f t="shared" si="8"/>
        <v>9.6083207207338761E-2</v>
      </c>
      <c r="AS106" s="20">
        <f t="shared" si="9"/>
        <v>3.4784797860596628E-2</v>
      </c>
    </row>
    <row r="107" spans="1:45" ht="15" customHeight="1" x14ac:dyDescent="0.2">
      <c r="A107" s="26" t="s">
        <v>132</v>
      </c>
      <c r="B107" s="19" t="s">
        <v>33</v>
      </c>
      <c r="C107" s="20">
        <f t="shared" si="5"/>
        <v>-0.42068146923305594</v>
      </c>
      <c r="D107" s="20">
        <v>-778.50268000000005</v>
      </c>
      <c r="E107" s="20">
        <v>-778.57566999999995</v>
      </c>
      <c r="F107" s="20">
        <v>-779.71304999999995</v>
      </c>
      <c r="G107" s="20">
        <v>-778.52278841509997</v>
      </c>
      <c r="H107" s="20">
        <v>-778.59179175889994</v>
      </c>
      <c r="I107" s="20">
        <v>-779.75561702419998</v>
      </c>
      <c r="J107" s="20">
        <v>-778.07208425379997</v>
      </c>
      <c r="K107" s="20">
        <v>-778.07567012510003</v>
      </c>
      <c r="L107" s="20">
        <v>-778.08239658399998</v>
      </c>
      <c r="M107" s="20">
        <v>-778.15902337889997</v>
      </c>
      <c r="N107" s="20">
        <v>-778.22998109540003</v>
      </c>
      <c r="O107" s="20">
        <v>-779.30490761329997</v>
      </c>
      <c r="P107" s="20">
        <v>-779.31317496470001</v>
      </c>
      <c r="Q107" s="20">
        <v>-778.52235428790004</v>
      </c>
      <c r="R107" s="20">
        <v>-778.62096500929999</v>
      </c>
      <c r="S107" s="20">
        <v>-779.7552269606</v>
      </c>
      <c r="T107" s="20">
        <f>(S107-Q107)/2*27.211324570273</f>
        <v>-16.774049225329211</v>
      </c>
      <c r="U107" s="20">
        <f>(R107-Q107)*27.211324570273</f>
        <v>-2.6833283461228135</v>
      </c>
      <c r="V107" s="20">
        <f>(F107-I107-D107+G107)/2*27.211324570273</f>
        <v>0.30556425081002919</v>
      </c>
      <c r="W107" s="20">
        <f>(E107-H107-D107+G107)*27.211324570273</f>
        <v>-0.10848219580593309</v>
      </c>
      <c r="X107" s="20">
        <f>(P107-O107-K107+J107)/2*27.211324570273</f>
        <v>-6.3694637234853552E-2</v>
      </c>
      <c r="Y107" s="20">
        <f>(N107-M107-L107+J107)*27.211324570273</f>
        <v>-1.6502412903003147</v>
      </c>
      <c r="Z107" s="21">
        <f>(F107+P107-O107-D107-K107+J107-2*C107)*27.211324570273</f>
        <v>-10.168560194585169</v>
      </c>
      <c r="AA107" s="21">
        <f>(S107+F107-I107+P107-O107-Q107-D107+G107-K107+J107-2*C107)*27.211324570273</f>
        <v>-10.169759223511164</v>
      </c>
      <c r="AB107" s="21">
        <f>(E107+N107-M107-D107-L107+J107)*27.211324570273</f>
        <v>-3.6363958706815653</v>
      </c>
      <c r="AC107" s="21">
        <f>(R107+E107-H107+N107-M107-Q107-D107+G107-L107+J107)*27.211324570273</f>
        <v>-4.4420518322259674</v>
      </c>
      <c r="AD107" s="20">
        <v>4.84</v>
      </c>
      <c r="AE107" s="20">
        <v>4.4400000000000004</v>
      </c>
      <c r="AF107" s="21">
        <f>-Z107/2-AE107</f>
        <v>0.64428009729258395</v>
      </c>
      <c r="AG107" s="21">
        <f>-AA107/2-AE107</f>
        <v>0.64487961175558173</v>
      </c>
      <c r="AH107" s="21">
        <f>-AB107-AD107</f>
        <v>-1.2036041293184345</v>
      </c>
      <c r="AI107" s="21">
        <f>-AC107-AD107</f>
        <v>-0.39794816777403241</v>
      </c>
      <c r="AJ107" s="22">
        <v>0.70599999999999996</v>
      </c>
      <c r="AK107" s="21">
        <v>-0.377</v>
      </c>
      <c r="AL107" s="21">
        <f>AF107+(0.69-AF$8)</f>
        <v>0.66484207463211176</v>
      </c>
      <c r="AM107" s="21">
        <f>AG107+(0.69-AG$8)</f>
        <v>0.66324919444485664</v>
      </c>
      <c r="AN107" s="21">
        <f>AH107+(-0.8815-AH$8)</f>
        <v>-0.69793026019639282</v>
      </c>
      <c r="AO107" s="21">
        <f>AI107+(-0.8815-AI$8)</f>
        <v>-0.36053143588292258</v>
      </c>
      <c r="AP107" s="20">
        <f t="shared" si="6"/>
        <v>4.1157925367888204E-2</v>
      </c>
      <c r="AQ107" s="20">
        <f t="shared" si="7"/>
        <v>4.2750805555143323E-2</v>
      </c>
      <c r="AR107" s="20">
        <f t="shared" si="8"/>
        <v>0.32093026019639281</v>
      </c>
      <c r="AS107" s="20">
        <f t="shared" si="9"/>
        <v>1.6468564117077422E-2</v>
      </c>
    </row>
    <row r="108" spans="1:45" ht="15" customHeight="1" x14ac:dyDescent="0.2">
      <c r="A108" s="26" t="s">
        <v>132</v>
      </c>
      <c r="B108" s="19" t="s">
        <v>174</v>
      </c>
      <c r="C108" s="20">
        <f t="shared" si="5"/>
        <v>-0.42068146923305594</v>
      </c>
      <c r="D108" s="20">
        <v>-778.50243999999998</v>
      </c>
      <c r="E108" s="20">
        <v>-778.59943999999996</v>
      </c>
      <c r="F108" s="20">
        <v>-779.71284000000003</v>
      </c>
      <c r="G108" s="20">
        <v>-778.52248289839997</v>
      </c>
      <c r="H108" s="20">
        <v>-778.61679773490005</v>
      </c>
      <c r="I108" s="20">
        <v>-779.75546590689999</v>
      </c>
      <c r="J108" s="20">
        <v>-778.07211074400004</v>
      </c>
      <c r="K108" s="20">
        <v>-778.07570053129996</v>
      </c>
      <c r="L108" s="20">
        <v>-778.08242766839999</v>
      </c>
      <c r="M108" s="20">
        <v>-778.15999282400003</v>
      </c>
      <c r="N108" s="20">
        <v>-778.23089712829994</v>
      </c>
      <c r="O108" s="20">
        <v>-779.30490833030001</v>
      </c>
      <c r="P108" s="20">
        <v>-779.31317573820002</v>
      </c>
      <c r="Q108" s="20">
        <v>-778.52235317949999</v>
      </c>
      <c r="R108" s="20">
        <v>-778.62186480280002</v>
      </c>
      <c r="S108" s="20">
        <v>-779.75522641709995</v>
      </c>
      <c r="T108" s="20">
        <f>(S108-Q108)/2*27.211324570273</f>
        <v>-16.774056911167918</v>
      </c>
      <c r="U108" s="20">
        <f>(R108-Q108)*27.211324570273</f>
        <v>-2.7078430801319042</v>
      </c>
      <c r="V108" s="20">
        <f>(F108-I108-D108+G108)/2*27.211324570273</f>
        <v>0.3072567870328814</v>
      </c>
      <c r="W108" s="20">
        <f>(E108-H108-D108+G108)*27.211324570273</f>
        <v>-7.3066855520159041E-2</v>
      </c>
      <c r="X108" s="20">
        <f>(P108-O108-K108+J108)/2*27.211324570273</f>
        <v>-6.3642126182840569E-2</v>
      </c>
      <c r="Y108" s="20">
        <f>(N108-M108-L108+J108)*27.211324570273</f>
        <v>-1.6486628593205448</v>
      </c>
      <c r="Z108" s="21">
        <f>(F108+P108-O108-D108-K108+J108-2*C108)*27.211324570273</f>
        <v>-10.169271512222378</v>
      </c>
      <c r="AA108" s="21">
        <f>(S108+F108-I108+P108-O108-Q108-D108+G108-K108+J108-2*C108)*27.211324570273</f>
        <v>-10.166284500641938</v>
      </c>
      <c r="AB108" s="21">
        <f>(E108+N108-M108-D108-L108+J108)*27.211324570273</f>
        <v>-4.288161342639575</v>
      </c>
      <c r="AC108" s="21">
        <f>(R108+E108-H108+N108-M108-Q108-D108+G108-L108+J108)*27.211324570273</f>
        <v>-4.4295727949695145</v>
      </c>
      <c r="AD108" s="20">
        <v>4.84</v>
      </c>
      <c r="AE108" s="20">
        <v>4.4400000000000004</v>
      </c>
      <c r="AF108" s="21">
        <f>-Z108/2-AE108</f>
        <v>0.64463575611118884</v>
      </c>
      <c r="AG108" s="21">
        <f>-AA108/2-AE108</f>
        <v>0.6431422503209685</v>
      </c>
      <c r="AH108" s="21">
        <f>-AB108-AD108</f>
        <v>-0.55183865736042481</v>
      </c>
      <c r="AI108" s="21">
        <f>-AC108-AD108</f>
        <v>-0.41042720503048535</v>
      </c>
      <c r="AJ108" s="22">
        <v>0.70599999999999996</v>
      </c>
      <c r="AK108" s="21">
        <v>-0.377</v>
      </c>
      <c r="AL108" s="21">
        <f>AF108+(0.69-AF$9)</f>
        <v>0.66020846090115848</v>
      </c>
      <c r="AM108" s="21">
        <f>AG108+(0.69-AG$9)</f>
        <v>0.6607693910683401</v>
      </c>
      <c r="AN108" s="21">
        <f>AH108+(-0.8815-AH$9)</f>
        <v>-0.42573554378507961</v>
      </c>
      <c r="AO108" s="21">
        <f>AI108+(-0.8815-AI$9)</f>
        <v>-0.332511360810964</v>
      </c>
      <c r="AP108" s="20">
        <f t="shared" si="6"/>
        <v>4.5791539098841483E-2</v>
      </c>
      <c r="AQ108" s="20">
        <f t="shared" si="7"/>
        <v>4.5230608931659866E-2</v>
      </c>
      <c r="AR108" s="20">
        <f t="shared" si="8"/>
        <v>4.8735543785079605E-2</v>
      </c>
      <c r="AS108" s="20">
        <f t="shared" si="9"/>
        <v>4.4488639189036006E-2</v>
      </c>
    </row>
    <row r="109" spans="1:45" ht="15" customHeight="1" x14ac:dyDescent="0.2">
      <c r="A109" s="26" t="s">
        <v>132</v>
      </c>
      <c r="B109" s="19" t="s">
        <v>43</v>
      </c>
      <c r="C109" s="20">
        <f t="shared" si="5"/>
        <v>-0.42068146923305594</v>
      </c>
      <c r="D109" s="20">
        <v>-777.99204999999995</v>
      </c>
      <c r="E109" s="20">
        <v>-778.10101999999995</v>
      </c>
      <c r="F109" s="20">
        <v>-779.21361000000002</v>
      </c>
      <c r="G109" s="20">
        <v>-778.01208565110005</v>
      </c>
      <c r="H109" s="20">
        <v>-778.1190477115</v>
      </c>
      <c r="I109" s="20">
        <v>-779.25657269010003</v>
      </c>
      <c r="J109" s="20">
        <v>-778.07215553369997</v>
      </c>
      <c r="K109" s="20">
        <v>-778.07556332850004</v>
      </c>
      <c r="L109" s="20">
        <v>-778.08230890029995</v>
      </c>
      <c r="M109" s="20">
        <v>-778.16049368589995</v>
      </c>
      <c r="N109" s="20">
        <v>-778.23118492039998</v>
      </c>
      <c r="O109" s="20">
        <v>-779.30490084120004</v>
      </c>
      <c r="P109" s="20">
        <v>-779.31308639810004</v>
      </c>
      <c r="Q109" s="20">
        <v>-777.62870611081405</v>
      </c>
      <c r="R109" s="20">
        <v>-777.72754659590305</v>
      </c>
      <c r="S109" s="20">
        <v>-778.87015773751398</v>
      </c>
      <c r="T109" s="20">
        <f>(S109-Q109)/2*27.211324570273</f>
        <v>-16.890771576212554</v>
      </c>
      <c r="U109" s="20">
        <f>(R109-Q109)*27.211324570273</f>
        <v>-2.689580520439987</v>
      </c>
      <c r="V109" s="20">
        <f>(F109-I109-D109+G109)/2*27.211324570273</f>
        <v>0.31193754983093064</v>
      </c>
      <c r="W109" s="20">
        <f>(E109-H109-D109+G109)*27.211324570273</f>
        <v>-5.4638696174418529E-2</v>
      </c>
      <c r="X109" s="20">
        <f>(P109-O109-K109+J109)/2*27.211324570273</f>
        <v>-6.5004617610427667E-2</v>
      </c>
      <c r="Y109" s="20">
        <f>(N109-M109-L109+J109)*27.211324570273</f>
        <v>-1.6473155722206352</v>
      </c>
      <c r="Z109" s="21">
        <f>(F109+P109-O109-D109-K109+J109-2*C109)*27.211324570273</f>
        <v>-10.475674877285384</v>
      </c>
      <c r="AA109" s="21">
        <f>(S109+F109-I109+P109-O109-Q109-D109+G109-K109+J109-2*C109)*27.211324570273</f>
        <v>-10.393077287981011</v>
      </c>
      <c r="AB109" s="21">
        <f>(E109+N109-M109-D109-L109+J109)*27.211324570273</f>
        <v>-4.6125336106401722</v>
      </c>
      <c r="AC109" s="21">
        <f>(R109+E109-H109+N109-M109-Q109-D109+G109-L109+J109)*27.211324570273</f>
        <v>-4.3915347888350409</v>
      </c>
      <c r="AD109" s="20">
        <v>4.84</v>
      </c>
      <c r="AE109" s="20">
        <v>4.4400000000000004</v>
      </c>
      <c r="AF109" s="21">
        <f>-Z109/2-AE109</f>
        <v>0.79783743864269141</v>
      </c>
      <c r="AG109" s="21">
        <f>-AA109/2-AE109</f>
        <v>0.7565386439905053</v>
      </c>
      <c r="AH109" s="21">
        <f>-AB109-AD109</f>
        <v>-0.22746638935982766</v>
      </c>
      <c r="AI109" s="21">
        <f>-AC109-AD109</f>
        <v>-0.44846521116495897</v>
      </c>
      <c r="AJ109" s="22">
        <v>0.70599999999999996</v>
      </c>
      <c r="AK109" s="21">
        <v>-0.377</v>
      </c>
      <c r="AL109" s="21">
        <f>AF109+(0.69-AF$10)</f>
        <v>0.68203196769347807</v>
      </c>
      <c r="AM109" s="21">
        <f>AG109+(0.69-AG$10)</f>
        <v>0.64987627699843697</v>
      </c>
      <c r="AN109" s="21">
        <f>AH109+(-0.8815-AH$10)</f>
        <v>-0.28091679279266124</v>
      </c>
      <c r="AO109" s="21">
        <f>AI109+(-0.8815-AI$10)</f>
        <v>-0.26594709953758455</v>
      </c>
      <c r="AP109" s="20">
        <f t="shared" si="6"/>
        <v>2.3968032306521891E-2</v>
      </c>
      <c r="AQ109" s="20">
        <f t="shared" si="7"/>
        <v>5.6123723001562986E-2</v>
      </c>
      <c r="AR109" s="20">
        <f t="shared" si="8"/>
        <v>9.6083207207338761E-2</v>
      </c>
      <c r="AS109" s="20">
        <f t="shared" si="9"/>
        <v>0.11105290046241545</v>
      </c>
    </row>
    <row r="110" spans="1:45" x14ac:dyDescent="0.2">
      <c r="A110" s="26" t="s">
        <v>133</v>
      </c>
      <c r="B110" s="19" t="s">
        <v>27</v>
      </c>
      <c r="C110" s="20">
        <f t="shared" si="5"/>
        <v>-0.42068146923305594</v>
      </c>
      <c r="D110" s="20">
        <v>-1300.13697</v>
      </c>
      <c r="E110" s="20">
        <v>-1300.2402</v>
      </c>
      <c r="F110" s="20">
        <v>-1301.3586499999999</v>
      </c>
      <c r="G110" s="20">
        <v>-1300.1692210553999</v>
      </c>
      <c r="H110" s="20">
        <v>-1300.2705458362</v>
      </c>
      <c r="I110" s="20">
        <v>-1301.4146356612</v>
      </c>
      <c r="J110" s="20">
        <v>-1300.4154201081001</v>
      </c>
      <c r="K110" s="20">
        <v>-1300.4228928990001</v>
      </c>
      <c r="L110" s="20">
        <v>-1300.4301892881999</v>
      </c>
      <c r="M110" s="20">
        <v>-1300.4999154365</v>
      </c>
      <c r="N110" s="20">
        <v>-1300.5750571676001</v>
      </c>
      <c r="O110" s="20">
        <v>-1301.6434589916</v>
      </c>
      <c r="P110" s="20">
        <v>-1301.6630859331999</v>
      </c>
      <c r="Q110" s="20">
        <v>-1300.8819780522001</v>
      </c>
      <c r="R110" s="20">
        <v>-1300.9794839273</v>
      </c>
      <c r="S110" s="20">
        <v>-1302.1243291881001</v>
      </c>
      <c r="T110" s="20">
        <f>(S110-Q110)/2*27.211324570273</f>
        <v>-16.903009994610851</v>
      </c>
      <c r="U110" s="20">
        <f>(R110-Q110)*27.211324570273</f>
        <v>-2.6532640148502855</v>
      </c>
      <c r="V110" s="20">
        <f>(F110-I110-D110+G110)/2*27.211324570273</f>
        <v>0.32292503098836817</v>
      </c>
      <c r="W110" s="20">
        <f>(E110-H110-D110+G110)*27.211324570273</f>
        <v>-5.184353802594184E-2</v>
      </c>
      <c r="X110" s="20">
        <f>(P110-O110-K110+J110)/2*27.211324570273</f>
        <v>-0.1653652697851006</v>
      </c>
      <c r="Y110" s="20">
        <f>(N110-M110-L110+J110)*27.211324570273</f>
        <v>-1.6428170804025575</v>
      </c>
      <c r="Z110" s="21">
        <f>(F110+P110-O110-D110-K110+J110-2*C110)*27.211324570273</f>
        <v>-10.679661540584199</v>
      </c>
      <c r="AA110" s="21">
        <f>(S110+F110-I110+P110-O110-Q110-D110+G110-K110+J110-2*C110)*27.211324570273</f>
        <v>-10.596300466821358</v>
      </c>
      <c r="AB110" s="21">
        <f>(E110+N110-M110-D110-L110+J110)*27.211324570273</f>
        <v>-4.4518421157901935</v>
      </c>
      <c r="AC110" s="21">
        <f>(R110+E110-H110+N110-M110-Q110-D110+G110-L110+J110)*27.211324570273</f>
        <v>-4.3479246332849719</v>
      </c>
      <c r="AD110" s="20">
        <v>4.84</v>
      </c>
      <c r="AE110" s="20">
        <v>4.4400000000000004</v>
      </c>
      <c r="AF110" s="21">
        <f>-Z110/2-AE110</f>
        <v>0.89983077029209912</v>
      </c>
      <c r="AG110" s="21">
        <f>-AA110/2-AE110</f>
        <v>0.85815023341067853</v>
      </c>
      <c r="AH110" s="21">
        <f>-AB110-AD110</f>
        <v>-0.38815788420980635</v>
      </c>
      <c r="AI110" s="21">
        <f>-AC110-AD110</f>
        <v>-0.49207536671502794</v>
      </c>
      <c r="AJ110" s="22">
        <v>0.69899999999999995</v>
      </c>
      <c r="AK110" s="21">
        <v>-0.5605</v>
      </c>
      <c r="AL110" s="27">
        <f>AF110+(0.69-AF$2)</f>
        <v>0.7170242603180399</v>
      </c>
      <c r="AM110" s="27">
        <f>AG110+(0.69-AG$2)</f>
        <v>0.70088025764774242</v>
      </c>
      <c r="AN110" s="27">
        <f>AH110+(-0.8815-AH$2)</f>
        <v>-0.56267883132073315</v>
      </c>
      <c r="AO110" s="27">
        <f>AI110+(-0.8815-AI$2)</f>
        <v>-0.5979369989951584</v>
      </c>
      <c r="AP110" s="20">
        <f t="shared" si="6"/>
        <v>1.8024260318039942E-2</v>
      </c>
      <c r="AQ110" s="20">
        <f t="shared" si="7"/>
        <v>1.8802576477424671E-3</v>
      </c>
      <c r="AR110" s="20">
        <f t="shared" si="8"/>
        <v>2.1788313207331544E-3</v>
      </c>
      <c r="AS110" s="20">
        <f t="shared" si="9"/>
        <v>3.7436998995158399E-2</v>
      </c>
    </row>
    <row r="111" spans="1:45" ht="15" customHeight="1" x14ac:dyDescent="0.2">
      <c r="A111" s="26" t="s">
        <v>133</v>
      </c>
      <c r="B111" s="19" t="s">
        <v>145</v>
      </c>
      <c r="C111" s="20">
        <f t="shared" si="5"/>
        <v>-0.42068146923305594</v>
      </c>
      <c r="D111" s="20">
        <v>-1299.9023199999999</v>
      </c>
      <c r="E111" s="20">
        <v>-1300.0031100000001</v>
      </c>
      <c r="F111" s="20">
        <v>-1301.12258</v>
      </c>
      <c r="G111" s="20">
        <v>-1299.9361916574001</v>
      </c>
      <c r="H111" s="20">
        <v>-1300.0351077385001</v>
      </c>
      <c r="I111" s="20">
        <v>-1301.1800167148999</v>
      </c>
      <c r="J111" s="20">
        <v>-1300.4157425562</v>
      </c>
      <c r="K111" s="20">
        <v>-1300.4229102656</v>
      </c>
      <c r="L111" s="20">
        <v>-1300.4303307273999</v>
      </c>
      <c r="M111" s="20">
        <v>-1300.5002539595</v>
      </c>
      <c r="N111" s="20">
        <v>-1300.5754597583</v>
      </c>
      <c r="O111" s="20">
        <v>-1301.6437604321</v>
      </c>
      <c r="P111" s="20">
        <v>-1301.6631126957</v>
      </c>
      <c r="Q111" s="20">
        <v>-1300.6499152823001</v>
      </c>
      <c r="R111" s="20">
        <v>-1300.745617328</v>
      </c>
      <c r="S111" s="20">
        <v>-1301.8917795929999</v>
      </c>
      <c r="T111" s="20">
        <f>(S111-Q111)/2*27.211324570273</f>
        <v>-16.896386415345834</v>
      </c>
      <c r="U111" s="20">
        <f>(R111-Q111)*27.211324570273</f>
        <v>-2.6041794275793211</v>
      </c>
      <c r="V111" s="20">
        <f>(F111-I111-D111+G111)/2*27.211324570273</f>
        <v>0.32061821407222396</v>
      </c>
      <c r="W111" s="20">
        <f>(E111-H111-D111+G111)*27.211324570273</f>
        <v>-5.0991815410990696E-2</v>
      </c>
      <c r="X111" s="20">
        <f>(P111-O111-K111+J111)/2*27.211324570273</f>
        <v>-0.16577892954116988</v>
      </c>
      <c r="Y111" s="20">
        <f>(N111-M111-L111+J111)*27.211324570273</f>
        <v>-1.6494859393061279</v>
      </c>
      <c r="Z111" s="21">
        <f>(F111+P111-O111-D111-K111+J111-2*C111)*27.211324570273</f>
        <v>-10.641848779211299</v>
      </c>
      <c r="AA111" s="21">
        <f>(S111+F111-I111+P111-O111-Q111-D111+G111-K111+J111-2*C111)*27.211324570273</f>
        <v>-10.588494261629558</v>
      </c>
      <c r="AB111" s="21">
        <f>(E111+N111-M111-D111-L111+J111)*27.211324570273</f>
        <v>-4.3921153427490651</v>
      </c>
      <c r="AC111" s="21">
        <f>(R111+E111-H111+N111-M111-Q111-D111+G111-L111+J111)*27.211324570273</f>
        <v>-4.3046571822964399</v>
      </c>
      <c r="AD111" s="20">
        <v>4.84</v>
      </c>
      <c r="AE111" s="20">
        <v>4.4400000000000004</v>
      </c>
      <c r="AF111" s="21">
        <f>-Z111/2-AE111</f>
        <v>0.88092438960564934</v>
      </c>
      <c r="AG111" s="21">
        <f>-AA111/2-AE111</f>
        <v>0.85424713081477854</v>
      </c>
      <c r="AH111" s="21">
        <f>-AB111-AD111</f>
        <v>-0.44788465725093474</v>
      </c>
      <c r="AI111" s="21">
        <f>-AC111-AD111</f>
        <v>-0.53534281770355996</v>
      </c>
      <c r="AJ111" s="22">
        <v>0.69899999999999995</v>
      </c>
      <c r="AK111" s="21">
        <v>-0.5605</v>
      </c>
      <c r="AL111" s="27">
        <f>AF111+(0.69-AF$3)</f>
        <v>0.7216425486428748</v>
      </c>
      <c r="AM111" s="27">
        <f>AG111+(0.69-AG$3)</f>
        <v>0.70556694435516887</v>
      </c>
      <c r="AN111" s="27">
        <f>AH111+(-0.8815-AH$3)</f>
        <v>-0.51947941408040332</v>
      </c>
      <c r="AO111" s="27">
        <f>AI111+(-0.8815-AI$3)</f>
        <v>-0.57303736079630596</v>
      </c>
      <c r="AP111" s="20">
        <f t="shared" si="6"/>
        <v>2.2642548642874849E-2</v>
      </c>
      <c r="AQ111" s="20">
        <f t="shared" si="7"/>
        <v>6.5669443551689133E-3</v>
      </c>
      <c r="AR111" s="20">
        <f t="shared" si="8"/>
        <v>4.1020585919596675E-2</v>
      </c>
      <c r="AS111" s="20">
        <f t="shared" si="9"/>
        <v>1.2537360796305963E-2</v>
      </c>
    </row>
    <row r="112" spans="1:45" ht="15" customHeight="1" x14ac:dyDescent="0.2">
      <c r="A112" s="26" t="s">
        <v>133</v>
      </c>
      <c r="B112" s="19" t="s">
        <v>29</v>
      </c>
      <c r="C112" s="20">
        <f t="shared" si="5"/>
        <v>-0.42068146923305594</v>
      </c>
      <c r="D112" s="20">
        <v>-1300.2156299999999</v>
      </c>
      <c r="E112" s="20">
        <v>-1300.31601</v>
      </c>
      <c r="F112" s="20">
        <v>-1301.4428499999999</v>
      </c>
      <c r="G112" s="20">
        <v>-1300.2491475416</v>
      </c>
      <c r="H112" s="20">
        <v>-1300.3477852228</v>
      </c>
      <c r="I112" s="20">
        <v>-1301.5001386398001</v>
      </c>
      <c r="J112" s="20">
        <v>-1300.4157442245</v>
      </c>
      <c r="K112" s="20">
        <v>-1300.4229937583</v>
      </c>
      <c r="L112" s="20">
        <v>-1300.4303693595</v>
      </c>
      <c r="M112" s="20">
        <v>-1300.5001611665</v>
      </c>
      <c r="N112" s="20">
        <v>-1300.5754055559</v>
      </c>
      <c r="O112" s="20">
        <v>-1301.6437228856</v>
      </c>
      <c r="P112" s="20">
        <v>-1301.6631790004999</v>
      </c>
      <c r="Q112" s="20">
        <v>-1300.9555113158001</v>
      </c>
      <c r="R112" s="20">
        <v>-1301.0499695523999</v>
      </c>
      <c r="S112" s="20">
        <v>-1302.2038109115001</v>
      </c>
      <c r="T112" s="20">
        <f>(S112-Q112)/2*27.211324570273</f>
        <v>-16.983942729766881</v>
      </c>
      <c r="U112" s="20">
        <f>(R112-Q112)*27.211324570273</f>
        <v>-2.5703337344541186</v>
      </c>
      <c r="V112" s="20">
        <f>(F112-I112-D112+G112)/2*27.211324570273</f>
        <v>0.32342153425718989</v>
      </c>
      <c r="W112" s="20">
        <f>(E112-H112-D112+G112)*27.211324570273</f>
        <v>-4.7410802374343419E-2</v>
      </c>
      <c r="X112" s="20">
        <f>(P112-O112-K112+J112)/2*27.211324570273</f>
        <v>-0.16607862010160696</v>
      </c>
      <c r="Y112" s="20">
        <f>(N112-M112-L112+J112)*27.211324570273</f>
        <v>-1.6495302066885411</v>
      </c>
      <c r="Z112" s="21">
        <f>(F112+P112-O112-D112-K112+J112-2*C112)*27.211324570273</f>
        <v>-10.83183897933333</v>
      </c>
      <c r="AA112" s="21">
        <f>(S112+F112-I112+P112-O112-Q112-D112+G112-K112+J112-2*C112)*27.211324570273</f>
        <v>-10.758599631228785</v>
      </c>
      <c r="AB112" s="21">
        <f>(E112+N112-M112-D112-L112+J112)*27.211324570273</f>
        <v>-4.3810029670548989</v>
      </c>
      <c r="AC112" s="21">
        <f>(R112+E112-H112+N112-M112-Q112-D112+G112-L112+J112)*27.211324570273</f>
        <v>-4.2672747435231901</v>
      </c>
      <c r="AD112" s="20">
        <v>4.84</v>
      </c>
      <c r="AE112" s="20">
        <v>4.4400000000000004</v>
      </c>
      <c r="AF112" s="21">
        <f>-Z112/2-AE112</f>
        <v>0.97591948966666475</v>
      </c>
      <c r="AG112" s="21">
        <f>-AA112/2-AE112</f>
        <v>0.93929981561439213</v>
      </c>
      <c r="AH112" s="21">
        <f>-AB112-AD112</f>
        <v>-0.45899703294510097</v>
      </c>
      <c r="AI112" s="21">
        <f>-AC112-AD112</f>
        <v>-0.57272525647680972</v>
      </c>
      <c r="AJ112" s="22">
        <v>0.69899999999999995</v>
      </c>
      <c r="AK112" s="21">
        <v>-0.5605</v>
      </c>
      <c r="AL112" s="21">
        <f>AF112+(0.69-AF$4)</f>
        <v>0.7315987981418659</v>
      </c>
      <c r="AM112" s="21">
        <f>AG112+(0.69-AG$4)</f>
        <v>0.71501357064983972</v>
      </c>
      <c r="AN112" s="21">
        <f>AH112+(-0.8815-AH$4)</f>
        <v>-0.53132102334123665</v>
      </c>
      <c r="AO112" s="21">
        <f>AI112+(-0.8815-AI$4)</f>
        <v>-0.57131275602784015</v>
      </c>
      <c r="AP112" s="20">
        <f t="shared" si="6"/>
        <v>3.2598798141865948E-2</v>
      </c>
      <c r="AQ112" s="20">
        <f t="shared" si="7"/>
        <v>1.601357064983977E-2</v>
      </c>
      <c r="AR112" s="20">
        <f t="shared" si="8"/>
        <v>2.9178976658763345E-2</v>
      </c>
      <c r="AS112" s="20">
        <f t="shared" si="9"/>
        <v>1.0812756027840154E-2</v>
      </c>
    </row>
    <row r="113" spans="1:45" ht="15" customHeight="1" x14ac:dyDescent="0.2">
      <c r="A113" s="26" t="s">
        <v>133</v>
      </c>
      <c r="B113" s="19" t="s">
        <v>30</v>
      </c>
      <c r="C113" s="20">
        <f t="shared" si="5"/>
        <v>-0.42068146923305594</v>
      </c>
      <c r="D113" s="20">
        <v>-1300.30054</v>
      </c>
      <c r="E113" s="20">
        <v>-1300.40002</v>
      </c>
      <c r="F113" s="20">
        <v>-1301.5179700000001</v>
      </c>
      <c r="G113" s="20">
        <v>-1300.3334554395001</v>
      </c>
      <c r="H113" s="20">
        <v>-1300.4312062286001</v>
      </c>
      <c r="I113" s="20">
        <v>-1301.5746383426999</v>
      </c>
      <c r="J113" s="20">
        <v>-1300.4157697283999</v>
      </c>
      <c r="K113" s="20">
        <v>-1300.4230503696999</v>
      </c>
      <c r="L113" s="20">
        <v>-1300.4304504373999</v>
      </c>
      <c r="M113" s="20">
        <v>-1300.5002491328</v>
      </c>
      <c r="N113" s="20">
        <v>-1300.5754278705001</v>
      </c>
      <c r="O113" s="20">
        <v>-1301.6437556579999</v>
      </c>
      <c r="P113" s="20">
        <v>-1301.6632639431</v>
      </c>
      <c r="Q113" s="20">
        <v>-1301.0436664184999</v>
      </c>
      <c r="R113" s="20">
        <v>-1301.1365926766</v>
      </c>
      <c r="S113" s="20">
        <v>-1302.2815554117001</v>
      </c>
      <c r="T113" s="20">
        <f>(S113-Q113)/2*27.211324570273</f>
        <v>-16.842299587968988</v>
      </c>
      <c r="U113" s="20">
        <f>(R113-Q113)*27.211324570273</f>
        <v>-2.5286465702621959</v>
      </c>
      <c r="V113" s="20">
        <f>(F113-I113-D113+G113)/2*27.211324570273</f>
        <v>0.32317397922655855</v>
      </c>
      <c r="W113" s="20">
        <f>(E113-H113-D113+G113)*27.211324570273</f>
        <v>-4.7054119052160483E-2</v>
      </c>
      <c r="X113" s="20">
        <f>(P113-O113-K113+J113)/2*27.211324570273</f>
        <v>-0.16636519208694206</v>
      </c>
      <c r="Y113" s="20">
        <f>(N113-M113-L113+J113)*27.211324570273</f>
        <v>-1.6462314948192185</v>
      </c>
      <c r="Z113" s="21">
        <f>(F113+P113-O113-D113-K113+J113-2*C113)*27.211324570273</f>
        <v>-10.566013255759222</v>
      </c>
      <c r="AA113" s="21">
        <f>(S113+F113-I113+P113-O113-Q113-D113+G113-K113+J113-2*C113)*27.211324570273</f>
        <v>-10.476381601664931</v>
      </c>
      <c r="AB113" s="21">
        <f>(E113+N113-M113-D113-L113+J113)*27.211324570273</f>
        <v>-4.3532140630661038</v>
      </c>
      <c r="AC113" s="21">
        <f>(R113+E113-H113+N113-M113-Q113-D113+G113-L113+J113)*27.211324570273</f>
        <v>-4.2219321841397619</v>
      </c>
      <c r="AD113" s="20">
        <v>4.84</v>
      </c>
      <c r="AE113" s="20">
        <v>4.4400000000000004</v>
      </c>
      <c r="AF113" s="21">
        <f>-Z113/2-AE113</f>
        <v>0.84300662787961045</v>
      </c>
      <c r="AG113" s="21">
        <f>-AA113/2-AE113</f>
        <v>0.79819080083246519</v>
      </c>
      <c r="AH113" s="21">
        <f>-AB113-AD113</f>
        <v>-0.48678593693389605</v>
      </c>
      <c r="AI113" s="21">
        <f>-AC113-AD113</f>
        <v>-0.61806781586023796</v>
      </c>
      <c r="AJ113" s="22">
        <v>0.69899999999999995</v>
      </c>
      <c r="AK113" s="21">
        <v>-0.5605</v>
      </c>
      <c r="AL113" s="21">
        <f>AF113+(0.69-AF$5)</f>
        <v>0.72720115693039711</v>
      </c>
      <c r="AM113" s="21">
        <f>AG113+(0.69-AG$5)</f>
        <v>0.70953438677937042</v>
      </c>
      <c r="AN113" s="21">
        <f>AH113+(-0.8815-AH$5)</f>
        <v>-0.54023634036672963</v>
      </c>
      <c r="AO113" s="21">
        <f>AI113+(-0.8815-AI$5)</f>
        <v>-0.58611818737823285</v>
      </c>
      <c r="AP113" s="20">
        <f t="shared" si="6"/>
        <v>2.8201156930397153E-2</v>
      </c>
      <c r="AQ113" s="20">
        <f t="shared" si="7"/>
        <v>1.0534386779370464E-2</v>
      </c>
      <c r="AR113" s="20">
        <f t="shared" si="8"/>
        <v>2.026365963327037E-2</v>
      </c>
      <c r="AS113" s="20">
        <f t="shared" si="9"/>
        <v>2.5618187378232848E-2</v>
      </c>
    </row>
    <row r="114" spans="1:45" ht="15" customHeight="1" x14ac:dyDescent="0.2">
      <c r="A114" s="26" t="s">
        <v>133</v>
      </c>
      <c r="B114" s="19" t="s">
        <v>31</v>
      </c>
      <c r="C114" s="20">
        <f t="shared" si="5"/>
        <v>-0.42068146923305594</v>
      </c>
      <c r="D114" s="20">
        <v>-1300.2156299999999</v>
      </c>
      <c r="E114" s="20">
        <v>-1300.31601</v>
      </c>
      <c r="F114" s="20">
        <v>-1301.4428499999999</v>
      </c>
      <c r="G114" s="20">
        <v>-1300.2491475416</v>
      </c>
      <c r="H114" s="20">
        <v>-1300.3477852228</v>
      </c>
      <c r="I114" s="20">
        <v>-1301.5001386398001</v>
      </c>
      <c r="J114" s="20">
        <v>-1300.4157442245</v>
      </c>
      <c r="K114" s="20">
        <v>-1300.4229937583</v>
      </c>
      <c r="L114" s="20">
        <v>-1300.4303693595</v>
      </c>
      <c r="M114" s="20">
        <v>-1300.5001611665</v>
      </c>
      <c r="N114" s="20">
        <v>-1300.5754055559</v>
      </c>
      <c r="O114" s="20">
        <v>-1301.6437228856</v>
      </c>
      <c r="P114" s="20">
        <v>-1301.6631790004999</v>
      </c>
      <c r="Q114" s="20">
        <v>-1300.5747235900001</v>
      </c>
      <c r="R114" s="20">
        <v>-1300.6674511054</v>
      </c>
      <c r="S114" s="20">
        <v>-1301.8151792499</v>
      </c>
      <c r="T114" s="20">
        <f>(S114-Q114)/2*27.211324570273</f>
        <v>-16.877220788284287</v>
      </c>
      <c r="U114" s="20">
        <f>(R114-Q114)*27.211324570273</f>
        <v>-2.5232385181424548</v>
      </c>
      <c r="V114" s="20">
        <f>(F114-I114-D114+G114)/2*27.211324570273</f>
        <v>0.32342153425718989</v>
      </c>
      <c r="W114" s="20">
        <f>(E114-H114-D114+G114)*27.211324570273</f>
        <v>-4.7410802374343419E-2</v>
      </c>
      <c r="X114" s="20">
        <f>(P114-O114-K114+J114)/2*27.211324570273</f>
        <v>-0.16607862010160696</v>
      </c>
      <c r="Y114" s="20">
        <f>(N114-M114-L114+J114)*27.211324570273</f>
        <v>-1.6495302066885411</v>
      </c>
      <c r="Z114" s="21">
        <f>(F114+P114-O114-D114-K114+J114-2*C114)*27.211324570273</f>
        <v>-10.83183897933333</v>
      </c>
      <c r="AA114" s="21">
        <f>(S114+F114-I114+P114-O114-Q114-D114+G114-K114+J114-2*C114)*27.211324570273</f>
        <v>-10.545155748245032</v>
      </c>
      <c r="AB114" s="21">
        <f>(E114+N114-M114-D114-L114+J114)*27.211324570273</f>
        <v>-4.3810029670548989</v>
      </c>
      <c r="AC114" s="21">
        <f>(R114+E114-H114+N114-M114-Q114-D114+G114-L114+J114)*27.211324570273</f>
        <v>-4.2201795272177138</v>
      </c>
      <c r="AD114" s="20">
        <v>4.84</v>
      </c>
      <c r="AE114" s="20">
        <v>4.4400000000000004</v>
      </c>
      <c r="AF114" s="21">
        <f>-Z114/2-AE114</f>
        <v>0.97591948966666475</v>
      </c>
      <c r="AG114" s="21">
        <f>-AA114/2-AE114</f>
        <v>0.83257787412251538</v>
      </c>
      <c r="AH114" s="21">
        <f>-AB114-AD114</f>
        <v>-0.45899703294510097</v>
      </c>
      <c r="AI114" s="21">
        <f>-AC114-AD114</f>
        <v>-0.61982047278228602</v>
      </c>
      <c r="AJ114" s="22">
        <v>0.69899999999999995</v>
      </c>
      <c r="AK114" s="21">
        <v>-0.5605</v>
      </c>
      <c r="AL114" s="21">
        <f>AF114+(0.69-AF$6)</f>
        <v>0.7315987981418659</v>
      </c>
      <c r="AM114" s="21">
        <f>AG114+(0.69-AG$6)</f>
        <v>0.71619081281220032</v>
      </c>
      <c r="AN114" s="21">
        <f>AH114+(-0.8815-AH$6)</f>
        <v>-0.53132102334123665</v>
      </c>
      <c r="AO114" s="21">
        <f>AI114+(-0.8815-AI$6)</f>
        <v>-0.5681979600496847</v>
      </c>
      <c r="AP114" s="20">
        <f t="shared" si="6"/>
        <v>3.2598798141865948E-2</v>
      </c>
      <c r="AQ114" s="20">
        <f t="shared" si="7"/>
        <v>1.7190812812200362E-2</v>
      </c>
      <c r="AR114" s="20">
        <f t="shared" si="8"/>
        <v>2.9178976658763345E-2</v>
      </c>
      <c r="AS114" s="20">
        <f t="shared" si="9"/>
        <v>7.6979600496847045E-3</v>
      </c>
    </row>
    <row r="115" spans="1:45" ht="15" customHeight="1" x14ac:dyDescent="0.2">
      <c r="A115" s="26" t="s">
        <v>133</v>
      </c>
      <c r="B115" s="19" t="s">
        <v>32</v>
      </c>
      <c r="C115" s="20">
        <f t="shared" si="5"/>
        <v>-0.42068146923305594</v>
      </c>
      <c r="D115" s="20">
        <v>-1300.30054</v>
      </c>
      <c r="E115" s="20">
        <v>-1300.40002</v>
      </c>
      <c r="F115" s="20">
        <v>-1301.5179700000001</v>
      </c>
      <c r="G115" s="20">
        <v>-1300.3334554395001</v>
      </c>
      <c r="H115" s="20">
        <v>-1300.4312062286001</v>
      </c>
      <c r="I115" s="20">
        <v>-1301.5746383426999</v>
      </c>
      <c r="J115" s="20">
        <v>-1300.4157697283999</v>
      </c>
      <c r="K115" s="20">
        <v>-1300.4230503696999</v>
      </c>
      <c r="L115" s="20">
        <v>-1300.4304504373999</v>
      </c>
      <c r="M115" s="20">
        <v>-1300.5002491328</v>
      </c>
      <c r="N115" s="20">
        <v>-1300.5754278705001</v>
      </c>
      <c r="O115" s="20">
        <v>-1301.6437556579999</v>
      </c>
      <c r="P115" s="20">
        <v>-1301.6632639431</v>
      </c>
      <c r="Q115" s="20">
        <v>-1300.6759039128001</v>
      </c>
      <c r="R115" s="20">
        <v>-1300.7671387298001</v>
      </c>
      <c r="S115" s="20">
        <v>-1301.9058402183</v>
      </c>
      <c r="T115" s="20">
        <f>(S115-Q115)/2*27.211324570273</f>
        <v>-16.734098004860179</v>
      </c>
      <c r="U115" s="20">
        <f>(R115-Q115)*27.211324570273</f>
        <v>-2.4826202174960779</v>
      </c>
      <c r="V115" s="20">
        <f>(F115-I115-D115+G115)/2*27.211324570273</f>
        <v>0.32317397922655855</v>
      </c>
      <c r="W115" s="20">
        <f>(E115-H115-D115+G115)*27.211324570273</f>
        <v>-4.7054119052160483E-2</v>
      </c>
      <c r="X115" s="20">
        <f>(P115-O115-K115+J115)/2*27.211324570273</f>
        <v>-0.16636519208694206</v>
      </c>
      <c r="Y115" s="20">
        <f>(N115-M115-L115+J115)*27.211324570273</f>
        <v>-1.6462314948192185</v>
      </c>
      <c r="Z115" s="21">
        <f>(F115+P115-O115-D115-K115+J115-2*C115)*27.211324570273</f>
        <v>-10.566013255759222</v>
      </c>
      <c r="AA115" s="21">
        <f>(S115+F115-I115+P115-O115-Q115-D115+G115-K115+J115-2*C115)*27.211324570273</f>
        <v>-10.259978435434938</v>
      </c>
      <c r="AB115" s="21">
        <f>(E115+N115-M115-D115-L115+J115)*27.211324570273</f>
        <v>-4.3532140630661038</v>
      </c>
      <c r="AC115" s="21">
        <f>(R115+E115-H115+N115-M115-Q115-D115+G115-L115+J115)*27.211324570273</f>
        <v>-4.1759058313674569</v>
      </c>
      <c r="AD115" s="20">
        <v>4.84</v>
      </c>
      <c r="AE115" s="20">
        <v>4.4400000000000004</v>
      </c>
      <c r="AF115" s="21">
        <f>-Z115/2-AE115</f>
        <v>0.84300662787961045</v>
      </c>
      <c r="AG115" s="21">
        <f>-AA115/2-AE115</f>
        <v>0.68998921771746868</v>
      </c>
      <c r="AH115" s="21">
        <f>-AB115-AD115</f>
        <v>-0.48678593693389605</v>
      </c>
      <c r="AI115" s="21">
        <f>-AC115-AD115</f>
        <v>-0.664094168632543</v>
      </c>
      <c r="AJ115" s="22">
        <v>0.69899999999999995</v>
      </c>
      <c r="AK115" s="21">
        <v>-0.5605</v>
      </c>
      <c r="AL115" s="21">
        <f>AF115+(0.69-AF$7)</f>
        <v>0.72720115693039711</v>
      </c>
      <c r="AM115" s="21">
        <f>AG115+(0.69-AG$7)</f>
        <v>0.71056787695851176</v>
      </c>
      <c r="AN115" s="21">
        <f>AH115+(-0.8815-AH$7)</f>
        <v>-0.54023634036672963</v>
      </c>
      <c r="AO115" s="21">
        <f>AI115+(-0.8815-AI$7)</f>
        <v>-0.5845907259418377</v>
      </c>
      <c r="AP115" s="20">
        <f t="shared" si="6"/>
        <v>2.8201156930397153E-2</v>
      </c>
      <c r="AQ115" s="20">
        <f t="shared" si="7"/>
        <v>1.1567876958511802E-2</v>
      </c>
      <c r="AR115" s="20">
        <f t="shared" si="8"/>
        <v>2.026365963327037E-2</v>
      </c>
      <c r="AS115" s="20">
        <f t="shared" si="9"/>
        <v>2.4090725941837698E-2</v>
      </c>
    </row>
    <row r="116" spans="1:45" ht="15" customHeight="1" x14ac:dyDescent="0.2">
      <c r="A116" s="26" t="s">
        <v>133</v>
      </c>
      <c r="B116" s="19" t="s">
        <v>33</v>
      </c>
      <c r="C116" s="20">
        <f t="shared" si="5"/>
        <v>-0.42068146923305594</v>
      </c>
      <c r="D116" s="20">
        <v>-1300.64382</v>
      </c>
      <c r="E116" s="20">
        <v>-1300.72012</v>
      </c>
      <c r="F116" s="20">
        <v>-1301.8504700000001</v>
      </c>
      <c r="G116" s="20">
        <v>-1300.6763160349999</v>
      </c>
      <c r="H116" s="20">
        <v>-1300.7496648122999</v>
      </c>
      <c r="I116" s="20">
        <v>-1301.9064433132</v>
      </c>
      <c r="J116" s="20">
        <v>-1300.4155835941001</v>
      </c>
      <c r="K116" s="20">
        <v>-1300.4228679717</v>
      </c>
      <c r="L116" s="20">
        <v>-1300.4302143069001</v>
      </c>
      <c r="M116" s="20">
        <v>-1300.4997969738999</v>
      </c>
      <c r="N116" s="20">
        <v>-1300.5750914109001</v>
      </c>
      <c r="O116" s="20">
        <v>-1301.6436904717</v>
      </c>
      <c r="P116" s="20">
        <v>-1301.6630895779001</v>
      </c>
      <c r="Q116" s="20">
        <v>-1300.6763291138</v>
      </c>
      <c r="R116" s="20">
        <v>-1300.7674565699999</v>
      </c>
      <c r="S116" s="20">
        <v>-1301.9063498953001</v>
      </c>
      <c r="T116" s="20">
        <f>(S116-Q116)/2*27.211324570273</f>
        <v>-16.73524735679025</v>
      </c>
      <c r="U116" s="20">
        <f>(R116-Q116)*27.211324570273</f>
        <v>-2.4796987879203449</v>
      </c>
      <c r="V116" s="20">
        <f>(F116-I116-D116+G116)/2*27.211324570273</f>
        <v>0.3194239185642388</v>
      </c>
      <c r="W116" s="20">
        <f>(E116-H116-D116+G116)*27.211324570273</f>
        <v>-8.0306678767459574E-2</v>
      </c>
      <c r="X116" s="20">
        <f>(P116-O116-K116+J116)/2*27.211324570273</f>
        <v>-0.16482890601015365</v>
      </c>
      <c r="Y116" s="20">
        <f>(N116-M116-L116+J116)*27.211324570273</f>
        <v>-1.6507402888515281</v>
      </c>
      <c r="Z116" s="21">
        <f>(F116+P116-O116-D116-K116+J116-2*C116)*27.211324570273</f>
        <v>-10.26960260474244</v>
      </c>
      <c r="AA116" s="21">
        <f>(S116+F116-I116+P116-O116-Q116-D116+G116-K116+J116-2*C116)*27.211324570273</f>
        <v>-10.266704688478516</v>
      </c>
      <c r="AB116" s="21">
        <f>(E116+N116-M116-D116-L116+J116)*27.211324570273</f>
        <v>-3.7269643535680896</v>
      </c>
      <c r="AC116" s="21">
        <f>(R116+E116-H116+N116-M116-Q116-D116+G116-L116+J116)*27.211324570273</f>
        <v>-4.2107457555393326</v>
      </c>
      <c r="AD116" s="20">
        <v>4.84</v>
      </c>
      <c r="AE116" s="20">
        <v>4.4400000000000004</v>
      </c>
      <c r="AF116" s="21">
        <f>-Z116/2-AE116</f>
        <v>0.69480130237121962</v>
      </c>
      <c r="AG116" s="21">
        <f>-AA116/2-AE116</f>
        <v>0.69335234423925751</v>
      </c>
      <c r="AH116" s="21">
        <f>-AB116-AD116</f>
        <v>-1.1130356464319102</v>
      </c>
      <c r="AI116" s="21">
        <f>-AC116-AD116</f>
        <v>-0.62925424446066724</v>
      </c>
      <c r="AJ116" s="22">
        <v>0.69899999999999995</v>
      </c>
      <c r="AK116" s="21">
        <v>-0.5605</v>
      </c>
      <c r="AL116" s="21">
        <f>AF116+(0.69-AF$8)</f>
        <v>0.71536327971074742</v>
      </c>
      <c r="AM116" s="21">
        <f>AG116+(0.69-AG$8)</f>
        <v>0.71172192692853242</v>
      </c>
      <c r="AN116" s="21">
        <f>AH116+(-0.8815-AH$8)</f>
        <v>-0.60736177730986851</v>
      </c>
      <c r="AO116" s="21">
        <f>AI116+(-0.8815-AI$8)</f>
        <v>-0.59183751256955741</v>
      </c>
      <c r="AP116" s="20">
        <f t="shared" si="6"/>
        <v>1.6363279710747469E-2</v>
      </c>
      <c r="AQ116" s="20">
        <f t="shared" si="7"/>
        <v>1.2721926928532468E-2</v>
      </c>
      <c r="AR116" s="20">
        <f t="shared" si="8"/>
        <v>4.6861777309868513E-2</v>
      </c>
      <c r="AS116" s="20">
        <f t="shared" si="9"/>
        <v>3.1337512569557413E-2</v>
      </c>
    </row>
    <row r="117" spans="1:45" ht="15" customHeight="1" x14ac:dyDescent="0.2">
      <c r="A117" s="26" t="s">
        <v>133</v>
      </c>
      <c r="B117" s="19" t="s">
        <v>174</v>
      </c>
      <c r="C117" s="20">
        <f t="shared" si="5"/>
        <v>-0.42068146923305594</v>
      </c>
      <c r="D117" s="20">
        <v>-1300.6439600000001</v>
      </c>
      <c r="E117" s="20">
        <v>-1300.7324900000001</v>
      </c>
      <c r="F117" s="20">
        <v>-1301.8505299999999</v>
      </c>
      <c r="G117" s="20">
        <v>-1300.6764802212001</v>
      </c>
      <c r="H117" s="20">
        <v>-1300.7627056846</v>
      </c>
      <c r="I117" s="20">
        <v>-1301.9065875558999</v>
      </c>
      <c r="J117" s="20">
        <v>-1300.4155938397</v>
      </c>
      <c r="K117" s="20">
        <v>-1300.4228689501001</v>
      </c>
      <c r="L117" s="20">
        <v>-1300.4302180745001</v>
      </c>
      <c r="M117" s="20">
        <v>-1300.5000142545</v>
      </c>
      <c r="N117" s="20">
        <v>-1300.5752589936001</v>
      </c>
      <c r="O117" s="20">
        <v>-1301.6436932240999</v>
      </c>
      <c r="P117" s="20">
        <v>-1301.6630837929999</v>
      </c>
      <c r="Q117" s="20">
        <v>-1300.6763291151001</v>
      </c>
      <c r="R117" s="20">
        <v>-1300.7674674361999</v>
      </c>
      <c r="S117" s="20">
        <v>-1301.9063499424999</v>
      </c>
      <c r="T117" s="20">
        <f>(S117-Q117)/2*27.211324570273</f>
        <v>-16.735247981286019</v>
      </c>
      <c r="U117" s="20">
        <f>(R117-Q117)*27.211324570273</f>
        <v>-2.479994436237337</v>
      </c>
      <c r="V117" s="20">
        <f>(F117-I117-D117+G117)/2*27.211324570273</f>
        <v>0.32024102702035623</v>
      </c>
      <c r="W117" s="20">
        <f>(E117-H117-D117+G117)*27.211324570273</f>
        <v>-6.2709493410747788E-2</v>
      </c>
      <c r="X117" s="20">
        <f>(P117-O117-K117+J117)/2*27.211324570273</f>
        <v>-0.16483883677950276</v>
      </c>
      <c r="Y117" s="20">
        <f>(N117-M117-L117+J117)*27.211324570273</f>
        <v>-1.6495642181210537</v>
      </c>
      <c r="Z117" s="21">
        <f>(F117+P117-O117-D117-K117+J117-2*C117)*27.211324570273</f>
        <v>-10.267445560308639</v>
      </c>
      <c r="AA117" s="21">
        <f>(S117+F117-I117+P117-O117-Q117-D117+G117-K117+J117-2*C117)*27.211324570273</f>
        <v>-10.265091582084144</v>
      </c>
      <c r="AB117" s="21">
        <f>(E117+N117-M117-D117-L117+J117)*27.211324570273</f>
        <v>-4.0585827823332794</v>
      </c>
      <c r="AC117" s="21">
        <f>(R117+E117-H117+N117-M117-Q117-D117+G117-L117+J117)*27.211324570273</f>
        <v>-4.1922681477691386</v>
      </c>
      <c r="AD117" s="20">
        <v>4.84</v>
      </c>
      <c r="AE117" s="20">
        <v>4.4400000000000004</v>
      </c>
      <c r="AF117" s="21">
        <f>-Z117/2-AE117</f>
        <v>0.6937227801543191</v>
      </c>
      <c r="AG117" s="21">
        <f>-AA117/2-AE117</f>
        <v>0.69254579104207181</v>
      </c>
      <c r="AH117" s="21">
        <f>-AB117-AD117</f>
        <v>-0.78141721766672045</v>
      </c>
      <c r="AI117" s="21">
        <f>-AC117-AD117</f>
        <v>-0.64773185223086127</v>
      </c>
      <c r="AJ117" s="22">
        <v>0.69899999999999995</v>
      </c>
      <c r="AK117" s="21">
        <v>-0.5605</v>
      </c>
      <c r="AL117" s="21">
        <f>AF117+(0.69-AF$9)</f>
        <v>0.70929548494428873</v>
      </c>
      <c r="AM117" s="21">
        <f>AG117+(0.69-AG$9)</f>
        <v>0.71017293178944341</v>
      </c>
      <c r="AN117" s="21">
        <f>AH117+(-0.8815-AH$9)</f>
        <v>-0.65531410409137525</v>
      </c>
      <c r="AO117" s="21">
        <f>AI117+(-0.8815-AI$9)</f>
        <v>-0.56981600801133991</v>
      </c>
      <c r="AP117" s="20">
        <f t="shared" si="6"/>
        <v>1.029548494428878E-2</v>
      </c>
      <c r="AQ117" s="20">
        <f t="shared" si="7"/>
        <v>1.1172931789443452E-2</v>
      </c>
      <c r="AR117" s="20">
        <f t="shared" si="8"/>
        <v>9.4814104091375251E-2</v>
      </c>
      <c r="AS117" s="20">
        <f t="shared" si="9"/>
        <v>9.3160080113399157E-3</v>
      </c>
    </row>
    <row r="118" spans="1:45" ht="15" customHeight="1" x14ac:dyDescent="0.2">
      <c r="A118" s="26" t="s">
        <v>133</v>
      </c>
      <c r="B118" s="19" t="s">
        <v>43</v>
      </c>
      <c r="C118" s="20">
        <f t="shared" si="5"/>
        <v>-0.42068146923305594</v>
      </c>
      <c r="D118" s="20">
        <v>-1300.30054</v>
      </c>
      <c r="E118" s="20">
        <v>-1300.40002</v>
      </c>
      <c r="F118" s="20">
        <v>-1301.5179700000001</v>
      </c>
      <c r="G118" s="20">
        <v>-1300.3334554395001</v>
      </c>
      <c r="H118" s="20">
        <v>-1300.4312062286001</v>
      </c>
      <c r="I118" s="20">
        <v>-1301.5746383426999</v>
      </c>
      <c r="J118" s="20">
        <v>-1300.4157697283999</v>
      </c>
      <c r="K118" s="20">
        <v>-1300.4230503696999</v>
      </c>
      <c r="L118" s="20">
        <v>-1300.4304504373999</v>
      </c>
      <c r="M118" s="20">
        <v>-1300.5002491328</v>
      </c>
      <c r="N118" s="20">
        <v>-1300.5754278705001</v>
      </c>
      <c r="O118" s="20">
        <v>-1301.6437556579999</v>
      </c>
      <c r="P118" s="20">
        <v>-1301.6632639431</v>
      </c>
      <c r="Q118" s="20">
        <v>-1299.2891325289399</v>
      </c>
      <c r="R118" s="20">
        <v>-1299.3762545531999</v>
      </c>
      <c r="S118" s="20">
        <v>-1300.5281465078001</v>
      </c>
      <c r="T118" s="20">
        <f>(S118-Q118)/2*27.211324570273</f>
        <v>-16.857605762934554</v>
      </c>
      <c r="U118" s="20">
        <f>(R118-Q118)*27.211324570273</f>
        <v>-2.3707056793579899</v>
      </c>
      <c r="V118" s="20">
        <f>(F118-I118-D118+G118)/2*27.211324570273</f>
        <v>0.32317397922655855</v>
      </c>
      <c r="W118" s="20">
        <f>(E118-H118-D118+G118)*27.211324570273</f>
        <v>-4.7054119052160483E-2</v>
      </c>
      <c r="X118" s="20">
        <f>(P118-O118-K118+J118)/2*27.211324570273</f>
        <v>-0.16636519208694206</v>
      </c>
      <c r="Y118" s="20">
        <f>(N118-M118-L118+J118)*27.211324570273</f>
        <v>-1.6462314948192185</v>
      </c>
      <c r="Z118" s="21">
        <f>(F118+P118-O118-D118-K118+J118-2*C118)*27.211324570273</f>
        <v>-10.566013255759222</v>
      </c>
      <c r="AA118" s="21">
        <f>(S118+F118-I118+P118-O118-Q118-D118+G118-K118+J118-2*C118)*27.211324570273</f>
        <v>-10.506993951596064</v>
      </c>
      <c r="AB118" s="21">
        <f>(E118+N118-M118-D118-L118+J118)*27.211324570273</f>
        <v>-4.3532140630661038</v>
      </c>
      <c r="AC118" s="21">
        <f>(R118+E118-H118+N118-M118-Q118-D118+G118-L118+J118)*27.211324570273</f>
        <v>-4.0639912932293685</v>
      </c>
      <c r="AD118" s="20">
        <v>4.84</v>
      </c>
      <c r="AE118" s="20">
        <v>4.4400000000000004</v>
      </c>
      <c r="AF118" s="21">
        <f>-Z118/2-AE118</f>
        <v>0.84300662787961045</v>
      </c>
      <c r="AG118" s="21">
        <f>-AA118/2-AE118</f>
        <v>0.81349697579803149</v>
      </c>
      <c r="AH118" s="21">
        <f>-AB118-AD118</f>
        <v>-0.48678593693389605</v>
      </c>
      <c r="AI118" s="21">
        <f>-AC118-AD118</f>
        <v>-0.77600870677063138</v>
      </c>
      <c r="AJ118" s="22">
        <v>0.69899999999999995</v>
      </c>
      <c r="AK118" s="21">
        <v>-0.5605</v>
      </c>
      <c r="AL118" s="21">
        <f>AF118+(0.69-AF$10)</f>
        <v>0.72720115693039711</v>
      </c>
      <c r="AM118" s="21">
        <f>AG118+(0.69-AG$10)</f>
        <v>0.70683460880596316</v>
      </c>
      <c r="AN118" s="21">
        <f>AH118+(-0.8815-AH$10)</f>
        <v>-0.54023634036672963</v>
      </c>
      <c r="AO118" s="21">
        <f>AI118+(-0.8815-AI$10)</f>
        <v>-0.59349059514325697</v>
      </c>
      <c r="AP118" s="20">
        <f t="shared" si="6"/>
        <v>2.8201156930397153E-2</v>
      </c>
      <c r="AQ118" s="20">
        <f t="shared" si="7"/>
        <v>7.8346088059632057E-3</v>
      </c>
      <c r="AR118" s="20">
        <f t="shared" si="8"/>
        <v>2.026365963327037E-2</v>
      </c>
      <c r="AS118" s="20">
        <f t="shared" si="9"/>
        <v>3.2990595143256973E-2</v>
      </c>
    </row>
    <row r="119" spans="1:45" x14ac:dyDescent="0.2">
      <c r="A119" s="26" t="s">
        <v>114</v>
      </c>
      <c r="B119" s="19" t="s">
        <v>27</v>
      </c>
      <c r="C119" s="20">
        <f t="shared" si="5"/>
        <v>-0.42068146923305594</v>
      </c>
      <c r="D119" s="20">
        <v>-2219.1020899999999</v>
      </c>
      <c r="E119" s="20">
        <v>-2219.21675</v>
      </c>
      <c r="F119" s="20">
        <v>-2220.3316799999998</v>
      </c>
      <c r="G119" s="20">
        <v>-2219.1119702327001</v>
      </c>
      <c r="H119" s="20">
        <v>-2219.2249019788001</v>
      </c>
      <c r="I119" s="20">
        <v>-2220.3658965426998</v>
      </c>
      <c r="J119" s="20">
        <v>-2219.5368615703001</v>
      </c>
      <c r="K119" s="20">
        <v>-2219.5411387997001</v>
      </c>
      <c r="L119" s="20">
        <v>-2219.5507214548002</v>
      </c>
      <c r="M119" s="20">
        <v>-2219.6363963374001</v>
      </c>
      <c r="N119" s="20">
        <v>-2219.7077115360999</v>
      </c>
      <c r="O119" s="20">
        <v>-2220.7708815740998</v>
      </c>
      <c r="P119" s="20">
        <v>-2220.7782490384998</v>
      </c>
      <c r="Q119" s="20">
        <v>-2220.1293272005</v>
      </c>
      <c r="R119" s="20">
        <v>-2220.2375922367</v>
      </c>
      <c r="S119" s="20">
        <v>-2221.3787591608002</v>
      </c>
      <c r="T119" s="20">
        <f>(S119-Q119)/2*27.211324570273</f>
        <v>-16.999349300100207</v>
      </c>
      <c r="U119" s="20">
        <f>(R119-Q119)*27.211324570273</f>
        <v>-2.9460350396508139</v>
      </c>
      <c r="V119" s="20">
        <f>(F119-I119-D119+G119)/2*27.211324570273</f>
        <v>0.33111161512439369</v>
      </c>
      <c r="W119" s="20">
        <f>(E119-H119-D119+G119)*27.211324570273</f>
        <v>-4.7028077817709145E-2</v>
      </c>
      <c r="X119" s="20">
        <f>(P119-O119-K119+J119)/2*27.211324570273</f>
        <v>-4.204469379096179E-2</v>
      </c>
      <c r="Y119" s="20">
        <f>(N119-M119-L119+J119)*27.211324570273</f>
        <v>-1.5634352029727334</v>
      </c>
      <c r="Z119" s="21">
        <f>(F119+P119-O119-D119-K119+J119-2*C119)*27.211324570273</f>
        <v>-10.648261965929255</v>
      </c>
      <c r="AA119" s="21">
        <f>(S119+F119-I119+P119-O119-Q119-D119+G119-K119+J119-2*C119)*27.211324570273</f>
        <v>-10.525964757545921</v>
      </c>
      <c r="AB119" s="21">
        <f>(E119+N119-M119-D119-L119+J119)*27.211324570273</f>
        <v>-4.6834856782176546</v>
      </c>
      <c r="AC119" s="21">
        <f>(R119+E119-H119+N119-M119-Q119-D119+G119-L119+J119)*27.211324570273</f>
        <v>-4.556498320441257</v>
      </c>
      <c r="AD119" s="20">
        <v>4.84</v>
      </c>
      <c r="AE119" s="20">
        <v>4.4400000000000004</v>
      </c>
      <c r="AF119" s="21">
        <f>-Z119/2-AE119</f>
        <v>0.88413098296462689</v>
      </c>
      <c r="AG119" s="21">
        <f>-AA119/2-AE119</f>
        <v>0.82298237877296021</v>
      </c>
      <c r="AH119" s="21">
        <f>-AB119-AD119</f>
        <v>-0.15651432178234526</v>
      </c>
      <c r="AI119" s="21">
        <f>-AC119-AD119</f>
        <v>-0.28350167955874284</v>
      </c>
      <c r="AJ119" s="22">
        <v>0.69899999999999995</v>
      </c>
      <c r="AK119" s="21">
        <v>-0.35649999999999998</v>
      </c>
      <c r="AL119" s="27">
        <f>AF119+(0.69-AF$2)</f>
        <v>0.70132447299056766</v>
      </c>
      <c r="AM119" s="27">
        <f>AG119+(0.69-AG$2)</f>
        <v>0.6657124030100241</v>
      </c>
      <c r="AN119" s="27">
        <f>AH119+(-0.8815-AH$2)</f>
        <v>-0.33103526889327206</v>
      </c>
      <c r="AO119" s="27">
        <f>AI119+(-0.8815-AI$2)</f>
        <v>-0.38936331183887329</v>
      </c>
      <c r="AP119" s="20">
        <f t="shared" si="6"/>
        <v>2.3244729905677053E-3</v>
      </c>
      <c r="AQ119" s="20">
        <f t="shared" si="7"/>
        <v>3.3287596989975854E-2</v>
      </c>
      <c r="AR119" s="20">
        <f t="shared" si="8"/>
        <v>2.5464731106727923E-2</v>
      </c>
      <c r="AS119" s="20">
        <f t="shared" si="9"/>
        <v>3.286331183887331E-2</v>
      </c>
    </row>
    <row r="120" spans="1:45" ht="15" customHeight="1" x14ac:dyDescent="0.2">
      <c r="A120" s="26" t="s">
        <v>114</v>
      </c>
      <c r="B120" s="19" t="s">
        <v>145</v>
      </c>
      <c r="C120" s="20">
        <f t="shared" si="5"/>
        <v>-0.42068146923305594</v>
      </c>
      <c r="D120" s="20">
        <v>-2218.8217</v>
      </c>
      <c r="E120" s="20">
        <v>-2218.9354199999998</v>
      </c>
      <c r="F120" s="20">
        <v>-2220.0500999999999</v>
      </c>
      <c r="G120" s="20">
        <v>-2218.8342701470001</v>
      </c>
      <c r="H120" s="20">
        <v>-2218.9461557105001</v>
      </c>
      <c r="I120" s="20">
        <v>-2220.0865426316</v>
      </c>
      <c r="J120" s="20">
        <v>-2219.5372684332001</v>
      </c>
      <c r="K120" s="20">
        <v>-2219.5413274026</v>
      </c>
      <c r="L120" s="20">
        <v>-2219.5509724838998</v>
      </c>
      <c r="M120" s="20">
        <v>-2219.6368036559002</v>
      </c>
      <c r="N120" s="20">
        <v>-2219.7081688824001</v>
      </c>
      <c r="O120" s="20">
        <v>-2220.7712881428001</v>
      </c>
      <c r="P120" s="20">
        <v>-2220.7786876546002</v>
      </c>
      <c r="Q120" s="20">
        <v>-2219.8471494113001</v>
      </c>
      <c r="R120" s="20">
        <v>-2219.9545289456</v>
      </c>
      <c r="S120" s="20">
        <v>-2221.0957420366999</v>
      </c>
      <c r="T120" s="20">
        <f>(S120-Q120)/2*27.211324570273</f>
        <v>-16.987929592902322</v>
      </c>
      <c r="U120" s="20">
        <f>(R120-Q120)*27.211324570273</f>
        <v>-2.921939360041522</v>
      </c>
      <c r="V120" s="20">
        <f>(F120-I120-D120+G120)/2*27.211324570273</f>
        <v>0.32480096337344128</v>
      </c>
      <c r="W120" s="20">
        <f>(E120-H120-D120+G120)*27.211324570273</f>
        <v>-4.9917447000929815E-2</v>
      </c>
      <c r="X120" s="20">
        <f>(P120-O120-K120+J120)/2*27.211324570273</f>
        <v>-4.54502917450798E-2</v>
      </c>
      <c r="Y120" s="20">
        <f>(N120-M120-L120+J120)*27.211324570273</f>
        <v>-1.5690369698014273</v>
      </c>
      <c r="Z120" s="21">
        <f>(F120+P120-O120-D120-K120+J120-2*C120)*27.211324570273</f>
        <v>-10.622691685612562</v>
      </c>
      <c r="AA120" s="21">
        <f>(S120+F120-I120+P120-O120-Q120-D120+G120-K120+J120-2*C120)*27.211324570273</f>
        <v>-10.522557842547924</v>
      </c>
      <c r="AB120" s="21">
        <f>(E120+N120-M120-D120-L120+J120)*27.211324570273</f>
        <v>-4.6635087999282518</v>
      </c>
      <c r="AC120" s="21">
        <f>(R120+E120-H120+N120-M120-Q120-D120+G120-L120+J120)*27.211324570273</f>
        <v>-4.5408937768315045</v>
      </c>
      <c r="AD120" s="20">
        <v>4.84</v>
      </c>
      <c r="AE120" s="20">
        <v>4.4400000000000004</v>
      </c>
      <c r="AF120" s="21">
        <f>-Z120/2-AE120</f>
        <v>0.87134584280628058</v>
      </c>
      <c r="AG120" s="21">
        <f>-AA120/2-AE120</f>
        <v>0.82127892127396152</v>
      </c>
      <c r="AH120" s="21">
        <f>-AB120-AD120</f>
        <v>-0.17649120007174801</v>
      </c>
      <c r="AI120" s="21">
        <f>-AC120-AD120</f>
        <v>-0.29910622316849533</v>
      </c>
      <c r="AJ120" s="22">
        <v>0.69899999999999995</v>
      </c>
      <c r="AK120" s="21">
        <v>-0.35649999999999998</v>
      </c>
      <c r="AL120" s="27">
        <f>AF120+(0.69-AF$3)</f>
        <v>0.71206400184350604</v>
      </c>
      <c r="AM120" s="27">
        <f>AG120+(0.69-AG$3)</f>
        <v>0.67259873481435184</v>
      </c>
      <c r="AN120" s="27">
        <f>AH120+(-0.8815-AH$3)</f>
        <v>-0.2480859569012166</v>
      </c>
      <c r="AO120" s="27">
        <f>AI120+(-0.8815-AI$3)</f>
        <v>-0.33680076626124134</v>
      </c>
      <c r="AP120" s="20">
        <f t="shared" si="6"/>
        <v>1.306400184350609E-2</v>
      </c>
      <c r="AQ120" s="20">
        <f t="shared" si="7"/>
        <v>2.6401265185648115E-2</v>
      </c>
      <c r="AR120" s="20">
        <f t="shared" si="8"/>
        <v>0.10841404309878339</v>
      </c>
      <c r="AS120" s="20">
        <f t="shared" si="9"/>
        <v>1.9699233738758648E-2</v>
      </c>
    </row>
    <row r="121" spans="1:45" ht="15" customHeight="1" x14ac:dyDescent="0.2">
      <c r="A121" s="26" t="s">
        <v>114</v>
      </c>
      <c r="B121" s="19" t="s">
        <v>29</v>
      </c>
      <c r="C121" s="20">
        <f t="shared" si="5"/>
        <v>-0.42068146923305594</v>
      </c>
      <c r="D121" s="20">
        <v>-2219.1577200000002</v>
      </c>
      <c r="E121" s="20">
        <v>-2219.2709100000002</v>
      </c>
      <c r="F121" s="20">
        <v>-2220.3937500000002</v>
      </c>
      <c r="G121" s="20">
        <v>-2219.1690649262</v>
      </c>
      <c r="H121" s="20">
        <v>-2219.2807147834001</v>
      </c>
      <c r="I121" s="20">
        <v>-2220.4294731331001</v>
      </c>
      <c r="J121" s="20">
        <v>-2219.5372818024998</v>
      </c>
      <c r="K121" s="20">
        <v>-2219.5414007139998</v>
      </c>
      <c r="L121" s="20">
        <v>-2219.5510097176002</v>
      </c>
      <c r="M121" s="20">
        <v>-2219.6367244050002</v>
      </c>
      <c r="N121" s="20">
        <v>-2219.7081294991999</v>
      </c>
      <c r="O121" s="20">
        <v>-2220.7712488708999</v>
      </c>
      <c r="P121" s="20">
        <v>-2220.7785992201998</v>
      </c>
      <c r="Q121" s="20">
        <v>-2220.1787603327002</v>
      </c>
      <c r="R121" s="20">
        <v>-2220.2851485962001</v>
      </c>
      <c r="S121" s="20">
        <v>-2221.4347393579001</v>
      </c>
      <c r="T121" s="20">
        <f>(S121-Q121)/2*27.211324570273</f>
        <v>-17.088426454084093</v>
      </c>
      <c r="U121" s="20">
        <f>(R121-Q121)*27.211324570273</f>
        <v>-2.8949655685625899</v>
      </c>
      <c r="V121" s="20">
        <f>(F121-I121-D121+G121)/2*27.211324570273</f>
        <v>0.33168165020008028</v>
      </c>
      <c r="W121" s="20">
        <f>(E121-H121-D121+G121)*27.211324570273</f>
        <v>-4.1909325614490817E-2</v>
      </c>
      <c r="X121" s="20">
        <f>(P121-O121-K121+J121)/2*27.211324570273</f>
        <v>-4.3965851401792648E-2</v>
      </c>
      <c r="Y121" s="20">
        <f>(N121-M121-L121+J121)*27.211324570273</f>
        <v>-1.5694724407688374</v>
      </c>
      <c r="Z121" s="21">
        <f>(F121+P121-O121-D121-K121+J121-2*C121)*27.211324570273</f>
        <v>-10.827345211398882</v>
      </c>
      <c r="AA121" s="21">
        <f>(S121+F121-I121+P121-O121-Q121-D121+G121-K121+J121-2*C121)*27.211324570273</f>
        <v>-10.706821310571614</v>
      </c>
      <c r="AB121" s="21">
        <f>(E121+N121-M121-D121-L121+J121)*27.211324570273</f>
        <v>-4.6495222688665194</v>
      </c>
      <c r="AC121" s="21">
        <f>(R121+E121-H121+N121-M121-Q121-D121+G121-L121+J121)*27.211324570273</f>
        <v>-4.506347334958293</v>
      </c>
      <c r="AD121" s="20">
        <v>4.84</v>
      </c>
      <c r="AE121" s="20">
        <v>4.4400000000000004</v>
      </c>
      <c r="AF121" s="21">
        <f>-Z121/2-AE121</f>
        <v>0.97367260569944047</v>
      </c>
      <c r="AG121" s="21">
        <f>-AA121/2-AE121</f>
        <v>0.91341065528580678</v>
      </c>
      <c r="AH121" s="21">
        <f>-AB121-AD121</f>
        <v>-0.19047773113348043</v>
      </c>
      <c r="AI121" s="21">
        <f>-AC121-AD121</f>
        <v>-0.33365266504170688</v>
      </c>
      <c r="AJ121" s="22">
        <v>0.69899999999999995</v>
      </c>
      <c r="AK121" s="21">
        <v>-0.35649999999999998</v>
      </c>
      <c r="AL121" s="21">
        <f>AF121+(0.69-AF$4)</f>
        <v>0.72935191417464162</v>
      </c>
      <c r="AM121" s="21">
        <f>AG121+(0.69-AG$4)</f>
        <v>0.68912441032125438</v>
      </c>
      <c r="AN121" s="21">
        <f>AH121+(-0.8815-AH$4)</f>
        <v>-0.26280172152961612</v>
      </c>
      <c r="AO121" s="21">
        <f>AI121+(-0.8815-AI$4)</f>
        <v>-0.33224016459273731</v>
      </c>
      <c r="AP121" s="20">
        <f t="shared" si="6"/>
        <v>3.035191417464167E-2</v>
      </c>
      <c r="AQ121" s="20">
        <f t="shared" si="7"/>
        <v>9.8755896787455777E-3</v>
      </c>
      <c r="AR121" s="20">
        <f t="shared" si="8"/>
        <v>9.3698278470383867E-2</v>
      </c>
      <c r="AS121" s="20">
        <f t="shared" si="9"/>
        <v>2.4259835407262675E-2</v>
      </c>
    </row>
    <row r="122" spans="1:45" ht="15" customHeight="1" x14ac:dyDescent="0.2">
      <c r="A122" s="26" t="s">
        <v>114</v>
      </c>
      <c r="B122" s="19" t="s">
        <v>30</v>
      </c>
      <c r="C122" s="20">
        <f t="shared" si="5"/>
        <v>-0.42068146923305594</v>
      </c>
      <c r="D122" s="20">
        <v>-2219.3469399999999</v>
      </c>
      <c r="E122" s="20">
        <v>-2219.4588399999998</v>
      </c>
      <c r="F122" s="20">
        <v>-2220.57276</v>
      </c>
      <c r="G122" s="20">
        <v>-2219.3575598585999</v>
      </c>
      <c r="H122" s="20">
        <v>-2219.4679093023001</v>
      </c>
      <c r="I122" s="20">
        <v>-2220.6077751333</v>
      </c>
      <c r="J122" s="20">
        <v>-2219.5372653480999</v>
      </c>
      <c r="K122" s="20">
        <v>-2219.5414268085001</v>
      </c>
      <c r="L122" s="20">
        <v>-2219.5510716235999</v>
      </c>
      <c r="M122" s="20">
        <v>-2219.6367862739999</v>
      </c>
      <c r="N122" s="20">
        <v>-2219.708140788</v>
      </c>
      <c r="O122" s="20">
        <v>-2220.7712304278002</v>
      </c>
      <c r="P122" s="20">
        <v>-2220.7785837834999</v>
      </c>
      <c r="Q122" s="20">
        <v>-2220.3653793983999</v>
      </c>
      <c r="R122" s="20">
        <v>-2220.4697046363999</v>
      </c>
      <c r="S122" s="20">
        <v>-2221.6105193142998</v>
      </c>
      <c r="T122" s="20">
        <f>(S122-Q122)/2*27.211324570273</f>
        <v>-16.940953193477664</v>
      </c>
      <c r="U122" s="20">
        <f>(R122-Q122)*27.211324570273</f>
        <v>-2.838827912089013</v>
      </c>
      <c r="V122" s="20">
        <f>(F122-I122-D122+G122)/2*27.211324570273</f>
        <v>0.33191386892208119</v>
      </c>
      <c r="W122" s="20">
        <f>(E122-H122-D122+G122)*27.211324570273</f>
        <v>-4.219269073459167E-2</v>
      </c>
      <c r="X122" s="20">
        <f>(P122-O122-K122+J122)/2*27.211324570273</f>
        <v>-4.3427849495206956E-2</v>
      </c>
      <c r="Y122" s="20">
        <f>(N122-M122-L122+J122)*27.211324570273</f>
        <v>-1.5659637962765125</v>
      </c>
      <c r="Z122" s="21">
        <f>(F122+P122-O122-D122-K122+J122-2*C122)*27.211324570273</f>
        <v>-10.548441583725523</v>
      </c>
      <c r="AA122" s="21">
        <f>(S122+F122-I122+P122-O122-Q122-D122+G122-K122+J122-2*C122)*27.211324570273</f>
        <v>-10.410334348126328</v>
      </c>
      <c r="AB122" s="21">
        <f>(E122+N122-M122-D122-L122+J122)*27.211324570273</f>
        <v>-4.6109110156867352</v>
      </c>
      <c r="AC122" s="21">
        <f>(R122+E122-H122+N122-M122-Q122-D122+G122-L122+J122)*27.211324570273</f>
        <v>-4.4469843990877429</v>
      </c>
      <c r="AD122" s="20">
        <v>4.84</v>
      </c>
      <c r="AE122" s="20">
        <v>4.4400000000000004</v>
      </c>
      <c r="AF122" s="21">
        <f>-Z122/2-AE122</f>
        <v>0.83422079186276132</v>
      </c>
      <c r="AG122" s="21">
        <f>-AA122/2-AE122</f>
        <v>0.76516717406316381</v>
      </c>
      <c r="AH122" s="21">
        <f>-AB122-AD122</f>
        <v>-0.22908898431326463</v>
      </c>
      <c r="AI122" s="21">
        <f>-AC122-AD122</f>
        <v>-0.39301560091225696</v>
      </c>
      <c r="AJ122" s="22">
        <v>0.69899999999999995</v>
      </c>
      <c r="AK122" s="21">
        <v>-0.35649999999999998</v>
      </c>
      <c r="AL122" s="21">
        <f>AF122+(0.69-AF$5)</f>
        <v>0.71841532091354798</v>
      </c>
      <c r="AM122" s="21">
        <f>AG122+(0.69-AG$5)</f>
        <v>0.67651076001006905</v>
      </c>
      <c r="AN122" s="21">
        <f>AH122+(-0.8815-AH$5)</f>
        <v>-0.28253938774609821</v>
      </c>
      <c r="AO122" s="21">
        <f>AI122+(-0.8815-AI$5)</f>
        <v>-0.36106597243025185</v>
      </c>
      <c r="AP122" s="20">
        <f t="shared" si="6"/>
        <v>1.9415320913548029E-2</v>
      </c>
      <c r="AQ122" s="20">
        <f t="shared" si="7"/>
        <v>2.2489239989930909E-2</v>
      </c>
      <c r="AR122" s="20">
        <f t="shared" si="8"/>
        <v>7.396061225390177E-2</v>
      </c>
      <c r="AS122" s="20">
        <f t="shared" si="9"/>
        <v>4.5659724302518634E-3</v>
      </c>
    </row>
    <row r="123" spans="1:45" ht="15" customHeight="1" x14ac:dyDescent="0.2">
      <c r="A123" s="26" t="s">
        <v>114</v>
      </c>
      <c r="B123" s="19" t="s">
        <v>31</v>
      </c>
      <c r="C123" s="20">
        <f t="shared" si="5"/>
        <v>-0.42068146923305594</v>
      </c>
      <c r="D123" s="20">
        <v>-2219.1577200000002</v>
      </c>
      <c r="E123" s="20">
        <v>-2219.2709100000002</v>
      </c>
      <c r="F123" s="20">
        <v>-2220.3937500000002</v>
      </c>
      <c r="G123" s="20">
        <v>-2219.1690649262</v>
      </c>
      <c r="H123" s="20">
        <v>-2219.2807147834001</v>
      </c>
      <c r="I123" s="20">
        <v>-2220.4294731331001</v>
      </c>
      <c r="J123" s="20">
        <v>-2219.5372818024998</v>
      </c>
      <c r="K123" s="20">
        <v>-2219.5414007139998</v>
      </c>
      <c r="L123" s="20">
        <v>-2219.5510097176002</v>
      </c>
      <c r="M123" s="20">
        <v>-2219.6367244050002</v>
      </c>
      <c r="N123" s="20">
        <v>-2219.7081294991999</v>
      </c>
      <c r="O123" s="20">
        <v>-2220.7712488708999</v>
      </c>
      <c r="P123" s="20">
        <v>-2220.7785992201998</v>
      </c>
      <c r="Q123" s="20">
        <v>-2219.6590669584998</v>
      </c>
      <c r="R123" s="20">
        <v>-2219.7638425422001</v>
      </c>
      <c r="S123" s="20">
        <v>-2220.9069641322999</v>
      </c>
      <c r="T123" s="20">
        <f>(S123-Q123)/2*27.211324570273</f>
        <v>-16.978467513300227</v>
      </c>
      <c r="U123" s="20">
        <f>(R123-Q123)*27.211324570273</f>
        <v>-2.8510824151087335</v>
      </c>
      <c r="V123" s="20">
        <f>(F123-I123-D123+G123)/2*27.211324570273</f>
        <v>0.33168165020008028</v>
      </c>
      <c r="W123" s="20">
        <f>(E123-H123-D123+G123)*27.211324570273</f>
        <v>-4.1909325614490817E-2</v>
      </c>
      <c r="X123" s="20">
        <f>(P123-O123-K123+J123)/2*27.211324570273</f>
        <v>-4.3965851401792648E-2</v>
      </c>
      <c r="Y123" s="20">
        <f>(N123-M123-L123+J123)*27.211324570273</f>
        <v>-1.5694724407688374</v>
      </c>
      <c r="Z123" s="21">
        <f>(F123+P123-O123-D123-K123+J123-2*C123)*27.211324570273</f>
        <v>-10.827345211398882</v>
      </c>
      <c r="AA123" s="21">
        <f>(S123+F123-I123+P123-O123-Q123-D123+G123-K123+J123-2*C123)*27.211324570273</f>
        <v>-10.486903428991504</v>
      </c>
      <c r="AB123" s="21">
        <f>(E123+N123-M123-D123-L123+J123)*27.211324570273</f>
        <v>-4.6495222688665194</v>
      </c>
      <c r="AC123" s="21">
        <f>(R123+E123-H123+N123-M123-Q123-D123+G123-L123+J123)*27.211324570273</f>
        <v>-4.462464181479687</v>
      </c>
      <c r="AD123" s="20">
        <v>4.84</v>
      </c>
      <c r="AE123" s="20">
        <v>4.4400000000000004</v>
      </c>
      <c r="AF123" s="21">
        <f>-Z123/2-AE123</f>
        <v>0.97367260569944047</v>
      </c>
      <c r="AG123" s="21">
        <f>-AA123/2-AE123</f>
        <v>0.80345171449575137</v>
      </c>
      <c r="AH123" s="21">
        <f>-AB123-AD123</f>
        <v>-0.19047773113348043</v>
      </c>
      <c r="AI123" s="21">
        <f>-AC123-AD123</f>
        <v>-0.37753581852031282</v>
      </c>
      <c r="AJ123" s="22">
        <v>0.69899999999999995</v>
      </c>
      <c r="AK123" s="21">
        <v>-0.35649999999999998</v>
      </c>
      <c r="AL123" s="21">
        <f>AF123+(0.69-AF$6)</f>
        <v>0.72935191417464162</v>
      </c>
      <c r="AM123" s="21">
        <f>AG123+(0.69-AG$6)</f>
        <v>0.6870646531854363</v>
      </c>
      <c r="AN123" s="21">
        <f>AH123+(-0.8815-AH$6)</f>
        <v>-0.26280172152961612</v>
      </c>
      <c r="AO123" s="21">
        <f>AI123+(-0.8815-AI$6)</f>
        <v>-0.32591330578771149</v>
      </c>
      <c r="AP123" s="20">
        <f t="shared" si="6"/>
        <v>3.035191417464167E-2</v>
      </c>
      <c r="AQ123" s="20">
        <f t="shared" si="7"/>
        <v>1.1935346814563652E-2</v>
      </c>
      <c r="AR123" s="20">
        <f t="shared" si="8"/>
        <v>9.3698278470383867E-2</v>
      </c>
      <c r="AS123" s="20">
        <f t="shared" si="9"/>
        <v>3.058669421228849E-2</v>
      </c>
    </row>
    <row r="124" spans="1:45" ht="15" customHeight="1" x14ac:dyDescent="0.2">
      <c r="A124" s="26" t="s">
        <v>114</v>
      </c>
      <c r="B124" s="19" t="s">
        <v>32</v>
      </c>
      <c r="C124" s="20">
        <f t="shared" si="5"/>
        <v>-0.42068146923305594</v>
      </c>
      <c r="D124" s="20">
        <v>-2219.3469399999999</v>
      </c>
      <c r="E124" s="20">
        <v>-2219.4588399999998</v>
      </c>
      <c r="F124" s="20">
        <v>-2220.57276</v>
      </c>
      <c r="G124" s="20">
        <v>-2219.3575598585999</v>
      </c>
      <c r="H124" s="20">
        <v>-2219.4679093023001</v>
      </c>
      <c r="I124" s="20">
        <v>-2220.6077751333</v>
      </c>
      <c r="J124" s="20">
        <v>-2219.5372653480999</v>
      </c>
      <c r="K124" s="20">
        <v>-2219.5414268085001</v>
      </c>
      <c r="L124" s="20">
        <v>-2219.5510716235999</v>
      </c>
      <c r="M124" s="20">
        <v>-2219.6367862739999</v>
      </c>
      <c r="N124" s="20">
        <v>-2219.708140788</v>
      </c>
      <c r="O124" s="20">
        <v>-2220.7712304278002</v>
      </c>
      <c r="P124" s="20">
        <v>-2220.7785837834999</v>
      </c>
      <c r="Q124" s="20">
        <v>-2219.8660014079001</v>
      </c>
      <c r="R124" s="20">
        <v>-2219.9688205309999</v>
      </c>
      <c r="S124" s="20">
        <v>-2221.1031572675001</v>
      </c>
      <c r="T124" s="20">
        <f>(S124-Q124)/2*27.211324570273</f>
        <v>-16.83232481979643</v>
      </c>
      <c r="U124" s="20">
        <f>(R124-Q124)*27.211324570273</f>
        <v>-2.797844530700452</v>
      </c>
      <c r="V124" s="20">
        <f>(F124-I124-D124+G124)/2*27.211324570273</f>
        <v>0.33191386892208119</v>
      </c>
      <c r="W124" s="20">
        <f>(E124-H124-D124+G124)*27.211324570273</f>
        <v>-4.219269073459167E-2</v>
      </c>
      <c r="X124" s="20">
        <f>(P124-O124-K124+J124)/2*27.211324570273</f>
        <v>-4.3427849495206956E-2</v>
      </c>
      <c r="Y124" s="20">
        <f>(N124-M124-L124+J124)*27.211324570273</f>
        <v>-1.5659637962765125</v>
      </c>
      <c r="Z124" s="21">
        <f>(F124+P124-O124-D124-K124+J124-2*C124)*27.211324570273</f>
        <v>-10.548441583725523</v>
      </c>
      <c r="AA124" s="21">
        <f>(S124+F124-I124+P124-O124-Q124-D124+G124-K124+J124-2*C124)*27.211324570273</f>
        <v>-10.193077600726737</v>
      </c>
      <c r="AB124" s="21">
        <f>(E124+N124-M124-D124-L124+J124)*27.211324570273</f>
        <v>-4.6109110156867352</v>
      </c>
      <c r="AC124" s="21">
        <f>(R124+E124-H124+N124-M124-Q124-D124+G124-L124+J124)*27.211324570273</f>
        <v>-4.4060010177115565</v>
      </c>
      <c r="AD124" s="20">
        <v>4.84</v>
      </c>
      <c r="AE124" s="20">
        <v>4.4400000000000004</v>
      </c>
      <c r="AF124" s="21">
        <f>-Z124/2-AE124</f>
        <v>0.83422079186276132</v>
      </c>
      <c r="AG124" s="21">
        <f>-AA124/2-AE124</f>
        <v>0.65653880036336787</v>
      </c>
      <c r="AH124" s="21">
        <f>-AB124-AD124</f>
        <v>-0.22908898431326463</v>
      </c>
      <c r="AI124" s="21">
        <f>-AC124-AD124</f>
        <v>-0.43399898228844336</v>
      </c>
      <c r="AJ124" s="22">
        <v>0.69899999999999995</v>
      </c>
      <c r="AK124" s="21">
        <v>-0.35649999999999998</v>
      </c>
      <c r="AL124" s="21">
        <f>AF124+(0.69-AF$7)</f>
        <v>0.71841532091354798</v>
      </c>
      <c r="AM124" s="21">
        <f>AG124+(0.69-AG$7)</f>
        <v>0.67711745960441094</v>
      </c>
      <c r="AN124" s="21">
        <f>AH124+(-0.8815-AH$7)</f>
        <v>-0.28253938774609821</v>
      </c>
      <c r="AO124" s="21">
        <f>AI124+(-0.8815-AI$7)</f>
        <v>-0.35449553959773805</v>
      </c>
      <c r="AP124" s="20">
        <f t="shared" si="6"/>
        <v>1.9415320913548029E-2</v>
      </c>
      <c r="AQ124" s="20">
        <f t="shared" si="7"/>
        <v>2.1882540395589012E-2</v>
      </c>
      <c r="AR124" s="20">
        <f t="shared" si="8"/>
        <v>7.396061225390177E-2</v>
      </c>
      <c r="AS124" s="20">
        <f t="shared" si="9"/>
        <v>2.0044604022619317E-3</v>
      </c>
    </row>
    <row r="125" spans="1:45" ht="15" customHeight="1" x14ac:dyDescent="0.2">
      <c r="A125" s="26" t="s">
        <v>114</v>
      </c>
      <c r="B125" s="19" t="s">
        <v>33</v>
      </c>
      <c r="C125" s="20">
        <f t="shared" si="5"/>
        <v>-0.42068146923305594</v>
      </c>
      <c r="D125" s="20">
        <v>-2219.8558699999999</v>
      </c>
      <c r="E125" s="20">
        <v>-2219.9425799999999</v>
      </c>
      <c r="F125" s="20">
        <v>-2221.0694800000001</v>
      </c>
      <c r="G125" s="20">
        <v>-2219.8662553689001</v>
      </c>
      <c r="H125" s="20">
        <v>-2219.9503224989999</v>
      </c>
      <c r="I125" s="20">
        <v>-2221.1035601658</v>
      </c>
      <c r="J125" s="20">
        <v>-2219.5370793558</v>
      </c>
      <c r="K125" s="20">
        <v>-2219.5412969460999</v>
      </c>
      <c r="L125" s="20">
        <v>-2219.5508737532</v>
      </c>
      <c r="M125" s="20">
        <v>-2219.6363909772999</v>
      </c>
      <c r="N125" s="20">
        <v>-2219.7079273907998</v>
      </c>
      <c r="O125" s="20">
        <v>-2220.7710791477998</v>
      </c>
      <c r="P125" s="20">
        <v>-2220.7783386996998</v>
      </c>
      <c r="Q125" s="20">
        <v>-2219.8664994933001</v>
      </c>
      <c r="R125" s="20">
        <v>-2219.9692500124002</v>
      </c>
      <c r="S125" s="20">
        <v>-2221.1037760969998</v>
      </c>
      <c r="T125" s="20">
        <f>(S125-Q125)/2*27.211324570273</f>
        <v>-16.833967623238564</v>
      </c>
      <c r="U125" s="20">
        <f>(R125-Q125)*27.211324570273</f>
        <v>-2.7959777249948781</v>
      </c>
      <c r="V125" s="20">
        <f>(F125-I125-D125+G125)/2*27.211324570273</f>
        <v>0.32238340453208308</v>
      </c>
      <c r="W125" s="20">
        <f>(E125-H125-D125+G125)*27.211324570273</f>
        <v>-7.191599065211203E-2</v>
      </c>
      <c r="X125" s="20">
        <f>(P125-O125-K125+J125)/2*27.211324570273</f>
        <v>-4.1387902214595887E-2</v>
      </c>
      <c r="Y125" s="20">
        <f>(N125-M125-L125+J125)*27.211324570273</f>
        <v>-1.5712367414345991</v>
      </c>
      <c r="Z125" s="21">
        <f>(F125+P125-O125-D125-K125+J125-2*C125)*27.211324570273</f>
        <v>-10.212111416164856</v>
      </c>
      <c r="AA125" s="21">
        <f>(S125+F125-I125+P125-O125-Q125-D125+G125-K125+J125-2*C125)*27.211324570273</f>
        <v>-10.211344241817407</v>
      </c>
      <c r="AB125" s="21">
        <f>(E125+N125-M125-D125-L125+J125)*27.211324570273</f>
        <v>-3.930730694911662</v>
      </c>
      <c r="AC125" s="21">
        <f>(R125+E125-H125+N125-M125-Q125-D125+G125-L125+J125)*27.211324570273</f>
        <v>-4.439130457081589</v>
      </c>
      <c r="AD125" s="20">
        <v>4.84</v>
      </c>
      <c r="AE125" s="20">
        <v>4.4400000000000004</v>
      </c>
      <c r="AF125" s="21">
        <f>-Z125/2-AE125</f>
        <v>0.66605570808242742</v>
      </c>
      <c r="AG125" s="21">
        <f>-AA125/2-AE125</f>
        <v>0.66567212090870331</v>
      </c>
      <c r="AH125" s="21">
        <f>-AB125-AD125</f>
        <v>-0.90926930508833781</v>
      </c>
      <c r="AI125" s="21">
        <f>-AC125-AD125</f>
        <v>-0.40086954291841081</v>
      </c>
      <c r="AJ125" s="22">
        <v>0.69899999999999995</v>
      </c>
      <c r="AK125" s="21">
        <v>-0.35649999999999998</v>
      </c>
      <c r="AL125" s="21">
        <f>AF125+(0.69-AF$8)</f>
        <v>0.68661768542195523</v>
      </c>
      <c r="AM125" s="21">
        <f>AG125+(0.69-AG$8)</f>
        <v>0.68404170359797822</v>
      </c>
      <c r="AN125" s="21">
        <f>AH125+(-0.8815-AH$8)</f>
        <v>-0.4035954359662961</v>
      </c>
      <c r="AO125" s="21">
        <f>AI125+(-0.8815-AI$8)</f>
        <v>-0.36345281102730098</v>
      </c>
      <c r="AP125" s="20">
        <f t="shared" si="6"/>
        <v>1.2382314578044729E-2</v>
      </c>
      <c r="AQ125" s="20">
        <f t="shared" si="7"/>
        <v>1.4958296402021731E-2</v>
      </c>
      <c r="AR125" s="20">
        <f t="shared" si="8"/>
        <v>4.7095435966296118E-2</v>
      </c>
      <c r="AS125" s="20">
        <f t="shared" si="9"/>
        <v>6.952811027300998E-3</v>
      </c>
    </row>
    <row r="126" spans="1:45" ht="15" customHeight="1" x14ac:dyDescent="0.2">
      <c r="A126" s="26" t="s">
        <v>114</v>
      </c>
      <c r="B126" s="19" t="s">
        <v>174</v>
      </c>
      <c r="C126" s="20">
        <f t="shared" si="5"/>
        <v>-0.42068146923305594</v>
      </c>
      <c r="D126" s="20">
        <v>-2219.85646</v>
      </c>
      <c r="E126" s="20">
        <v>-2219.95568</v>
      </c>
      <c r="F126" s="20">
        <v>-2221.0700999999999</v>
      </c>
      <c r="G126" s="20">
        <v>-2219.8668491316998</v>
      </c>
      <c r="H126" s="20">
        <v>-2219.9639268476999</v>
      </c>
      <c r="I126" s="20">
        <v>-2221.1042750081001</v>
      </c>
      <c r="J126" s="20">
        <v>-2219.5370993145002</v>
      </c>
      <c r="K126" s="20">
        <v>-2219.5413084871002</v>
      </c>
      <c r="L126" s="20">
        <v>-2219.5508864044</v>
      </c>
      <c r="M126" s="20">
        <v>-2219.6363930801999</v>
      </c>
      <c r="N126" s="20">
        <v>-2219.7079245558998</v>
      </c>
      <c r="O126" s="20">
        <v>-2220.7710726515002</v>
      </c>
      <c r="P126" s="20">
        <v>-2220.7783179674998</v>
      </c>
      <c r="Q126" s="20">
        <v>-2219.8664991506998</v>
      </c>
      <c r="R126" s="20">
        <v>-2219.9691254181998</v>
      </c>
      <c r="S126" s="20">
        <v>-2221.1037754457002</v>
      </c>
      <c r="T126" s="20">
        <f>(S126-Q126)/2*27.211324570273</f>
        <v>-16.833963423179767</v>
      </c>
      <c r="U126" s="20">
        <f>(R126-Q126)*27.211324570273</f>
        <v>-2.7925966743781543</v>
      </c>
      <c r="V126" s="20">
        <f>(F126-I126-D126+G126)/2*27.211324570273</f>
        <v>0.32362260145881916</v>
      </c>
      <c r="W126" s="20">
        <f>(E126-H126-D126+G126)*27.211324570273</f>
        <v>-5.8294385245740328E-2</v>
      </c>
      <c r="X126" s="20">
        <f>(P126-O126-K126+J126)/2*27.211324570273</f>
        <v>-4.1308741744753817E-2</v>
      </c>
      <c r="Y126" s="20">
        <f>(N126-M126-L126+J126)*27.211324570273</f>
        <v>-1.5713012241177504</v>
      </c>
      <c r="Z126" s="21">
        <f>(F126+P126-O126-D126-K126+J126-2*C126)*27.211324570273</f>
        <v>-10.212769434954032</v>
      </c>
      <c r="AA126" s="21">
        <f>(S126+F126-I126+P126-O126-Q126-D126+G126-K126+J126-2*C126)*27.211324570273</f>
        <v>-10.208699126919031</v>
      </c>
      <c r="AB126" s="21">
        <f>(E126+N126-M126-D126-L126+J126)*27.211324570273</f>
        <v>-4.2712088479818533</v>
      </c>
      <c r="AC126" s="21">
        <f>(R126+E126-H126+N126-M126-Q126-D126+G126-L126+J126)*27.211324570273</f>
        <v>-4.4221922837540193</v>
      </c>
      <c r="AD126" s="20">
        <v>4.84</v>
      </c>
      <c r="AE126" s="20">
        <v>4.4400000000000004</v>
      </c>
      <c r="AF126" s="21">
        <f>-Z126/2-AE126</f>
        <v>0.66638471747701544</v>
      </c>
      <c r="AG126" s="21">
        <f>-AA126/2-AE126</f>
        <v>0.66434956345951512</v>
      </c>
      <c r="AH126" s="21">
        <f>-AB126-AD126</f>
        <v>-0.56879115201814656</v>
      </c>
      <c r="AI126" s="21">
        <f>-AC126-AD126</f>
        <v>-0.41780771624598056</v>
      </c>
      <c r="AJ126" s="22">
        <v>0.69899999999999995</v>
      </c>
      <c r="AK126" s="21">
        <v>-0.35649999999999998</v>
      </c>
      <c r="AL126" s="21">
        <f>AF126+(0.69-AF$9)</f>
        <v>0.68195742226698508</v>
      </c>
      <c r="AM126" s="21">
        <f>AG126+(0.69-AG$9)</f>
        <v>0.68197670420688672</v>
      </c>
      <c r="AN126" s="21">
        <f>AH126+(-0.8815-AH$9)</f>
        <v>-0.44268803844280136</v>
      </c>
      <c r="AO126" s="21">
        <f>AI126+(-0.8815-AI$9)</f>
        <v>-0.33989187202645921</v>
      </c>
      <c r="AP126" s="20">
        <f t="shared" si="6"/>
        <v>1.7042577733014874E-2</v>
      </c>
      <c r="AQ126" s="20">
        <f t="shared" si="7"/>
        <v>1.7023295793113236E-2</v>
      </c>
      <c r="AR126" s="20">
        <f t="shared" si="8"/>
        <v>8.6188038442801373E-2</v>
      </c>
      <c r="AS126" s="20">
        <f t="shared" si="9"/>
        <v>1.6608127973540776E-2</v>
      </c>
    </row>
    <row r="127" spans="1:45" ht="15" customHeight="1" x14ac:dyDescent="0.2">
      <c r="A127" s="26" t="s">
        <v>114</v>
      </c>
      <c r="B127" s="19" t="s">
        <v>43</v>
      </c>
      <c r="C127" s="20">
        <f t="shared" si="5"/>
        <v>-0.42068146923305594</v>
      </c>
      <c r="D127" s="20">
        <v>-2219.3469399999999</v>
      </c>
      <c r="E127" s="20">
        <v>-2219.4588399999998</v>
      </c>
      <c r="F127" s="20">
        <v>-2220.57276</v>
      </c>
      <c r="G127" s="20">
        <v>-2219.3575598585999</v>
      </c>
      <c r="H127" s="20">
        <v>-2219.4679093023001</v>
      </c>
      <c r="I127" s="20">
        <v>-2220.6077751333</v>
      </c>
      <c r="J127" s="20">
        <v>-2219.5372653480999</v>
      </c>
      <c r="K127" s="20">
        <v>-2219.5414268085001</v>
      </c>
      <c r="L127" s="20">
        <v>-2219.5510716235999</v>
      </c>
      <c r="M127" s="20">
        <v>-2219.6367862739999</v>
      </c>
      <c r="N127" s="20">
        <v>-2219.708140788</v>
      </c>
      <c r="O127" s="20">
        <v>-2220.7712304278002</v>
      </c>
      <c r="P127" s="20">
        <v>-2220.7785837834999</v>
      </c>
      <c r="Q127" s="20">
        <v>-2217.6055207121999</v>
      </c>
      <c r="R127" s="20">
        <v>-2217.70448587284</v>
      </c>
      <c r="S127" s="20">
        <v>-2218.8524692763199</v>
      </c>
      <c r="T127" s="20">
        <f>(S127-Q127)/2*27.211324570273</f>
        <v>-16.96556105035226</v>
      </c>
      <c r="U127" s="20">
        <f>(R127-Q127)*27.211324570273</f>
        <v>-2.6929731073267282</v>
      </c>
      <c r="V127" s="20">
        <f>(F127-I127-D127+G127)/2*27.211324570273</f>
        <v>0.33191386892208119</v>
      </c>
      <c r="W127" s="20">
        <f>(E127-H127-D127+G127)*27.211324570273</f>
        <v>-4.219269073459167E-2</v>
      </c>
      <c r="X127" s="20">
        <f>(P127-O127-K127+J127)/2*27.211324570273</f>
        <v>-4.3427849495206956E-2</v>
      </c>
      <c r="Y127" s="20">
        <f>(N127-M127-L127+J127)*27.211324570273</f>
        <v>-1.5659637962765125</v>
      </c>
      <c r="Z127" s="21">
        <f>(F127+P127-O127-D127-K127+J127-2*C127)*27.211324570273</f>
        <v>-10.548441583725523</v>
      </c>
      <c r="AA127" s="21">
        <f>(S127+F127-I127+P127-O127-Q127-D127+G127-K127+J127-2*C127)*27.211324570273</f>
        <v>-10.459550061850774</v>
      </c>
      <c r="AB127" s="21">
        <f>(E127+N127-M127-D127-L127+J127)*27.211324570273</f>
        <v>-4.6109110156867352</v>
      </c>
      <c r="AC127" s="21">
        <f>(R127+E127-H127+N127-M127-Q127-D127+G127-L127+J127)*27.211324570273</f>
        <v>-4.3011295943378327</v>
      </c>
      <c r="AD127" s="20">
        <v>4.84</v>
      </c>
      <c r="AE127" s="20">
        <v>4.4400000000000004</v>
      </c>
      <c r="AF127" s="21">
        <f>-Z127/2-AE127</f>
        <v>0.83422079186276132</v>
      </c>
      <c r="AG127" s="21">
        <f>-AA127/2-AE127</f>
        <v>0.78977503092538637</v>
      </c>
      <c r="AH127" s="21">
        <f>-AB127-AD127</f>
        <v>-0.22908898431326463</v>
      </c>
      <c r="AI127" s="21">
        <f>-AC127-AD127</f>
        <v>-0.53887040566216715</v>
      </c>
      <c r="AJ127" s="22">
        <v>0.69899999999999995</v>
      </c>
      <c r="AK127" s="21">
        <v>-0.35649999999999998</v>
      </c>
      <c r="AL127" s="21">
        <f>AF127+(0.69-AF$10)</f>
        <v>0.71841532091354798</v>
      </c>
      <c r="AM127" s="21">
        <f>AG127+(0.69-AG$10)</f>
        <v>0.68311266393331804</v>
      </c>
      <c r="AN127" s="21">
        <f>AH127+(-0.8815-AH$10)</f>
        <v>-0.28253938774609821</v>
      </c>
      <c r="AO127" s="21">
        <f>AI127+(-0.8815-AI$10)</f>
        <v>-0.35635229403479274</v>
      </c>
      <c r="AP127" s="20">
        <f t="shared" si="6"/>
        <v>1.9415320913548029E-2</v>
      </c>
      <c r="AQ127" s="20">
        <f t="shared" si="7"/>
        <v>1.5887336066681912E-2</v>
      </c>
      <c r="AR127" s="20">
        <f t="shared" si="8"/>
        <v>7.396061225390177E-2</v>
      </c>
      <c r="AS127" s="20">
        <f t="shared" si="9"/>
        <v>1.4770596520724544E-4</v>
      </c>
    </row>
    <row r="128" spans="1:45" x14ac:dyDescent="0.2">
      <c r="A128" s="26" t="s">
        <v>134</v>
      </c>
      <c r="B128" s="19" t="s">
        <v>27</v>
      </c>
      <c r="C128" s="20">
        <f t="shared" si="5"/>
        <v>-0.42068146923305594</v>
      </c>
      <c r="D128" s="20">
        <v>-840.65106000000003</v>
      </c>
      <c r="E128" s="20">
        <v>-840.74451999999997</v>
      </c>
      <c r="F128" s="20">
        <v>-841.87319000000002</v>
      </c>
      <c r="G128" s="20">
        <v>-840.69422198849998</v>
      </c>
      <c r="H128" s="20">
        <v>-840.78566109830001</v>
      </c>
      <c r="I128" s="20">
        <v>-841.94008256059999</v>
      </c>
      <c r="J128" s="20">
        <v>-840.85154918490002</v>
      </c>
      <c r="K128" s="20">
        <v>-840.86001625400002</v>
      </c>
      <c r="L128" s="20">
        <v>-840.86592343919995</v>
      </c>
      <c r="M128" s="20">
        <v>-840.9240323153</v>
      </c>
      <c r="N128" s="20">
        <v>-841.00275746939997</v>
      </c>
      <c r="O128" s="20">
        <v>-842.08002694799995</v>
      </c>
      <c r="P128" s="20">
        <v>-842.09898902429995</v>
      </c>
      <c r="Q128" s="20">
        <v>-841.25503959870002</v>
      </c>
      <c r="R128" s="20">
        <v>-841.34328685080004</v>
      </c>
      <c r="S128" s="20">
        <v>-842.49839241760003</v>
      </c>
      <c r="T128" s="20">
        <f>(S128-Q128)/2*27.211324570273</f>
        <v>-16.91663855522598</v>
      </c>
      <c r="U128" s="20">
        <f>(R128-Q128)*27.211324570273</f>
        <v>-2.4013246193282995</v>
      </c>
      <c r="V128" s="20">
        <f>(F128-I128-D128+G128)/2*27.211324570273</f>
        <v>0.3228701498259704</v>
      </c>
      <c r="W128" s="20">
        <f>(E128-H128-D128+G128)*27.211324570273</f>
        <v>-5.4991099150397058E-2</v>
      </c>
      <c r="X128" s="20">
        <f>(P128-O128-K128+J128)/2*27.211324570273</f>
        <v>-0.14279152364336462</v>
      </c>
      <c r="Y128" s="20">
        <f>(N128-M128-L128+J128)*27.211324570273</f>
        <v>-1.7510732208481961</v>
      </c>
      <c r="Z128" s="21">
        <f>(F128+P128-O128-D128-K128+J128-2*C128)*27.211324570273</f>
        <v>-10.646759144354276</v>
      </c>
      <c r="AA128" s="21">
        <f>(S128+F128-I128+P128-O128-Q128-D128+G128-K128+J128-2*C128)*27.211324570273</f>
        <v>-10.578519858092935</v>
      </c>
      <c r="AB128" s="21">
        <f>(E128+N128-M128-D128-L128+J128)*27.211324570273</f>
        <v>-4.294243615184179</v>
      </c>
      <c r="AC128" s="21">
        <f>(R128+E128-H128+N128-M128-Q128-D128+G128-L128+J128)*27.211324570273</f>
        <v>-4.2073889393299861</v>
      </c>
      <c r="AD128" s="20">
        <v>4.84</v>
      </c>
      <c r="AE128" s="20">
        <v>4.4400000000000004</v>
      </c>
      <c r="AF128" s="21">
        <f>-Z128/2-AE128</f>
        <v>0.88337957217713736</v>
      </c>
      <c r="AG128" s="21">
        <f>-AA128/2-AE128</f>
        <v>0.8492599290464673</v>
      </c>
      <c r="AH128" s="21">
        <f>-AB128-AD128</f>
        <v>-0.54575638481582089</v>
      </c>
      <c r="AI128" s="21">
        <f>-AC128-AD128</f>
        <v>-0.63261106067001371</v>
      </c>
      <c r="AJ128" s="22">
        <v>0.67600000000000005</v>
      </c>
      <c r="AK128" s="21">
        <v>-0.72299999999999998</v>
      </c>
      <c r="AL128" s="27">
        <f>AF128+(0.69-AF$2)</f>
        <v>0.70057306220307813</v>
      </c>
      <c r="AM128" s="27">
        <f>AG128+(0.69-AG$2)</f>
        <v>0.69198995328353119</v>
      </c>
      <c r="AN128" s="27">
        <f>AH128+(-0.8815-AH$2)</f>
        <v>-0.7202773319267477</v>
      </c>
      <c r="AO128" s="27">
        <f>AI128+(-0.8815-AI$2)</f>
        <v>-0.73847269295014417</v>
      </c>
      <c r="AP128" s="20">
        <f t="shared" si="6"/>
        <v>2.4573062203078089E-2</v>
      </c>
      <c r="AQ128" s="20">
        <f t="shared" si="7"/>
        <v>1.5989953283531144E-2</v>
      </c>
      <c r="AR128" s="20">
        <f t="shared" si="8"/>
        <v>2.7226680732522768E-3</v>
      </c>
      <c r="AS128" s="20">
        <f t="shared" si="9"/>
        <v>1.5472692950144196E-2</v>
      </c>
    </row>
    <row r="129" spans="1:45" ht="15" customHeight="1" x14ac:dyDescent="0.2">
      <c r="A129" s="26" t="s">
        <v>134</v>
      </c>
      <c r="B129" s="19" t="s">
        <v>145</v>
      </c>
      <c r="C129" s="20">
        <f t="shared" si="5"/>
        <v>-0.42068146923305594</v>
      </c>
      <c r="D129" s="20">
        <v>-840.43966999999998</v>
      </c>
      <c r="E129" s="20">
        <v>-840.53138999999999</v>
      </c>
      <c r="F129" s="20">
        <v>-841.66160000000002</v>
      </c>
      <c r="G129" s="20">
        <v>-840.48391138459999</v>
      </c>
      <c r="H129" s="20">
        <v>-840.57224061290003</v>
      </c>
      <c r="I129" s="20">
        <v>-841.72796865110001</v>
      </c>
      <c r="J129" s="20">
        <v>-840.85182342830001</v>
      </c>
      <c r="K129" s="20">
        <v>-840.85993474750001</v>
      </c>
      <c r="L129" s="20">
        <v>-840.86600013299994</v>
      </c>
      <c r="M129" s="20">
        <v>-840.92433360120003</v>
      </c>
      <c r="N129" s="20">
        <v>-841.00307273620001</v>
      </c>
      <c r="O129" s="20">
        <v>-842.0802476778</v>
      </c>
      <c r="P129" s="20">
        <v>-842.09893287379998</v>
      </c>
      <c r="Q129" s="20">
        <v>-841.04845457709996</v>
      </c>
      <c r="R129" s="20">
        <v>-841.13452803109999</v>
      </c>
      <c r="S129" s="20">
        <v>-842.29110550220003</v>
      </c>
      <c r="T129" s="20">
        <f>(S129-Q129)/2*27.211324570273</f>
        <v>-16.907088825223941</v>
      </c>
      <c r="U129" s="20">
        <f>(R129-Q129)*27.211324570273</f>
        <v>-2.3421726936792631</v>
      </c>
      <c r="V129" s="20">
        <f>(F129-I129-D129+G129)/2*27.211324570273</f>
        <v>0.30105611529192533</v>
      </c>
      <c r="W129" s="20">
        <f>(E129-H129-D129+G129)*27.211324570273</f>
        <v>-9.2267389271559974E-2</v>
      </c>
      <c r="X129" s="20">
        <f>(P129-O129-K129+J129)/2*27.211324570273</f>
        <v>-0.14386459678518143</v>
      </c>
      <c r="Y129" s="20">
        <f>(N129-M129-L129+J129)*27.211324570273</f>
        <v>-1.7568292459401025</v>
      </c>
      <c r="Z129" s="21">
        <f>(F129+P129-O129-D129-K129+J129-2*C129)*27.211324570273</f>
        <v>-10.64346302572522</v>
      </c>
      <c r="AA129" s="21">
        <f>(S129+F129-I129+P129-O129-Q129-D129+G129-K129+J129-2*C129)*27.211324570273</f>
        <v>-10.605194613431298</v>
      </c>
      <c r="AB129" s="21">
        <f>(E129+N129-M129-D129-L129+J129)*27.211324570273</f>
        <v>-4.2526519355288901</v>
      </c>
      <c r="AC129" s="21">
        <f>(R129+E129-H129+N129-M129-Q129-D129+G129-L129+J129)*27.211324570273</f>
        <v>-4.1912693288878318</v>
      </c>
      <c r="AD129" s="20">
        <v>4.84</v>
      </c>
      <c r="AE129" s="20">
        <v>4.4400000000000004</v>
      </c>
      <c r="AF129" s="21">
        <f>-Z129/2-AE129</f>
        <v>0.88173151286260953</v>
      </c>
      <c r="AG129" s="21">
        <f>-AA129/2-AE129</f>
        <v>0.86259730671564849</v>
      </c>
      <c r="AH129" s="21">
        <f>-AB129-AD129</f>
        <v>-0.58734806447110977</v>
      </c>
      <c r="AI129" s="21">
        <f>-AC129-AD129</f>
        <v>-0.64873067111216809</v>
      </c>
      <c r="AJ129" s="22">
        <v>0.67600000000000005</v>
      </c>
      <c r="AK129" s="21">
        <v>-0.72299999999999998</v>
      </c>
      <c r="AL129" s="27">
        <f>AF129+(0.69-AF$3)</f>
        <v>0.722449671899835</v>
      </c>
      <c r="AM129" s="27">
        <f>AG129+(0.69-AG$3)</f>
        <v>0.71391712025603882</v>
      </c>
      <c r="AN129" s="27">
        <f>AH129+(-0.8815-AH$3)</f>
        <v>-0.65894282130057835</v>
      </c>
      <c r="AO129" s="27">
        <f>AI129+(-0.8815-AI$3)</f>
        <v>-0.68642521420491409</v>
      </c>
      <c r="AP129" s="20">
        <f t="shared" si="6"/>
        <v>4.6449671899834954E-2</v>
      </c>
      <c r="AQ129" s="20">
        <f t="shared" si="7"/>
        <v>3.7917120256038772E-2</v>
      </c>
      <c r="AR129" s="20">
        <f t="shared" si="8"/>
        <v>6.4057178699421624E-2</v>
      </c>
      <c r="AS129" s="20">
        <f t="shared" si="9"/>
        <v>3.6574785795085885E-2</v>
      </c>
    </row>
    <row r="130" spans="1:45" ht="15" customHeight="1" x14ac:dyDescent="0.2">
      <c r="A130" s="26" t="s">
        <v>134</v>
      </c>
      <c r="B130" s="19" t="s">
        <v>29</v>
      </c>
      <c r="C130" s="20">
        <f t="shared" ref="C130:C193" si="10">-11.4473/27.211324570273</f>
        <v>-0.42068146923305594</v>
      </c>
      <c r="D130" s="20">
        <v>-840.74186999999995</v>
      </c>
      <c r="E130" s="20">
        <v>-840.83190999999999</v>
      </c>
      <c r="F130" s="20">
        <v>-841.96888999999999</v>
      </c>
      <c r="G130" s="20">
        <v>-840.78618332680003</v>
      </c>
      <c r="H130" s="20">
        <v>-840.87434903229996</v>
      </c>
      <c r="I130" s="20">
        <v>-842.03693565519995</v>
      </c>
      <c r="J130" s="20">
        <v>-840.85178944890004</v>
      </c>
      <c r="K130" s="20">
        <v>-840.86000293279994</v>
      </c>
      <c r="L130" s="20">
        <v>-840.86602015690005</v>
      </c>
      <c r="M130" s="20">
        <v>-840.92420558289996</v>
      </c>
      <c r="N130" s="20">
        <v>-841.00298305750005</v>
      </c>
      <c r="O130" s="20">
        <v>-842.08017828499999</v>
      </c>
      <c r="P130" s="20">
        <v>-842.09901793589995</v>
      </c>
      <c r="Q130" s="20">
        <v>-841.34115517370003</v>
      </c>
      <c r="R130" s="20">
        <v>-841.4258628476</v>
      </c>
      <c r="S130" s="20">
        <v>-842.58979965449998</v>
      </c>
      <c r="T130" s="20">
        <f>(S130-Q130)/2*27.211324570273</f>
        <v>-16.988635119963771</v>
      </c>
      <c r="U130" s="20">
        <f>(R130-Q130)*27.211324570273</f>
        <v>-2.3050080080849362</v>
      </c>
      <c r="V130" s="20">
        <f>(F130-I130-D130+G130)/2*27.211324570273</f>
        <v>0.3228940454488245</v>
      </c>
      <c r="W130" s="20">
        <f>(E130-H130-D130+G130)*27.211324570273</f>
        <v>-5.1002035982831422E-2</v>
      </c>
      <c r="X130" s="20">
        <f>(P130-O130-K130+J130)/2*27.211324570273</f>
        <v>-0.1445760395882093</v>
      </c>
      <c r="Y130" s="20">
        <f>(N130-M130-L130+J130)*27.211324570273</f>
        <v>-1.7564030159162725</v>
      </c>
      <c r="Z130" s="21">
        <f>(F130+P130-O130-D130-K130+J130-2*C130)*27.211324570273</f>
        <v>-10.783391553393846</v>
      </c>
      <c r="AA130" s="21">
        <f>(S130+F130-I130+P130-O130-Q130-D130+G130-K130+J130-2*C130)*27.211324570273</f>
        <v>-10.726034228209404</v>
      </c>
      <c r="AB130" s="21">
        <f>(E130+N130-M130-D130-L130+J130)*27.211324570273</f>
        <v>-4.2065106802248646</v>
      </c>
      <c r="AC130" s="21">
        <f>(R130+E130-H130+N130-M130-Q130-D130+G130-L130+J130)*27.211324570273</f>
        <v>-4.112413059977853</v>
      </c>
      <c r="AD130" s="20">
        <v>4.84</v>
      </c>
      <c r="AE130" s="20">
        <v>4.4400000000000004</v>
      </c>
      <c r="AF130" s="21">
        <f>-Z130/2-AE130</f>
        <v>0.95169577669692274</v>
      </c>
      <c r="AG130" s="21">
        <f>-AA130/2-AE130</f>
        <v>0.92301711410470144</v>
      </c>
      <c r="AH130" s="21">
        <f>-AB130-AD130</f>
        <v>-0.63348931977513523</v>
      </c>
      <c r="AI130" s="21">
        <f>-AC130-AD130</f>
        <v>-0.72758694002214686</v>
      </c>
      <c r="AJ130" s="22">
        <v>0.67600000000000005</v>
      </c>
      <c r="AK130" s="21">
        <v>-0.72299999999999998</v>
      </c>
      <c r="AL130" s="21">
        <f>AF130+(0.69-AF$4)</f>
        <v>0.70737508517212389</v>
      </c>
      <c r="AM130" s="21">
        <f>AG130+(0.69-AG$4)</f>
        <v>0.69873086914014904</v>
      </c>
      <c r="AN130" s="21">
        <f>AH130+(-0.8815-AH$4)</f>
        <v>-0.70581331017127091</v>
      </c>
      <c r="AO130" s="21">
        <f>AI130+(-0.8815-AI$4)</f>
        <v>-0.72617443957317729</v>
      </c>
      <c r="AP130" s="20">
        <f t="shared" si="6"/>
        <v>3.137508517212384E-2</v>
      </c>
      <c r="AQ130" s="20">
        <f t="shared" si="7"/>
        <v>2.273086914014899E-2</v>
      </c>
      <c r="AR130" s="20">
        <f t="shared" si="8"/>
        <v>1.7186689828729063E-2</v>
      </c>
      <c r="AS130" s="20">
        <f t="shared" si="9"/>
        <v>3.1744395731773123E-3</v>
      </c>
    </row>
    <row r="131" spans="1:45" ht="15" customHeight="1" x14ac:dyDescent="0.2">
      <c r="A131" s="26" t="s">
        <v>134</v>
      </c>
      <c r="B131" s="19" t="s">
        <v>30</v>
      </c>
      <c r="C131" s="20">
        <f t="shared" si="10"/>
        <v>-0.42068146923305594</v>
      </c>
      <c r="D131" s="20">
        <v>-840.77408000000003</v>
      </c>
      <c r="E131" s="20">
        <v>-840.86333999999999</v>
      </c>
      <c r="F131" s="20">
        <v>-841.99149999999997</v>
      </c>
      <c r="G131" s="20">
        <v>-840.81787479180002</v>
      </c>
      <c r="H131" s="20">
        <v>-840.90526112550003</v>
      </c>
      <c r="I131" s="20">
        <v>-842.05901616400001</v>
      </c>
      <c r="J131" s="20">
        <v>-840.85186640029997</v>
      </c>
      <c r="K131" s="20">
        <v>-840.86008969939996</v>
      </c>
      <c r="L131" s="20">
        <v>-840.86612337450003</v>
      </c>
      <c r="M131" s="20">
        <v>-840.92432991529995</v>
      </c>
      <c r="N131" s="20">
        <v>-841.00306591360004</v>
      </c>
      <c r="O131" s="20">
        <v>-842.08026808939996</v>
      </c>
      <c r="P131" s="20">
        <v>-842.09911126940005</v>
      </c>
      <c r="Q131" s="20">
        <v>-841.3795762904</v>
      </c>
      <c r="R131" s="20">
        <v>-841.46296156359995</v>
      </c>
      <c r="S131" s="20">
        <v>-842.6180396016</v>
      </c>
      <c r="T131" s="20">
        <f>(S131-Q131)/2*27.211324570273</f>
        <v>-16.850113564719209</v>
      </c>
      <c r="U131" s="20">
        <f>(R131-Q131)*27.211324570273</f>
        <v>-2.2690237334247634</v>
      </c>
      <c r="V131" s="20">
        <f>(F131-I131-D131+G131)/2*27.211324570273</f>
        <v>0.322744979093815</v>
      </c>
      <c r="W131" s="20">
        <f>(E131-H131-D131+G131)*27.211324570273</f>
        <v>-5.0984941824518452E-2</v>
      </c>
      <c r="X131" s="20">
        <f>(P131-O131-K131+J131)/2*27.211324570273</f>
        <v>-0.14449051303505528</v>
      </c>
      <c r="Y131" s="20">
        <f>(N131-M131-L131+J131)*27.211324570273</f>
        <v>-1.7545596527602001</v>
      </c>
      <c r="Z131" s="21">
        <f>(F131+P131-O131-D131-K131+J131-2*C131)*27.211324570273</f>
        <v>-10.521991784413526</v>
      </c>
      <c r="AA131" s="21">
        <f>(S131+F131-I131+P131-O131-Q131-D131+G131-K131+J131-2*C131)*27.211324570273</f>
        <v>-10.449118197317805</v>
      </c>
      <c r="AB131" s="21">
        <f>(E131+N131-M131-D131-L131+J131)*27.211324570273</f>
        <v>-4.1834424838987898</v>
      </c>
      <c r="AC131" s="21">
        <f>(R131+E131-H131+N131-M131-Q131-D131+G131-L131+J131)*27.211324570273</f>
        <v>-4.0745683280032949</v>
      </c>
      <c r="AD131" s="20">
        <v>4.84</v>
      </c>
      <c r="AE131" s="20">
        <v>4.4400000000000004</v>
      </c>
      <c r="AF131" s="21">
        <f>-Z131/2-AE131</f>
        <v>0.82099589220676261</v>
      </c>
      <c r="AG131" s="21">
        <f>-AA131/2-AE131</f>
        <v>0.78455909865890217</v>
      </c>
      <c r="AH131" s="21">
        <f>-AB131-AD131</f>
        <v>-0.65655751610121005</v>
      </c>
      <c r="AI131" s="21">
        <f>-AC131-AD131</f>
        <v>-0.76543167199670492</v>
      </c>
      <c r="AJ131" s="22">
        <v>0.67600000000000005</v>
      </c>
      <c r="AK131" s="21">
        <v>-0.72299999999999998</v>
      </c>
      <c r="AL131" s="21">
        <f>AF131+(0.69-AF$5)</f>
        <v>0.70519042125754927</v>
      </c>
      <c r="AM131" s="21">
        <f>AG131+(0.69-AG$5)</f>
        <v>0.6959026846058074</v>
      </c>
      <c r="AN131" s="21">
        <f>AH131+(-0.8815-AH$5)</f>
        <v>-0.71000791953404363</v>
      </c>
      <c r="AO131" s="21">
        <f>AI131+(-0.8815-AI$5)</f>
        <v>-0.73348204351469981</v>
      </c>
      <c r="AP131" s="20">
        <f t="shared" ref="AP131:AP194" si="11">ABS(AL131-AJ131)</f>
        <v>2.9190421257549226E-2</v>
      </c>
      <c r="AQ131" s="20">
        <f t="shared" ref="AQ131:AQ194" si="12">ABS(AM131-AJ131)</f>
        <v>1.9902684605807353E-2</v>
      </c>
      <c r="AR131" s="20">
        <f t="shared" ref="AR131:AR194" si="13">ABS(AN131-AK131)</f>
        <v>1.2992080465956346E-2</v>
      </c>
      <c r="AS131" s="20">
        <f t="shared" ref="AS131:AS194" si="14">ABS(AO131-AK131)</f>
        <v>1.0482043514699835E-2</v>
      </c>
    </row>
    <row r="132" spans="1:45" ht="15" customHeight="1" x14ac:dyDescent="0.2">
      <c r="A132" s="26" t="s">
        <v>134</v>
      </c>
      <c r="B132" s="19" t="s">
        <v>31</v>
      </c>
      <c r="C132" s="20">
        <f t="shared" si="10"/>
        <v>-0.42068146923305594</v>
      </c>
      <c r="D132" s="20">
        <v>-840.74186999999995</v>
      </c>
      <c r="E132" s="20">
        <v>-840.83190999999999</v>
      </c>
      <c r="F132" s="20">
        <v>-841.96888999999999</v>
      </c>
      <c r="G132" s="20">
        <v>-840.78618332680003</v>
      </c>
      <c r="H132" s="20">
        <v>-840.87434903229996</v>
      </c>
      <c r="I132" s="20">
        <v>-842.03693565519995</v>
      </c>
      <c r="J132" s="20">
        <v>-840.85178944890004</v>
      </c>
      <c r="K132" s="20">
        <v>-840.86000293279994</v>
      </c>
      <c r="L132" s="20">
        <v>-840.86602015690005</v>
      </c>
      <c r="M132" s="20">
        <v>-840.92420558289996</v>
      </c>
      <c r="N132" s="20">
        <v>-841.00298305750005</v>
      </c>
      <c r="O132" s="20">
        <v>-842.08017828499999</v>
      </c>
      <c r="P132" s="20">
        <v>-842.09901793589995</v>
      </c>
      <c r="Q132" s="20">
        <v>-841.02967684400005</v>
      </c>
      <c r="R132" s="20">
        <v>-841.11259979210001</v>
      </c>
      <c r="S132" s="20">
        <v>-842.27043345230004</v>
      </c>
      <c r="T132" s="20">
        <f>(S132-Q132)/2*27.211324570273</f>
        <v>-16.881315390581044</v>
      </c>
      <c r="U132" s="20">
        <f>(R132-Q132)*27.211324570273</f>
        <v>-2.2564432550719937</v>
      </c>
      <c r="V132" s="20">
        <f>(F132-I132-D132+G132)/2*27.211324570273</f>
        <v>0.3228940454488245</v>
      </c>
      <c r="W132" s="20">
        <f>(E132-H132-D132+G132)*27.211324570273</f>
        <v>-5.1002035982831422E-2</v>
      </c>
      <c r="X132" s="20">
        <f>(P132-O132-K132+J132)/2*27.211324570273</f>
        <v>-0.1445760395882093</v>
      </c>
      <c r="Y132" s="20">
        <f>(N132-M132-L132+J132)*27.211324570273</f>
        <v>-1.7564030159162725</v>
      </c>
      <c r="Z132" s="21">
        <f>(F132+P132-O132-D132-K132+J132-2*C132)*27.211324570273</f>
        <v>-10.783391553393846</v>
      </c>
      <c r="AA132" s="21">
        <f>(S132+F132-I132+P132-O132-Q132-D132+G132-K132+J132-2*C132)*27.211324570273</f>
        <v>-10.511394769443953</v>
      </c>
      <c r="AB132" s="21">
        <f>(E132+N132-M132-D132-L132+J132)*27.211324570273</f>
        <v>-4.2065106802248646</v>
      </c>
      <c r="AC132" s="21">
        <f>(R132+E132-H132+N132-M132-Q132-D132+G132-L132+J132)*27.211324570273</f>
        <v>-4.0638483069741911</v>
      </c>
      <c r="AD132" s="20">
        <v>4.84</v>
      </c>
      <c r="AE132" s="20">
        <v>4.4400000000000004</v>
      </c>
      <c r="AF132" s="21">
        <f>-Z132/2-AE132</f>
        <v>0.95169577669692274</v>
      </c>
      <c r="AG132" s="21">
        <f>-AA132/2-AE132</f>
        <v>0.81569738472197617</v>
      </c>
      <c r="AH132" s="21">
        <f>-AB132-AD132</f>
        <v>-0.63348931977513523</v>
      </c>
      <c r="AI132" s="21">
        <f>-AC132-AD132</f>
        <v>-0.77615169302580878</v>
      </c>
      <c r="AJ132" s="22">
        <v>0.67600000000000005</v>
      </c>
      <c r="AK132" s="21">
        <v>-0.72299999999999998</v>
      </c>
      <c r="AL132" s="21">
        <f>AF132+(0.69-AF$6)</f>
        <v>0.70737508517212389</v>
      </c>
      <c r="AM132" s="21">
        <f>AG132+(0.69-AG$6)</f>
        <v>0.69931032341166111</v>
      </c>
      <c r="AN132" s="21">
        <f>AH132+(-0.8815-AH$6)</f>
        <v>-0.70581331017127091</v>
      </c>
      <c r="AO132" s="21">
        <f>AI132+(-0.8815-AI$6)</f>
        <v>-0.72452918029320745</v>
      </c>
      <c r="AP132" s="20">
        <f t="shared" si="11"/>
        <v>3.137508517212384E-2</v>
      </c>
      <c r="AQ132" s="20">
        <f t="shared" si="12"/>
        <v>2.331032341166106E-2</v>
      </c>
      <c r="AR132" s="20">
        <f t="shared" si="13"/>
        <v>1.7186689828729063E-2</v>
      </c>
      <c r="AS132" s="20">
        <f t="shared" si="14"/>
        <v>1.5291802932074772E-3</v>
      </c>
    </row>
    <row r="133" spans="1:45" ht="15" customHeight="1" x14ac:dyDescent="0.2">
      <c r="A133" s="26" t="s">
        <v>134</v>
      </c>
      <c r="B133" s="19" t="s">
        <v>32</v>
      </c>
      <c r="C133" s="20">
        <f t="shared" si="10"/>
        <v>-0.42068146923305594</v>
      </c>
      <c r="D133" s="20">
        <v>-840.77408000000003</v>
      </c>
      <c r="E133" s="20">
        <v>-840.86333999999999</v>
      </c>
      <c r="F133" s="20">
        <v>-841.99149999999997</v>
      </c>
      <c r="G133" s="20">
        <v>-840.81787479180002</v>
      </c>
      <c r="H133" s="20">
        <v>-840.90526112550003</v>
      </c>
      <c r="I133" s="20">
        <v>-842.05901616400001</v>
      </c>
      <c r="J133" s="20">
        <v>-840.85186640029997</v>
      </c>
      <c r="K133" s="20">
        <v>-840.86008969939996</v>
      </c>
      <c r="L133" s="20">
        <v>-840.86612337450003</v>
      </c>
      <c r="M133" s="20">
        <v>-840.92432991529995</v>
      </c>
      <c r="N133" s="20">
        <v>-841.00306591360004</v>
      </c>
      <c r="O133" s="20">
        <v>-842.08026808939996</v>
      </c>
      <c r="P133" s="20">
        <v>-842.09911126940005</v>
      </c>
      <c r="Q133" s="20">
        <v>-841.07808810259996</v>
      </c>
      <c r="R133" s="20">
        <v>-841.15975795480006</v>
      </c>
      <c r="S133" s="20">
        <v>-842.30856535650003</v>
      </c>
      <c r="T133" s="20">
        <f>(S133-Q133)/2*27.211324570273</f>
        <v>-16.741457966106406</v>
      </c>
      <c r="U133" s="20">
        <f>(R133-Q133)*27.211324570273</f>
        <v>-2.222344855822965</v>
      </c>
      <c r="V133" s="20">
        <f>(F133-I133-D133+G133)/2*27.211324570273</f>
        <v>0.322744979093815</v>
      </c>
      <c r="W133" s="20">
        <f>(E133-H133-D133+G133)*27.211324570273</f>
        <v>-5.0984941824518452E-2</v>
      </c>
      <c r="X133" s="20">
        <f>(P133-O133-K133+J133)/2*27.211324570273</f>
        <v>-0.14449051303505528</v>
      </c>
      <c r="Y133" s="20">
        <f>(N133-M133-L133+J133)*27.211324570273</f>
        <v>-1.7545596527602001</v>
      </c>
      <c r="Z133" s="21">
        <f>(F133+P133-O133-D133-K133+J133-2*C133)*27.211324570273</f>
        <v>-10.521991784413526</v>
      </c>
      <c r="AA133" s="21">
        <f>(S133+F133-I133+P133-O133-Q133-D133+G133-K133+J133-2*C133)*27.211324570273</f>
        <v>-10.231807000095296</v>
      </c>
      <c r="AB133" s="21">
        <f>(E133+N133-M133-D133-L133+J133)*27.211324570273</f>
        <v>-4.1834424838987898</v>
      </c>
      <c r="AC133" s="21">
        <f>(R133+E133-H133+N133-M133-Q133-D133+G133-L133+J133)*27.211324570273</f>
        <v>-4.0278894504045901</v>
      </c>
      <c r="AD133" s="20">
        <v>4.84</v>
      </c>
      <c r="AE133" s="20">
        <v>4.4400000000000004</v>
      </c>
      <c r="AF133" s="21">
        <f>-Z133/2-AE133</f>
        <v>0.82099589220676261</v>
      </c>
      <c r="AG133" s="21">
        <f>-AA133/2-AE133</f>
        <v>0.67590350004764765</v>
      </c>
      <c r="AH133" s="21">
        <f>-AB133-AD133</f>
        <v>-0.65655751610121005</v>
      </c>
      <c r="AI133" s="21">
        <f>-AC133-AD133</f>
        <v>-0.81211054959540974</v>
      </c>
      <c r="AJ133" s="22">
        <v>0.67600000000000005</v>
      </c>
      <c r="AK133" s="21">
        <v>-0.72299999999999998</v>
      </c>
      <c r="AL133" s="21">
        <f>AF133+(0.69-AF$7)</f>
        <v>0.70519042125754927</v>
      </c>
      <c r="AM133" s="21">
        <f>AG133+(0.69-AG$7)</f>
        <v>0.69648215928869073</v>
      </c>
      <c r="AN133" s="21">
        <f>AH133+(-0.8815-AH$7)</f>
        <v>-0.71000791953404363</v>
      </c>
      <c r="AO133" s="21">
        <f>AI133+(-0.8815-AI$7)</f>
        <v>-0.73260710690470443</v>
      </c>
      <c r="AP133" s="20">
        <f t="shared" si="11"/>
        <v>2.9190421257549226E-2</v>
      </c>
      <c r="AQ133" s="20">
        <f t="shared" si="12"/>
        <v>2.0482159288690682E-2</v>
      </c>
      <c r="AR133" s="20">
        <f t="shared" si="13"/>
        <v>1.2992080465956346E-2</v>
      </c>
      <c r="AS133" s="20">
        <f t="shared" si="14"/>
        <v>9.6071069047044544E-3</v>
      </c>
    </row>
    <row r="134" spans="1:45" ht="15" customHeight="1" x14ac:dyDescent="0.2">
      <c r="A134" s="26" t="s">
        <v>134</v>
      </c>
      <c r="B134" s="19" t="s">
        <v>33</v>
      </c>
      <c r="C134" s="20">
        <f t="shared" si="10"/>
        <v>-0.42068146923305594</v>
      </c>
      <c r="D134" s="20">
        <v>-841.03525000000002</v>
      </c>
      <c r="E134" s="20">
        <v>-841.10258999999996</v>
      </c>
      <c r="F134" s="20">
        <v>-842.24242000000004</v>
      </c>
      <c r="G134" s="20">
        <v>-841.07863688019995</v>
      </c>
      <c r="H134" s="20">
        <v>-841.1428551752</v>
      </c>
      <c r="I134" s="20">
        <v>-842.30926633160004</v>
      </c>
      <c r="J134" s="20">
        <v>-840.85169414400002</v>
      </c>
      <c r="K134" s="20">
        <v>-840.85990784219996</v>
      </c>
      <c r="L134" s="20">
        <v>-840.86589654240004</v>
      </c>
      <c r="M134" s="20">
        <v>-840.9238315888</v>
      </c>
      <c r="N134" s="20">
        <v>-841.00267437069999</v>
      </c>
      <c r="O134" s="20">
        <v>-842.08019718399999</v>
      </c>
      <c r="P134" s="20">
        <v>-842.0989552922</v>
      </c>
      <c r="Q134" s="20">
        <v>-841.07848996940004</v>
      </c>
      <c r="R134" s="20">
        <v>-841.16001869210004</v>
      </c>
      <c r="S134" s="20">
        <v>-842.3090419719</v>
      </c>
      <c r="T134" s="20">
        <f>(S134-Q134)/2*27.211324570273</f>
        <v>-16.742474970312934</v>
      </c>
      <c r="U134" s="20">
        <f>(R134-Q134)*27.211324570273</f>
        <v>-2.218504535189481</v>
      </c>
      <c r="V134" s="20">
        <f>(F134-I134-D134+G134)/2*27.211324570273</f>
        <v>0.31918137314395068</v>
      </c>
      <c r="W134" s="20">
        <f>(E134-H134-D134+G134)*27.211324570273</f>
        <v>-8.4945727964885157E-2</v>
      </c>
      <c r="X134" s="20">
        <f>(P134-O134-K134+J134)/2*27.211324570273</f>
        <v>-0.14346368145709851</v>
      </c>
      <c r="Y134" s="20">
        <f>(N134-M134-L134+J134)*27.211324570273</f>
        <v>-1.7589504557648035</v>
      </c>
      <c r="Z134" s="21">
        <f>(F134+P134-O134-D134-K134+J134-2*C134)*27.211324570273</f>
        <v>-10.241022044414269</v>
      </c>
      <c r="AA134" s="21">
        <f>(S134+F134-I134+P134-O134-Q134-D134+G134-K134+J134-2*C134)*27.211324570273</f>
        <v>-10.238914557255256</v>
      </c>
      <c r="AB134" s="21">
        <f>(E134+N134-M134-D134-L134+J134)*27.211324570273</f>
        <v>-3.5913610523223878</v>
      </c>
      <c r="AC134" s="21">
        <f>(R134+E134-H134+N134-M134-Q134-D134+G134-L134+J134)*27.211324570273</f>
        <v>-4.0624007189191698</v>
      </c>
      <c r="AD134" s="20">
        <v>4.84</v>
      </c>
      <c r="AE134" s="20">
        <v>4.4400000000000004</v>
      </c>
      <c r="AF134" s="21">
        <f>-Z134/2-AE134</f>
        <v>0.680511022207134</v>
      </c>
      <c r="AG134" s="21">
        <f>-AA134/2-AE134</f>
        <v>0.67945727862762784</v>
      </c>
      <c r="AH134" s="21">
        <f>-AB134-AD134</f>
        <v>-1.2486389476776121</v>
      </c>
      <c r="AI134" s="21">
        <f>-AC134-AD134</f>
        <v>-0.7775992810808301</v>
      </c>
      <c r="AJ134" s="22">
        <v>0.67600000000000005</v>
      </c>
      <c r="AK134" s="21">
        <v>-0.72299999999999998</v>
      </c>
      <c r="AL134" s="21">
        <f>AF134+(0.69-AF$8)</f>
        <v>0.7010729995466618</v>
      </c>
      <c r="AM134" s="21">
        <f>AG134+(0.69-AG$8)</f>
        <v>0.69782686131690275</v>
      </c>
      <c r="AN134" s="21">
        <f>AH134+(-0.8815-AH$8)</f>
        <v>-0.74296507855557037</v>
      </c>
      <c r="AO134" s="21">
        <f>AI134+(-0.8815-AI$8)</f>
        <v>-0.74018254918972026</v>
      </c>
      <c r="AP134" s="20">
        <f t="shared" si="11"/>
        <v>2.5072999546661756E-2</v>
      </c>
      <c r="AQ134" s="20">
        <f t="shared" si="12"/>
        <v>2.1826861316902701E-2</v>
      </c>
      <c r="AR134" s="20">
        <f t="shared" si="13"/>
        <v>1.9965078555570392E-2</v>
      </c>
      <c r="AS134" s="20">
        <f t="shared" si="14"/>
        <v>1.7182549189720286E-2</v>
      </c>
    </row>
    <row r="135" spans="1:45" ht="15" customHeight="1" x14ac:dyDescent="0.2">
      <c r="A135" s="26" t="s">
        <v>134</v>
      </c>
      <c r="B135" s="19" t="s">
        <v>174</v>
      </c>
      <c r="C135" s="20">
        <f t="shared" si="10"/>
        <v>-0.42068146923305594</v>
      </c>
      <c r="D135" s="20">
        <v>-841.03515000000004</v>
      </c>
      <c r="E135" s="20">
        <v>-841.11292000000003</v>
      </c>
      <c r="F135" s="20">
        <v>-842.24234000000001</v>
      </c>
      <c r="G135" s="20">
        <v>-841.07862428210001</v>
      </c>
      <c r="H135" s="20">
        <v>-841.15421461710002</v>
      </c>
      <c r="I135" s="20">
        <v>-842.30926444800002</v>
      </c>
      <c r="J135" s="20">
        <v>-840.85169593210003</v>
      </c>
      <c r="K135" s="20">
        <v>-840.85990324149998</v>
      </c>
      <c r="L135" s="20">
        <v>-840.86589386679998</v>
      </c>
      <c r="M135" s="20">
        <v>-840.92397872909999</v>
      </c>
      <c r="N135" s="20">
        <v>-841.00273497119997</v>
      </c>
      <c r="O135" s="20">
        <v>-842.0801975375</v>
      </c>
      <c r="P135" s="20">
        <v>-842.09895258029997</v>
      </c>
      <c r="Q135" s="20">
        <v>-841.07848994380004</v>
      </c>
      <c r="R135" s="20">
        <v>-841.15996674819996</v>
      </c>
      <c r="S135" s="20">
        <v>-842.30904207360004</v>
      </c>
      <c r="T135" s="20">
        <f>(S135-Q135)/2*27.211324570273</f>
        <v>-16.742476702314296</v>
      </c>
      <c r="U135" s="20">
        <f>(R135-Q135)*27.211324570273</f>
        <v>-2.2170917694750485</v>
      </c>
      <c r="V135" s="20">
        <f>(F135-I135-D135+G135)/2*27.211324570273</f>
        <v>0.3190550377664273</v>
      </c>
      <c r="W135" s="20">
        <f>(E135-H135-D135+G135)*27.211324570273</f>
        <v>-5.9311571768687614E-2</v>
      </c>
      <c r="X135" s="20">
        <f>(P135-O135-K135+J135)/2*27.211324570273</f>
        <v>-0.14350889851428619</v>
      </c>
      <c r="Y135" s="20">
        <f>(N135-M135-L135+J135)*27.211324570273</f>
        <v>-1.756717056369788</v>
      </c>
      <c r="Z135" s="21">
        <f>(F135+P135-O135-D135-K135+J135-2*C135)*27.211324570273</f>
        <v>-10.241656705015583</v>
      </c>
      <c r="AA135" s="21">
        <f>(S135+F135-I135+P135-O135-Q135-D135+G135-K135+J135-2*C135)*27.211324570273</f>
        <v>-10.23926112612431</v>
      </c>
      <c r="AB135" s="21">
        <f>(E135+N135-M135-D135-L135+J135)*27.211324570273</f>
        <v>-3.8729417681995599</v>
      </c>
      <c r="AC135" s="21">
        <f>(R135+E135-H135+N135-M135-Q135-D135+G135-L135+J135)*27.211324570273</f>
        <v>-4.0331203976166181</v>
      </c>
      <c r="AD135" s="20">
        <v>4.84</v>
      </c>
      <c r="AE135" s="20">
        <v>4.4400000000000004</v>
      </c>
      <c r="AF135" s="21">
        <f>-Z135/2-AE135</f>
        <v>0.68082835250779095</v>
      </c>
      <c r="AG135" s="21">
        <f>-AA135/2-AE135</f>
        <v>0.67963056306215464</v>
      </c>
      <c r="AH135" s="21">
        <f>-AB135-AD135</f>
        <v>-0.96705823180043993</v>
      </c>
      <c r="AI135" s="21">
        <f>-AC135-AD135</f>
        <v>-0.80687960238338174</v>
      </c>
      <c r="AJ135" s="22">
        <v>0.67600000000000005</v>
      </c>
      <c r="AK135" s="21">
        <v>-0.72299999999999998</v>
      </c>
      <c r="AL135" s="21">
        <f>AF135+(0.69-AF$9)</f>
        <v>0.69640105729776058</v>
      </c>
      <c r="AM135" s="21">
        <f>AG135+(0.69-AG$9)</f>
        <v>0.69725770380952623</v>
      </c>
      <c r="AN135" s="21">
        <f>AH135+(-0.8815-AH$9)</f>
        <v>-0.84095511822509472</v>
      </c>
      <c r="AO135" s="21">
        <f>AI135+(-0.8815-AI$9)</f>
        <v>-0.72896375816386039</v>
      </c>
      <c r="AP135" s="20">
        <f t="shared" si="11"/>
        <v>2.0401057297760539E-2</v>
      </c>
      <c r="AQ135" s="20">
        <f t="shared" si="12"/>
        <v>2.1257703809526185E-2</v>
      </c>
      <c r="AR135" s="20">
        <f t="shared" si="13"/>
        <v>0.11795511822509475</v>
      </c>
      <c r="AS135" s="20">
        <f t="shared" si="14"/>
        <v>5.9637581638604109E-3</v>
      </c>
    </row>
    <row r="136" spans="1:45" ht="15" customHeight="1" x14ac:dyDescent="0.2">
      <c r="A136" s="26" t="s">
        <v>134</v>
      </c>
      <c r="B136" s="19" t="s">
        <v>43</v>
      </c>
      <c r="C136" s="20">
        <f t="shared" si="10"/>
        <v>-0.42068146923305594</v>
      </c>
      <c r="D136" s="20">
        <v>-840.77408000000003</v>
      </c>
      <c r="E136" s="20">
        <v>-840.86333999999999</v>
      </c>
      <c r="F136" s="20">
        <v>-841.99149999999997</v>
      </c>
      <c r="G136" s="20">
        <v>-840.81787479180002</v>
      </c>
      <c r="H136" s="20">
        <v>-840.90526112550003</v>
      </c>
      <c r="I136" s="20">
        <v>-842.05901616400001</v>
      </c>
      <c r="J136" s="20">
        <v>-840.85186640029997</v>
      </c>
      <c r="K136" s="20">
        <v>-840.86008969939996</v>
      </c>
      <c r="L136" s="20">
        <v>-840.86612337450003</v>
      </c>
      <c r="M136" s="20">
        <v>-840.92432991529995</v>
      </c>
      <c r="N136" s="20">
        <v>-841.00306591360004</v>
      </c>
      <c r="O136" s="20">
        <v>-842.08026808939996</v>
      </c>
      <c r="P136" s="20">
        <v>-842.09911126940005</v>
      </c>
      <c r="Q136" s="20">
        <v>-840.12818023552302</v>
      </c>
      <c r="R136" s="20">
        <v>-840.205887438422</v>
      </c>
      <c r="S136" s="20">
        <v>-841.36785204346495</v>
      </c>
      <c r="T136" s="20">
        <f>(S136-Q136)/2*27.211324570273</f>
        <v>-16.866555963262517</v>
      </c>
      <c r="U136" s="20">
        <f>(R136-Q136)*27.211324570273</f>
        <v>-2.1145159195321441</v>
      </c>
      <c r="V136" s="20">
        <f>(F136-I136-D136+G136)/2*27.211324570273</f>
        <v>0.322744979093815</v>
      </c>
      <c r="W136" s="20">
        <f>(E136-H136-D136+G136)*27.211324570273</f>
        <v>-5.0984941824518452E-2</v>
      </c>
      <c r="X136" s="20">
        <f>(P136-O136-K136+J136)/2*27.211324570273</f>
        <v>-0.14449051303505528</v>
      </c>
      <c r="Y136" s="20">
        <f>(N136-M136-L136+J136)*27.211324570273</f>
        <v>-1.7545596527602001</v>
      </c>
      <c r="Z136" s="21">
        <f>(F136+P136-O136-D136-K136+J136-2*C136)*27.211324570273</f>
        <v>-10.521991784413526</v>
      </c>
      <c r="AA136" s="21">
        <f>(S136+F136-I136+P136-O136-Q136-D136+G136-K136+J136-2*C136)*27.211324570273</f>
        <v>-10.482002994407514</v>
      </c>
      <c r="AB136" s="21">
        <f>(E136+N136-M136-D136-L136+J136)*27.211324570273</f>
        <v>-4.1834424838987898</v>
      </c>
      <c r="AC136" s="21">
        <f>(R136+E136-H136+N136-M136-Q136-D136+G136-L136+J136)*27.211324570273</f>
        <v>-3.9200605141106757</v>
      </c>
      <c r="AD136" s="20">
        <v>4.84</v>
      </c>
      <c r="AE136" s="20">
        <v>4.4400000000000004</v>
      </c>
      <c r="AF136" s="21">
        <f>-Z136/2-AE136</f>
        <v>0.82099589220676261</v>
      </c>
      <c r="AG136" s="21">
        <f>-AA136/2-AE136</f>
        <v>0.80100149720375668</v>
      </c>
      <c r="AH136" s="21">
        <f>-AB136-AD136</f>
        <v>-0.65655751610121005</v>
      </c>
      <c r="AI136" s="21">
        <f>-AC136-AD136</f>
        <v>-0.91993948588932417</v>
      </c>
      <c r="AJ136" s="22">
        <v>0.67600000000000005</v>
      </c>
      <c r="AK136" s="21">
        <v>-0.72299999999999998</v>
      </c>
      <c r="AL136" s="21">
        <f>AF136+(0.69-AF$10)</f>
        <v>0.70519042125754927</v>
      </c>
      <c r="AM136" s="21">
        <f>AG136+(0.69-AG$10)</f>
        <v>0.69433913021168836</v>
      </c>
      <c r="AN136" s="21">
        <f>AH136+(-0.8815-AH$10)</f>
        <v>-0.71000791953404363</v>
      </c>
      <c r="AO136" s="21">
        <f>AI136+(-0.8815-AI$10)</f>
        <v>-0.73742137426194976</v>
      </c>
      <c r="AP136" s="20">
        <f t="shared" si="11"/>
        <v>2.9190421257549226E-2</v>
      </c>
      <c r="AQ136" s="20">
        <f t="shared" si="12"/>
        <v>1.8339130211688315E-2</v>
      </c>
      <c r="AR136" s="20">
        <f t="shared" si="13"/>
        <v>1.2992080465956346E-2</v>
      </c>
      <c r="AS136" s="20">
        <f t="shared" si="14"/>
        <v>1.4421374261949782E-2</v>
      </c>
    </row>
    <row r="137" spans="1:45" x14ac:dyDescent="0.2">
      <c r="A137" s="26" t="s">
        <v>135</v>
      </c>
      <c r="B137" s="19" t="s">
        <v>27</v>
      </c>
      <c r="C137" s="20">
        <f t="shared" si="10"/>
        <v>-0.42068146923305594</v>
      </c>
      <c r="D137" s="20">
        <v>-534.69550000000004</v>
      </c>
      <c r="E137" s="20">
        <v>-534.77232000000004</v>
      </c>
      <c r="F137" s="20">
        <v>-535.89919999999995</v>
      </c>
      <c r="G137" s="20">
        <v>-534.79568275450004</v>
      </c>
      <c r="H137" s="20">
        <v>-534.87002066000002</v>
      </c>
      <c r="I137" s="20">
        <v>-536.02344470239996</v>
      </c>
      <c r="J137" s="20">
        <v>-534.8895414008</v>
      </c>
      <c r="K137" s="20">
        <v>-534.8986202415</v>
      </c>
      <c r="L137" s="20">
        <v>-534.90550490839996</v>
      </c>
      <c r="M137" s="20">
        <v>-534.94465269240004</v>
      </c>
      <c r="N137" s="20">
        <v>-535.02702193940002</v>
      </c>
      <c r="O137" s="20">
        <v>-536.09799958650001</v>
      </c>
      <c r="P137" s="20">
        <v>-536.11598653290002</v>
      </c>
      <c r="Q137" s="20">
        <v>-535.35990159999994</v>
      </c>
      <c r="R137" s="20">
        <v>-535.43185741620005</v>
      </c>
      <c r="S137" s="20">
        <v>-536.58511416629995</v>
      </c>
      <c r="T137" s="20">
        <f>(S137-Q137)/2*27.211324570273</f>
        <v>-16.669828404583235</v>
      </c>
      <c r="U137" s="20">
        <f>(R137-Q137)*27.211324570273</f>
        <v>-1.9580130693398878</v>
      </c>
      <c r="V137" s="20">
        <f>(F137-I137-D137+G137)/2*27.211324570273</f>
        <v>0.32737873705006937</v>
      </c>
      <c r="W137" s="20">
        <f>(E137-H137-D137+G137)*27.211324570273</f>
        <v>-6.7541079053865249E-2</v>
      </c>
      <c r="X137" s="20">
        <f>(P137-O137-K137+J137)/2*27.211324570273</f>
        <v>-0.12120067775471401</v>
      </c>
      <c r="Y137" s="20">
        <f>(N137-M137-L137+J137)*27.211324570273</f>
        <v>-1.8069881281426663</v>
      </c>
      <c r="Z137" s="21">
        <f>(F137+P137-O137-D137-K137+J137-2*C137)*27.211324570273</f>
        <v>-10.102072740741564</v>
      </c>
      <c r="AA137" s="21">
        <f>(S137+F137-I137+P137-O137-Q137-D137+G137-K137+J137-2*C137)*27.211324570273</f>
        <v>-10.032700690578851</v>
      </c>
      <c r="AB137" s="21">
        <f>(E137+N137-M137-D137-L137+J137)*27.211324570273</f>
        <v>-3.8973620816340744</v>
      </c>
      <c r="AC137" s="21">
        <f>(R137+E137-H137+N137-M137-Q137-D137+G137-L137+J137)*27.211324570273</f>
        <v>-3.8325422765364197</v>
      </c>
      <c r="AD137" s="20">
        <v>4.84</v>
      </c>
      <c r="AE137" s="20">
        <v>4.4400000000000004</v>
      </c>
      <c r="AF137" s="21">
        <f>-Z137/2-AE137</f>
        <v>0.61103637037078151</v>
      </c>
      <c r="AG137" s="21">
        <f>-AA137/2-AE137</f>
        <v>0.57635034528942519</v>
      </c>
      <c r="AH137" s="21">
        <f>-AB137-AD137</f>
        <v>-0.94263791836592548</v>
      </c>
      <c r="AI137" s="21">
        <f>-AC137-AD137</f>
        <v>-1.0074577234635802</v>
      </c>
      <c r="AJ137" s="22">
        <v>0.376</v>
      </c>
      <c r="AK137" s="21">
        <v>-1.07</v>
      </c>
      <c r="AL137" s="27">
        <f>AF137+(0.69-AF$2)</f>
        <v>0.42822986039672228</v>
      </c>
      <c r="AM137" s="27">
        <f>AG137+(0.69-AG$2)</f>
        <v>0.41908036952648908</v>
      </c>
      <c r="AN137" s="27">
        <f>AH137+(-0.8815-AH$2)</f>
        <v>-1.1171588654768523</v>
      </c>
      <c r="AO137" s="27">
        <f>AI137+(-0.8815-AI$2)</f>
        <v>-1.1133193557437107</v>
      </c>
      <c r="AP137" s="20">
        <f t="shared" si="11"/>
        <v>5.2229860396722283E-2</v>
      </c>
      <c r="AQ137" s="20">
        <f t="shared" si="12"/>
        <v>4.3080369526489082E-2</v>
      </c>
      <c r="AR137" s="20">
        <f t="shared" si="13"/>
        <v>4.7158865476852219E-2</v>
      </c>
      <c r="AS137" s="20">
        <f t="shared" si="14"/>
        <v>4.3319355743710597E-2</v>
      </c>
    </row>
    <row r="138" spans="1:45" ht="15" customHeight="1" x14ac:dyDescent="0.2">
      <c r="A138" s="26" t="s">
        <v>135</v>
      </c>
      <c r="B138" s="19" t="s">
        <v>145</v>
      </c>
      <c r="C138" s="20">
        <f t="shared" si="10"/>
        <v>-0.42068146923305594</v>
      </c>
      <c r="D138" s="20">
        <v>-534.42723999999998</v>
      </c>
      <c r="E138" s="20">
        <v>-534.50039000000004</v>
      </c>
      <c r="F138" s="20">
        <v>-535.62831000000006</v>
      </c>
      <c r="G138" s="20">
        <v>-534.52791007760004</v>
      </c>
      <c r="H138" s="20">
        <v>-534.59910230449998</v>
      </c>
      <c r="I138" s="20">
        <v>-535.7532416734</v>
      </c>
      <c r="J138" s="20">
        <v>-534.88985762339996</v>
      </c>
      <c r="K138" s="20">
        <v>-534.89846570719999</v>
      </c>
      <c r="L138" s="20">
        <v>-534.90558656979999</v>
      </c>
      <c r="M138" s="20">
        <v>-534.94503374889996</v>
      </c>
      <c r="N138" s="20">
        <v>-535.02728217139997</v>
      </c>
      <c r="O138" s="20">
        <v>-536.09833782989995</v>
      </c>
      <c r="P138" s="20">
        <v>-536.1160170915</v>
      </c>
      <c r="Q138" s="20">
        <v>-535.10205922210002</v>
      </c>
      <c r="R138" s="20">
        <v>-535.17197282719997</v>
      </c>
      <c r="S138" s="20">
        <v>-536.32602563520004</v>
      </c>
      <c r="T138" s="20">
        <f>(S138-Q138)/2*27.211324570273</f>
        <v>-16.652873664988682</v>
      </c>
      <c r="U138" s="20">
        <f>(R138-Q138)*27.211324570273</f>
        <v>-1.9024418002523986</v>
      </c>
      <c r="V138" s="20">
        <f>(F138-I138-D138+G138)/2*27.211324570273</f>
        <v>0.33009507895172241</v>
      </c>
      <c r="W138" s="20">
        <f>(E138-H138-D138+G138)*27.211324570273</f>
        <v>-5.3273599262215726E-2</v>
      </c>
      <c r="X138" s="20">
        <f>(P138-O138-K138+J138)/2*27.211324570273</f>
        <v>-0.12341938167555523</v>
      </c>
      <c r="Y138" s="20">
        <f>(N138-M138-L138+J138)*27.211324570273</f>
        <v>-1.8100830544011788</v>
      </c>
      <c r="Z138" s="21">
        <f>(F138+P138-O138-D138-K138+J138-2*C138)*27.211324570273</f>
        <v>-10.034944364970874</v>
      </c>
      <c r="AA138" s="21">
        <f>(S138+F138-I138+P138-O138-Q138-D138+G138-K138+J138-2*C138)*27.211324570273</f>
        <v>-9.9977959354250281</v>
      </c>
      <c r="AB138" s="21">
        <f>(E138+N138-M138-D138-L138+J138)*27.211324570273</f>
        <v>-3.800591446715055</v>
      </c>
      <c r="AC138" s="21">
        <f>(R138+E138-H138+N138-M138-Q138-D138+G138-L138+J138)*27.211324570273</f>
        <v>-3.7657984539188867</v>
      </c>
      <c r="AD138" s="20">
        <v>4.84</v>
      </c>
      <c r="AE138" s="20">
        <v>4.4400000000000004</v>
      </c>
      <c r="AF138" s="21">
        <f>-Z138/2-AE138</f>
        <v>0.57747218248543675</v>
      </c>
      <c r="AG138" s="21">
        <f>-AA138/2-AE138</f>
        <v>0.55889796771251365</v>
      </c>
      <c r="AH138" s="21">
        <f>-AB138-AD138</f>
        <v>-1.0394085532849449</v>
      </c>
      <c r="AI138" s="21">
        <f>-AC138-AD138</f>
        <v>-1.0742015460811132</v>
      </c>
      <c r="AJ138" s="22">
        <v>0.376</v>
      </c>
      <c r="AK138" s="21">
        <v>-1.07</v>
      </c>
      <c r="AL138" s="27">
        <f>AF138+(0.69-AF$3)</f>
        <v>0.41819034152266221</v>
      </c>
      <c r="AM138" s="27">
        <f>AG138+(0.69-AG$3)</f>
        <v>0.41021778125290398</v>
      </c>
      <c r="AN138" s="27">
        <f>AH138+(-0.8815-AH$3)</f>
        <v>-1.1110033101144134</v>
      </c>
      <c r="AO138" s="27">
        <f>AI138+(-0.8815-AI$3)</f>
        <v>-1.1118960891738592</v>
      </c>
      <c r="AP138" s="20">
        <f t="shared" si="11"/>
        <v>4.2190341522662211E-2</v>
      </c>
      <c r="AQ138" s="20">
        <f t="shared" si="12"/>
        <v>3.4217781252903978E-2</v>
      </c>
      <c r="AR138" s="20">
        <f t="shared" si="13"/>
        <v>4.1003310114413383E-2</v>
      </c>
      <c r="AS138" s="20">
        <f t="shared" si="14"/>
        <v>4.1896089173859119E-2</v>
      </c>
    </row>
    <row r="139" spans="1:45" ht="15" customHeight="1" x14ac:dyDescent="0.2">
      <c r="A139" s="26" t="s">
        <v>135</v>
      </c>
      <c r="B139" s="19" t="s">
        <v>29</v>
      </c>
      <c r="C139" s="20">
        <f t="shared" si="10"/>
        <v>-0.42068146923305594</v>
      </c>
      <c r="D139" s="20">
        <v>-534.85644000000002</v>
      </c>
      <c r="E139" s="20">
        <v>-534.92858000000001</v>
      </c>
      <c r="F139" s="20">
        <v>-536.06290000000001</v>
      </c>
      <c r="G139" s="20">
        <v>-534.957499138</v>
      </c>
      <c r="H139" s="20">
        <v>-535.02753316099995</v>
      </c>
      <c r="I139" s="20">
        <v>-536.18809015700003</v>
      </c>
      <c r="J139" s="20">
        <v>-534.88972987260001</v>
      </c>
      <c r="K139" s="20">
        <v>-534.89849790059998</v>
      </c>
      <c r="L139" s="20">
        <v>-534.9055522264</v>
      </c>
      <c r="M139" s="20">
        <v>-534.94480956949997</v>
      </c>
      <c r="N139" s="20">
        <v>-535.02713220220005</v>
      </c>
      <c r="O139" s="20">
        <v>-536.09814129769995</v>
      </c>
      <c r="P139" s="20">
        <v>-536.11600086609997</v>
      </c>
      <c r="Q139" s="20">
        <v>-535.51421951450004</v>
      </c>
      <c r="R139" s="20">
        <v>-535.58173314910005</v>
      </c>
      <c r="S139" s="20">
        <v>-536.74279550680001</v>
      </c>
      <c r="T139" s="20">
        <f>(S139-Q139)/2*27.211324570273</f>
        <v>-16.715590042859798</v>
      </c>
      <c r="U139" s="20">
        <f>(R139-Q139)*27.211324570273</f>
        <v>-1.8371354240195352</v>
      </c>
      <c r="V139" s="20">
        <f>(F139-I139-D139+G139)/2*27.211324570273</f>
        <v>0.32831849511072481</v>
      </c>
      <c r="W139" s="20">
        <f>(E139-H139-D139+G139)*27.211324570273</f>
        <v>-5.7306423685672778E-2</v>
      </c>
      <c r="X139" s="20">
        <f>(P139-O139-K139+J139)/2*27.211324570273</f>
        <v>-0.1236964283347521</v>
      </c>
      <c r="Y139" s="20">
        <f>(N139-M139-L139+J139)*27.211324570273</f>
        <v>-1.8095606731641265</v>
      </c>
      <c r="Z139" s="21">
        <f>(F139+P139-O139-D139-K139+J139-2*C139)*27.211324570273</f>
        <v>-10.182167497717776</v>
      </c>
      <c r="AA139" s="21">
        <f>(S139+F139-I139+P139-O139-Q139-D139+G139-K139+J139-2*C139)*27.211324570273</f>
        <v>-10.12733595216765</v>
      </c>
      <c r="AB139" s="21">
        <f>(E139+N139-M139-D139-L139+J139)*27.211324570273</f>
        <v>-3.7725856276664511</v>
      </c>
      <c r="AC139" s="21">
        <f>(R139+E139-H139+N139-M139-Q139-D139+G139-L139+J139)*27.211324570273</f>
        <v>-3.7040025208693343</v>
      </c>
      <c r="AD139" s="20">
        <v>4.84</v>
      </c>
      <c r="AE139" s="20">
        <v>4.4400000000000004</v>
      </c>
      <c r="AF139" s="21">
        <f>-Z139/2-AE139</f>
        <v>0.65108374885888765</v>
      </c>
      <c r="AG139" s="21">
        <f>-AA139/2-AE139</f>
        <v>0.62366797608382463</v>
      </c>
      <c r="AH139" s="21">
        <f>-AB139-AD139</f>
        <v>-1.0674143723335487</v>
      </c>
      <c r="AI139" s="21">
        <f>-AC139-AD139</f>
        <v>-1.1359974791306655</v>
      </c>
      <c r="AJ139" s="22">
        <v>0.376</v>
      </c>
      <c r="AK139" s="21">
        <v>-1.07</v>
      </c>
      <c r="AL139" s="21">
        <f>AF139+(0.69-AF$4)</f>
        <v>0.4067630573340888</v>
      </c>
      <c r="AM139" s="21">
        <f>AG139+(0.69-AG$4)</f>
        <v>0.39938173111927222</v>
      </c>
      <c r="AN139" s="21">
        <f>AH139+(-0.8815-AH$4)</f>
        <v>-1.1397383627296844</v>
      </c>
      <c r="AO139" s="21">
        <f>AI139+(-0.8815-AI$4)</f>
        <v>-1.1345849786816959</v>
      </c>
      <c r="AP139" s="20">
        <f t="shared" si="11"/>
        <v>3.0763057334088795E-2</v>
      </c>
      <c r="AQ139" s="20">
        <f t="shared" si="12"/>
        <v>2.338173111927222E-2</v>
      </c>
      <c r="AR139" s="20">
        <f t="shared" si="13"/>
        <v>6.9738362729684367E-2</v>
      </c>
      <c r="AS139" s="20">
        <f t="shared" si="14"/>
        <v>6.4584978681695882E-2</v>
      </c>
    </row>
    <row r="140" spans="1:45" ht="15" customHeight="1" x14ac:dyDescent="0.2">
      <c r="A140" s="26" t="s">
        <v>135</v>
      </c>
      <c r="B140" s="19" t="s">
        <v>30</v>
      </c>
      <c r="C140" s="20">
        <f t="shared" si="10"/>
        <v>-0.42068146923305594</v>
      </c>
      <c r="D140" s="20">
        <v>-534.81488999999999</v>
      </c>
      <c r="E140" s="20">
        <v>-534.88649999999996</v>
      </c>
      <c r="F140" s="20">
        <v>-536.01196000000004</v>
      </c>
      <c r="G140" s="20">
        <v>-534.91538782559996</v>
      </c>
      <c r="H140" s="20">
        <v>-534.98483842639996</v>
      </c>
      <c r="I140" s="20">
        <v>-536.13660044170001</v>
      </c>
      <c r="J140" s="20">
        <v>-534.88992735240004</v>
      </c>
      <c r="K140" s="20">
        <v>-534.89866177320005</v>
      </c>
      <c r="L140" s="20">
        <v>-534.90571435360005</v>
      </c>
      <c r="M140" s="20">
        <v>-534.94503492620004</v>
      </c>
      <c r="N140" s="20">
        <v>-535.02732474380002</v>
      </c>
      <c r="O140" s="20">
        <v>-536.09837526230001</v>
      </c>
      <c r="P140" s="20">
        <v>-536.11616559879997</v>
      </c>
      <c r="Q140" s="20">
        <v>-535.48598530950005</v>
      </c>
      <c r="R140" s="20">
        <v>-535.55251557780002</v>
      </c>
      <c r="S140" s="20">
        <v>-536.7045728237</v>
      </c>
      <c r="T140" s="20">
        <f>(S140-Q140)/2*27.211324570273</f>
        <v>-16.579690183088541</v>
      </c>
      <c r="U140" s="20">
        <f>(R140-Q140)*27.211324570273</f>
        <v>-1.8103767244578526</v>
      </c>
      <c r="V140" s="20">
        <f>(F140-I140-D140+G140)/2*27.211324570273</f>
        <v>0.32847628133621182</v>
      </c>
      <c r="W140" s="20">
        <f>(E140-H140-D140+G140)*27.211324570273</f>
        <v>-5.8760112507116907E-2</v>
      </c>
      <c r="X140" s="20">
        <f>(P140-O140-K140+J140)/2*27.211324570273</f>
        <v>-0.12321173069613252</v>
      </c>
      <c r="Y140" s="20">
        <f>(N140-M140-L140+J140)*27.211324570273</f>
        <v>-1.8096297218969943</v>
      </c>
      <c r="Z140" s="21">
        <f>(F140+P140-O140-D140-K140+J140-2*C140)*27.211324570273</f>
        <v>-9.9256837647335114</v>
      </c>
      <c r="AA140" s="21">
        <f>(S140+F140-I140+P140-O140-Q140-D140+G140-K140+J140-2*C140)*27.211324570273</f>
        <v>-9.8542512648969236</v>
      </c>
      <c r="AB140" s="21">
        <f>(E140+N140-M140-D140-L140+J140)*27.211324570273</f>
        <v>-3.7582326743732697</v>
      </c>
      <c r="AC140" s="21">
        <f>(R140+E140-H140+N140-M140-Q140-D140+G140-L140+J140)*27.211324570273</f>
        <v>-3.6787665588650573</v>
      </c>
      <c r="AD140" s="20">
        <v>4.84</v>
      </c>
      <c r="AE140" s="20">
        <v>4.4400000000000004</v>
      </c>
      <c r="AF140" s="21">
        <f>-Z140/2-AE140</f>
        <v>0.52284188236675533</v>
      </c>
      <c r="AG140" s="21">
        <f>-AA140/2-AE140</f>
        <v>0.48712563244846141</v>
      </c>
      <c r="AH140" s="21">
        <f>-AB140-AD140</f>
        <v>-1.0817673256267302</v>
      </c>
      <c r="AI140" s="21">
        <f>-AC140-AD140</f>
        <v>-1.1612334411349425</v>
      </c>
      <c r="AJ140" s="22">
        <v>0.376</v>
      </c>
      <c r="AK140" s="21">
        <v>-1.07</v>
      </c>
      <c r="AL140" s="21">
        <f>AF140+(0.69-AF$5)</f>
        <v>0.40703641141754199</v>
      </c>
      <c r="AM140" s="21">
        <f>AG140+(0.69-AG$5)</f>
        <v>0.39846921839536664</v>
      </c>
      <c r="AN140" s="21">
        <f>AH140+(-0.8815-AH$5)</f>
        <v>-1.1352177290595638</v>
      </c>
      <c r="AO140" s="21">
        <f>AI140+(-0.8815-AI$5)</f>
        <v>-1.1292838126529374</v>
      </c>
      <c r="AP140" s="20">
        <f t="shared" si="11"/>
        <v>3.1036411417541987E-2</v>
      </c>
      <c r="AQ140" s="20">
        <f t="shared" si="12"/>
        <v>2.2469218395366641E-2</v>
      </c>
      <c r="AR140" s="20">
        <f t="shared" si="13"/>
        <v>6.5217729059563689E-2</v>
      </c>
      <c r="AS140" s="20">
        <f t="shared" si="14"/>
        <v>5.9283812652937362E-2</v>
      </c>
    </row>
    <row r="141" spans="1:45" ht="15" customHeight="1" x14ac:dyDescent="0.2">
      <c r="A141" s="26" t="s">
        <v>135</v>
      </c>
      <c r="B141" s="19" t="s">
        <v>31</v>
      </c>
      <c r="C141" s="20">
        <f t="shared" si="10"/>
        <v>-0.42068146923305594</v>
      </c>
      <c r="D141" s="20">
        <v>-534.85644000000002</v>
      </c>
      <c r="E141" s="20">
        <v>-534.92858000000001</v>
      </c>
      <c r="F141" s="20">
        <v>-536.06290000000001</v>
      </c>
      <c r="G141" s="20">
        <v>-534.957499138</v>
      </c>
      <c r="H141" s="20">
        <v>-535.02753316099995</v>
      </c>
      <c r="I141" s="20">
        <v>-536.18809015700003</v>
      </c>
      <c r="J141" s="20">
        <v>-534.88972987260001</v>
      </c>
      <c r="K141" s="20">
        <v>-534.89849790059998</v>
      </c>
      <c r="L141" s="20">
        <v>-534.9055522264</v>
      </c>
      <c r="M141" s="20">
        <v>-534.94480956949997</v>
      </c>
      <c r="N141" s="20">
        <v>-535.02713220220005</v>
      </c>
      <c r="O141" s="20">
        <v>-536.09814129769995</v>
      </c>
      <c r="P141" s="20">
        <v>-536.11600086609997</v>
      </c>
      <c r="Q141" s="20">
        <v>-535.15803787970003</v>
      </c>
      <c r="R141" s="20">
        <v>-535.22400235400005</v>
      </c>
      <c r="S141" s="20">
        <v>-536.37884200719998</v>
      </c>
      <c r="T141" s="20">
        <f>(S141-Q141)/2*27.211324570273</f>
        <v>-16.609848675064985</v>
      </c>
      <c r="U141" s="20">
        <f>(R141-Q141)*27.211324570273</f>
        <v>-1.7949807202851991</v>
      </c>
      <c r="V141" s="20">
        <f>(F141-I141-D141+G141)/2*27.211324570273</f>
        <v>0.32831849511072481</v>
      </c>
      <c r="W141" s="20">
        <f>(E141-H141-D141+G141)*27.211324570273</f>
        <v>-5.7306423685672778E-2</v>
      </c>
      <c r="X141" s="20">
        <f>(P141-O141-K141+J141)/2*27.211324570273</f>
        <v>-0.1236964283347521</v>
      </c>
      <c r="Y141" s="20">
        <f>(N141-M141-L141+J141)*27.211324570273</f>
        <v>-1.8095606731641265</v>
      </c>
      <c r="Z141" s="21">
        <f>(F141+P141-O141-D141-K141+J141-2*C141)*27.211324570273</f>
        <v>-10.182167497717776</v>
      </c>
      <c r="AA141" s="21">
        <f>(S141+F141-I141+P141-O141-Q141-D141+G141-K141+J141-2*C141)*27.211324570273</f>
        <v>-9.9158532165780251</v>
      </c>
      <c r="AB141" s="21">
        <f>(E141+N141-M141-D141-L141+J141)*27.211324570273</f>
        <v>-3.7725856276664511</v>
      </c>
      <c r="AC141" s="21">
        <f>(R141+E141-H141+N141-M141-Q141-D141+G141-L141+J141)*27.211324570273</f>
        <v>-3.6618478171349986</v>
      </c>
      <c r="AD141" s="20">
        <v>4.84</v>
      </c>
      <c r="AE141" s="20">
        <v>4.4400000000000004</v>
      </c>
      <c r="AF141" s="21">
        <f>-Z141/2-AE141</f>
        <v>0.65108374885888765</v>
      </c>
      <c r="AG141" s="21">
        <f>-AA141/2-AE141</f>
        <v>0.51792660828901216</v>
      </c>
      <c r="AH141" s="21">
        <f>-AB141-AD141</f>
        <v>-1.0674143723335487</v>
      </c>
      <c r="AI141" s="21">
        <f>-AC141-AD141</f>
        <v>-1.1781521828650012</v>
      </c>
      <c r="AJ141" s="22">
        <v>0.376</v>
      </c>
      <c r="AK141" s="21">
        <v>-1.07</v>
      </c>
      <c r="AL141" s="21">
        <f>AF141+(0.69-AF$6)</f>
        <v>0.4067630573340888</v>
      </c>
      <c r="AM141" s="21">
        <f>AG141+(0.69-AG$6)</f>
        <v>0.40153954697869709</v>
      </c>
      <c r="AN141" s="21">
        <f>AH141+(-0.8815-AH$6)</f>
        <v>-1.1397383627296844</v>
      </c>
      <c r="AO141" s="21">
        <f>AI141+(-0.8815-AI$6)</f>
        <v>-1.1265296701323999</v>
      </c>
      <c r="AP141" s="20">
        <f t="shared" si="11"/>
        <v>3.0763057334088795E-2</v>
      </c>
      <c r="AQ141" s="20">
        <f t="shared" si="12"/>
        <v>2.5539546978697092E-2</v>
      </c>
      <c r="AR141" s="20">
        <f t="shared" si="13"/>
        <v>6.9738362729684367E-2</v>
      </c>
      <c r="AS141" s="20">
        <f t="shared" si="14"/>
        <v>5.6529670132399845E-2</v>
      </c>
    </row>
    <row r="142" spans="1:45" ht="15" customHeight="1" x14ac:dyDescent="0.2">
      <c r="A142" s="26" t="s">
        <v>135</v>
      </c>
      <c r="B142" s="19" t="s">
        <v>32</v>
      </c>
      <c r="C142" s="20">
        <f t="shared" si="10"/>
        <v>-0.42068146923305594</v>
      </c>
      <c r="D142" s="20">
        <v>-534.81488999999999</v>
      </c>
      <c r="E142" s="20">
        <v>-534.88649999999996</v>
      </c>
      <c r="F142" s="20">
        <v>-536.01196000000004</v>
      </c>
      <c r="G142" s="20">
        <v>-534.91538782559996</v>
      </c>
      <c r="H142" s="20">
        <v>-534.98483842639996</v>
      </c>
      <c r="I142" s="20">
        <v>-536.13660044170001</v>
      </c>
      <c r="J142" s="20">
        <v>-534.88992735240004</v>
      </c>
      <c r="K142" s="20">
        <v>-534.89866177320005</v>
      </c>
      <c r="L142" s="20">
        <v>-534.90571435360005</v>
      </c>
      <c r="M142" s="20">
        <v>-534.94503492620004</v>
      </c>
      <c r="N142" s="20">
        <v>-535.02732474380002</v>
      </c>
      <c r="O142" s="20">
        <v>-536.09837526230001</v>
      </c>
      <c r="P142" s="20">
        <v>-536.11616559879997</v>
      </c>
      <c r="Q142" s="20">
        <v>-535.1430571221</v>
      </c>
      <c r="R142" s="20">
        <v>-535.20811385410002</v>
      </c>
      <c r="S142" s="20">
        <v>-536.35373429970002</v>
      </c>
      <c r="T142" s="20">
        <f>(S142-Q142)/2*27.211324570273</f>
        <v>-16.47206481474808</v>
      </c>
      <c r="U142" s="20">
        <f>(R142-Q142)*27.211324570273</f>
        <v>-1.7702798499337116</v>
      </c>
      <c r="V142" s="20">
        <f>(F142-I142-D142+G142)/2*27.211324570273</f>
        <v>0.32847628133621182</v>
      </c>
      <c r="W142" s="20">
        <f>(E142-H142-D142+G142)*27.211324570273</f>
        <v>-5.8760112507116907E-2</v>
      </c>
      <c r="X142" s="20">
        <f>(P142-O142-K142+J142)/2*27.211324570273</f>
        <v>-0.12321173069613252</v>
      </c>
      <c r="Y142" s="20">
        <f>(N142-M142-L142+J142)*27.211324570273</f>
        <v>-1.8096297218969943</v>
      </c>
      <c r="Z142" s="21">
        <f>(F142+P142-O142-D142-K142+J142-2*C142)*27.211324570273</f>
        <v>-9.9256837647335114</v>
      </c>
      <c r="AA142" s="21">
        <f>(S142+F142-I142+P142-O142-Q142-D142+G142-K142+J142-2*C142)*27.211324570273</f>
        <v>-9.6390005282098112</v>
      </c>
      <c r="AB142" s="21">
        <f>(E142+N142-M142-D142-L142+J142)*27.211324570273</f>
        <v>-3.7582326743732697</v>
      </c>
      <c r="AC142" s="21">
        <f>(R142+E142-H142+N142-M142-Q142-D142+G142-L142+J142)*27.211324570273</f>
        <v>-3.638669684334729</v>
      </c>
      <c r="AD142" s="20">
        <v>4.84</v>
      </c>
      <c r="AE142" s="20">
        <v>4.4400000000000004</v>
      </c>
      <c r="AF142" s="21">
        <f>-Z142/2-AE142</f>
        <v>0.52284188236675533</v>
      </c>
      <c r="AG142" s="21">
        <f>-AA142/2-AE142</f>
        <v>0.37950026410490523</v>
      </c>
      <c r="AH142" s="21">
        <f>-AB142-AD142</f>
        <v>-1.0817673256267302</v>
      </c>
      <c r="AI142" s="21">
        <f>-AC142-AD142</f>
        <v>-1.2013303156652708</v>
      </c>
      <c r="AJ142" s="22">
        <v>0.376</v>
      </c>
      <c r="AK142" s="21">
        <v>-1.07</v>
      </c>
      <c r="AL142" s="21">
        <f>AF142+(0.69-AF$7)</f>
        <v>0.40703641141754199</v>
      </c>
      <c r="AM142" s="21">
        <f>AG142+(0.69-AG$7)</f>
        <v>0.4000789233459483</v>
      </c>
      <c r="AN142" s="21">
        <f>AH142+(-0.8815-AH$7)</f>
        <v>-1.1352177290595638</v>
      </c>
      <c r="AO142" s="21">
        <f>AI142+(-0.8815-AI$7)</f>
        <v>-1.1218268729745655</v>
      </c>
      <c r="AP142" s="20">
        <f t="shared" si="11"/>
        <v>3.1036411417541987E-2</v>
      </c>
      <c r="AQ142" s="20">
        <f t="shared" si="12"/>
        <v>2.40789233459483E-2</v>
      </c>
      <c r="AR142" s="20">
        <f t="shared" si="13"/>
        <v>6.5217729059563689E-2</v>
      </c>
      <c r="AS142" s="20">
        <f t="shared" si="14"/>
        <v>5.1826872974565452E-2</v>
      </c>
    </row>
    <row r="143" spans="1:45" ht="15" customHeight="1" x14ac:dyDescent="0.2">
      <c r="A143" s="26" t="s">
        <v>135</v>
      </c>
      <c r="B143" s="19" t="s">
        <v>33</v>
      </c>
      <c r="C143" s="20">
        <f t="shared" si="10"/>
        <v>-0.42068146923305594</v>
      </c>
      <c r="D143" s="20">
        <v>-535.04421000000002</v>
      </c>
      <c r="E143" s="20">
        <v>-535.09742000000006</v>
      </c>
      <c r="F143" s="20">
        <v>-536.23161000000005</v>
      </c>
      <c r="G143" s="20">
        <v>-535.14419074110003</v>
      </c>
      <c r="H143" s="20">
        <v>-535.19354502379997</v>
      </c>
      <c r="I143" s="20">
        <v>-536.3547858567</v>
      </c>
      <c r="J143" s="20">
        <v>-534.88968244629996</v>
      </c>
      <c r="K143" s="20">
        <v>-534.89836566940005</v>
      </c>
      <c r="L143" s="20">
        <v>-534.90538353199997</v>
      </c>
      <c r="M143" s="20">
        <v>-534.94467520909996</v>
      </c>
      <c r="N143" s="20">
        <v>-535.0269055238</v>
      </c>
      <c r="O143" s="20">
        <v>-536.09822024669995</v>
      </c>
      <c r="P143" s="20">
        <v>-536.11591644509997</v>
      </c>
      <c r="Q143" s="20">
        <v>-535.14365961359999</v>
      </c>
      <c r="R143" s="20">
        <v>-535.20863153949995</v>
      </c>
      <c r="S143" s="20">
        <v>-536.35438223439996</v>
      </c>
      <c r="T143" s="20">
        <f>(S143-Q143)/2*27.211324570273</f>
        <v>-16.472683099579776</v>
      </c>
      <c r="U143" s="20">
        <f>(R143-Q143)*27.211324570273</f>
        <v>-1.767972163619373</v>
      </c>
      <c r="V143" s="20">
        <f>(F143-I143-D143+G143)/2*27.211324570273</f>
        <v>0.31558490951757751</v>
      </c>
      <c r="W143" s="20">
        <f>(E143-H143-D143+G143)*27.211324570273</f>
        <v>-0.10491917490418744</v>
      </c>
      <c r="X143" s="20">
        <f>(P143-O143-K143+J143)/2*27.211324570273</f>
        <v>-0.12262749811505122</v>
      </c>
      <c r="Y143" s="20">
        <f>(N143-M143-L143+J143)*27.211324570273</f>
        <v>-1.8103484437297055</v>
      </c>
      <c r="Z143" s="21">
        <f>(F143+P143-O143-D143-K143+J143-2*C143)*27.211324570273</f>
        <v>-9.6613817909698518</v>
      </c>
      <c r="AA143" s="21">
        <f>(S143+F143-I143+P143-O143-Q143-D143+G143-K143+J143-2*C143)*27.211324570273</f>
        <v>-9.6648513763544965</v>
      </c>
      <c r="AB143" s="21">
        <f>(E143+N143-M143-D143-L143+J143)*27.211324570273</f>
        <v>-3.258263024114898</v>
      </c>
      <c r="AC143" s="21">
        <f>(R143+E143-H143+N143-M143-Q143-D143+G143-L143+J143)*27.211324570273</f>
        <v>-3.6832397822532661</v>
      </c>
      <c r="AD143" s="20">
        <v>4.84</v>
      </c>
      <c r="AE143" s="20">
        <v>4.4400000000000004</v>
      </c>
      <c r="AF143" s="21">
        <f>-Z143/2-AE143</f>
        <v>0.39069089548492553</v>
      </c>
      <c r="AG143" s="21">
        <f>-AA143/2-AE143</f>
        <v>0.39242568817724788</v>
      </c>
      <c r="AH143" s="21">
        <f>-AB143-AD143</f>
        <v>-1.5817369758851019</v>
      </c>
      <c r="AI143" s="21">
        <f>-AC143-AD143</f>
        <v>-1.1567602177467338</v>
      </c>
      <c r="AJ143" s="22">
        <v>0.376</v>
      </c>
      <c r="AK143" s="21">
        <v>-1.07</v>
      </c>
      <c r="AL143" s="21">
        <f>AF143+(0.69-AF$8)</f>
        <v>0.41125287282445333</v>
      </c>
      <c r="AM143" s="21">
        <f>AG143+(0.69-AG$8)</f>
        <v>0.41079527086652279</v>
      </c>
      <c r="AN143" s="21">
        <f>AH143+(-0.8815-AH$8)</f>
        <v>-1.0760631067630602</v>
      </c>
      <c r="AO143" s="21">
        <f>AI143+(-0.8815-AI$8)</f>
        <v>-1.1193434858556239</v>
      </c>
      <c r="AP143" s="20">
        <f t="shared" si="11"/>
        <v>3.525287282445333E-2</v>
      </c>
      <c r="AQ143" s="20">
        <f t="shared" si="12"/>
        <v>3.4795270866522787E-2</v>
      </c>
      <c r="AR143" s="20">
        <f t="shared" si="13"/>
        <v>6.0631067630600999E-3</v>
      </c>
      <c r="AS143" s="20">
        <f t="shared" si="14"/>
        <v>4.934348585562387E-2</v>
      </c>
    </row>
    <row r="144" spans="1:45" ht="15" customHeight="1" x14ac:dyDescent="0.2">
      <c r="A144" s="26" t="s">
        <v>135</v>
      </c>
      <c r="B144" s="19" t="s">
        <v>174</v>
      </c>
      <c r="C144" s="20">
        <f t="shared" si="10"/>
        <v>-0.42068146923305594</v>
      </c>
      <c r="D144" s="20">
        <v>-535.04345000000001</v>
      </c>
      <c r="E144" s="20">
        <v>-535.11028999999996</v>
      </c>
      <c r="F144" s="20">
        <v>-536.23141999999996</v>
      </c>
      <c r="G144" s="20">
        <v>-535.14381254089994</v>
      </c>
      <c r="H144" s="20">
        <v>-535.20758941099996</v>
      </c>
      <c r="I144" s="20">
        <v>-536.35476795459999</v>
      </c>
      <c r="J144" s="20">
        <v>-534.88967592150004</v>
      </c>
      <c r="K144" s="20">
        <v>-534.89835735029999</v>
      </c>
      <c r="L144" s="20">
        <v>-534.90537423959995</v>
      </c>
      <c r="M144" s="20">
        <v>-534.94481486309996</v>
      </c>
      <c r="N144" s="20">
        <v>-535.02698000149996</v>
      </c>
      <c r="O144" s="20">
        <v>-536.0982200295</v>
      </c>
      <c r="P144" s="20">
        <v>-536.1159072314</v>
      </c>
      <c r="Q144" s="20">
        <v>-535.14365970519998</v>
      </c>
      <c r="R144" s="20">
        <v>-535.20864055799996</v>
      </c>
      <c r="S144" s="20">
        <v>-536.35438242179998</v>
      </c>
      <c r="T144" s="20">
        <f>(S144-Q144)/2*27.211324570273</f>
        <v>-16.472684403002667</v>
      </c>
      <c r="U144" s="20">
        <f>(R144-Q144)*27.211324570273</f>
        <v>-1.7682150763932982</v>
      </c>
      <c r="V144" s="20">
        <f>(F144-I144-D144+G144)/2*27.211324570273</f>
        <v>0.31273177628768906</v>
      </c>
      <c r="W144" s="20">
        <f>(E144-H144-D144+G144)*27.211324570273</f>
        <v>-8.3351821908240406E-2</v>
      </c>
      <c r="X144" s="20">
        <f>(P144-O144-K144+J144)/2*27.211324570273</f>
        <v>-0.12252950741594251</v>
      </c>
      <c r="Y144" s="20">
        <f>(N144-M144-L144+J144)*27.211324570273</f>
        <v>-1.8086502203398376</v>
      </c>
      <c r="Z144" s="21">
        <f>(F144+P144-O144-D144-K144+J144-2*C144)*27.211324570273</f>
        <v>-9.6766962645777461</v>
      </c>
      <c r="AA144" s="21">
        <f>(S144+F144-I144+P144-O144-Q144-D144+G144-K144+J144-2*C144)*27.211324570273</f>
        <v>-9.6703642682618423</v>
      </c>
      <c r="AB144" s="21">
        <f>(E144+N144-M144-D144-L144+J144)*27.211324570273</f>
        <v>-3.627455154615701</v>
      </c>
      <c r="AC144" s="21">
        <f>(R144+E144-H144+N144-M144-Q144-D144+G144-L144+J144)*27.211324570273</f>
        <v>-3.6602171186413761</v>
      </c>
      <c r="AD144" s="20">
        <v>4.84</v>
      </c>
      <c r="AE144" s="20">
        <v>4.4400000000000004</v>
      </c>
      <c r="AF144" s="21">
        <f>-Z144/2-AE144</f>
        <v>0.39834813228887267</v>
      </c>
      <c r="AG144" s="21">
        <f>-AA144/2-AE144</f>
        <v>0.39518213413092074</v>
      </c>
      <c r="AH144" s="21">
        <f>-AB144-AD144</f>
        <v>-1.2125448453842989</v>
      </c>
      <c r="AI144" s="21">
        <f>-AC144-AD144</f>
        <v>-1.1797828813586237</v>
      </c>
      <c r="AJ144" s="22">
        <v>0.376</v>
      </c>
      <c r="AK144" s="21">
        <v>-1.07</v>
      </c>
      <c r="AL144" s="21">
        <f>AF144+(0.69-AF$9)</f>
        <v>0.41392083707884231</v>
      </c>
      <c r="AM144" s="21">
        <f>AG144+(0.69-AG$9)</f>
        <v>0.41280927487829233</v>
      </c>
      <c r="AN144" s="21">
        <f>AH144+(-0.8815-AH$9)</f>
        <v>-1.0864417318089536</v>
      </c>
      <c r="AO144" s="21">
        <f>AI144+(-0.8815-AI$9)</f>
        <v>-1.1018670371391024</v>
      </c>
      <c r="AP144" s="20">
        <f t="shared" si="11"/>
        <v>3.7920837078842307E-2</v>
      </c>
      <c r="AQ144" s="20">
        <f t="shared" si="12"/>
        <v>3.6809274878292331E-2</v>
      </c>
      <c r="AR144" s="20">
        <f t="shared" si="13"/>
        <v>1.6441731808953586E-2</v>
      </c>
      <c r="AS144" s="20">
        <f t="shared" si="14"/>
        <v>3.1867037139102328E-2</v>
      </c>
    </row>
    <row r="145" spans="1:45" ht="15" customHeight="1" x14ac:dyDescent="0.2">
      <c r="A145" s="26" t="s">
        <v>135</v>
      </c>
      <c r="B145" s="19" t="s">
        <v>43</v>
      </c>
      <c r="C145" s="20">
        <f t="shared" si="10"/>
        <v>-0.42068146923305594</v>
      </c>
      <c r="D145" s="20">
        <v>-534.81488999999999</v>
      </c>
      <c r="E145" s="20">
        <v>-534.88649999999996</v>
      </c>
      <c r="F145" s="20">
        <v>-536.01196000000004</v>
      </c>
      <c r="G145" s="20">
        <v>-534.91538782559996</v>
      </c>
      <c r="H145" s="20">
        <v>-534.98483842639996</v>
      </c>
      <c r="I145" s="20">
        <v>-536.13660044170001</v>
      </c>
      <c r="J145" s="20">
        <v>-534.88992735240004</v>
      </c>
      <c r="K145" s="20">
        <v>-534.89866177320005</v>
      </c>
      <c r="L145" s="20">
        <v>-534.90571435360005</v>
      </c>
      <c r="M145" s="20">
        <v>-534.94503492620004</v>
      </c>
      <c r="N145" s="20">
        <v>-535.02732474380002</v>
      </c>
      <c r="O145" s="20">
        <v>-536.09837526230001</v>
      </c>
      <c r="P145" s="20">
        <v>-536.11616559879997</v>
      </c>
      <c r="Q145" s="20">
        <v>-534.38965382891604</v>
      </c>
      <c r="R145" s="20">
        <v>-534.45291587412305</v>
      </c>
      <c r="S145" s="20">
        <v>-535.61250888692405</v>
      </c>
      <c r="T145" s="20">
        <f>(S145-Q145)/2*27.211324570273</f>
        <v>-16.637752942927964</v>
      </c>
      <c r="U145" s="20">
        <f>(R145-Q145)*27.211324570273</f>
        <v>-1.7214440451072706</v>
      </c>
      <c r="V145" s="20">
        <f>(F145-I145-D145+G145)/2*27.211324570273</f>
        <v>0.32847628133621182</v>
      </c>
      <c r="W145" s="20">
        <f>(E145-H145-D145+G145)*27.211324570273</f>
        <v>-5.8760112507116907E-2</v>
      </c>
      <c r="X145" s="20">
        <f>(P145-O145-K145+J145)/2*27.211324570273</f>
        <v>-0.12321173069613252</v>
      </c>
      <c r="Y145" s="20">
        <f>(N145-M145-L145+J145)*27.211324570273</f>
        <v>-1.8096297218969943</v>
      </c>
      <c r="Z145" s="21">
        <f>(F145+P145-O145-D145-K145+J145-2*C145)*27.211324570273</f>
        <v>-9.9256837647335114</v>
      </c>
      <c r="AA145" s="21">
        <f>(S145+F145-I145+P145-O145-Q145-D145+G145-K145+J145-2*C145)*27.211324570273</f>
        <v>-9.9703767845757696</v>
      </c>
      <c r="AB145" s="21">
        <f>(E145+N145-M145-D145-L145+J145)*27.211324570273</f>
        <v>-3.7582326743732697</v>
      </c>
      <c r="AC145" s="21">
        <f>(R145+E145-H145+N145-M145-Q145-D145+G145-L145+J145)*27.211324570273</f>
        <v>-3.589833879511382</v>
      </c>
      <c r="AD145" s="20">
        <v>4.84</v>
      </c>
      <c r="AE145" s="20">
        <v>4.4400000000000004</v>
      </c>
      <c r="AF145" s="21">
        <f>-Z145/2-AE145</f>
        <v>0.52284188236675533</v>
      </c>
      <c r="AG145" s="21">
        <f>-AA145/2-AE145</f>
        <v>0.5451883922878844</v>
      </c>
      <c r="AH145" s="21">
        <f>-AB145-AD145</f>
        <v>-1.0817673256267302</v>
      </c>
      <c r="AI145" s="21">
        <f>-AC145-AD145</f>
        <v>-1.2501661204886179</v>
      </c>
      <c r="AJ145" s="22">
        <v>0.376</v>
      </c>
      <c r="AK145" s="21">
        <v>-1.07</v>
      </c>
      <c r="AL145" s="21">
        <f>AF145+(0.69-AF$10)</f>
        <v>0.40703641141754199</v>
      </c>
      <c r="AM145" s="21">
        <f>AG145+(0.69-AG$10)</f>
        <v>0.43852602529581608</v>
      </c>
      <c r="AN145" s="21">
        <f>AH145+(-0.8815-AH$10)</f>
        <v>-1.1352177290595638</v>
      </c>
      <c r="AO145" s="21">
        <f>AI145+(-0.8815-AI$10)</f>
        <v>-1.0676480088612434</v>
      </c>
      <c r="AP145" s="20">
        <f t="shared" si="11"/>
        <v>3.1036411417541987E-2</v>
      </c>
      <c r="AQ145" s="20">
        <f t="shared" si="12"/>
        <v>6.2526025295816079E-2</v>
      </c>
      <c r="AR145" s="20">
        <f t="shared" si="13"/>
        <v>6.5217729059563689E-2</v>
      </c>
      <c r="AS145" s="20">
        <f t="shared" si="14"/>
        <v>2.351991138756615E-3</v>
      </c>
    </row>
    <row r="146" spans="1:45" x14ac:dyDescent="0.2">
      <c r="A146" s="26" t="s">
        <v>136</v>
      </c>
      <c r="B146" s="19" t="s">
        <v>27</v>
      </c>
      <c r="C146" s="20">
        <f t="shared" si="10"/>
        <v>-0.42068146923305594</v>
      </c>
      <c r="D146" s="20">
        <v>-688.22568999999999</v>
      </c>
      <c r="E146" s="20">
        <v>-688.29436999999996</v>
      </c>
      <c r="F146" s="20">
        <v>-689.40443000000005</v>
      </c>
      <c r="G146" s="20">
        <v>-688.37188962230005</v>
      </c>
      <c r="H146" s="20">
        <v>-688.43769239890003</v>
      </c>
      <c r="I146" s="20">
        <v>-689.57268944980001</v>
      </c>
      <c r="J146" s="20">
        <v>-688.49154346900002</v>
      </c>
      <c r="K146" s="20">
        <v>-688.50055281050004</v>
      </c>
      <c r="L146" s="20">
        <v>-688.51004299830004</v>
      </c>
      <c r="M146" s="20">
        <v>-688.53890332449998</v>
      </c>
      <c r="N146" s="20">
        <v>-688.62128289650002</v>
      </c>
      <c r="O146" s="20">
        <v>-689.66694837540001</v>
      </c>
      <c r="P146" s="20">
        <v>-689.68542825040004</v>
      </c>
      <c r="Q146" s="20">
        <v>-689.09111491670001</v>
      </c>
      <c r="R146" s="20">
        <v>-689.15466808810004</v>
      </c>
      <c r="S146" s="20">
        <v>-690.28918903479996</v>
      </c>
      <c r="T146" s="20">
        <f>(S146-Q146)/2*27.211324570273</f>
        <v>-16.300591843430702</v>
      </c>
      <c r="U146" s="20">
        <f>(R146-Q146)*27.211324570273</f>
        <v>-1.7293659744364296</v>
      </c>
      <c r="V146" s="20">
        <f>(F146-I146-D146+G146)/2*27.211324570273</f>
        <v>0.30013856303203346</v>
      </c>
      <c r="W146" s="20">
        <f>(E146-H146-D146+G146)*27.211324570273</f>
        <v>-7.8293059798356809E-2</v>
      </c>
      <c r="X146" s="20">
        <f>(P146-O146-K146+J146)/2*27.211324570273</f>
        <v>-0.12885288046116905</v>
      </c>
      <c r="Y146" s="20">
        <f>(N146-M146-L146+J146)*27.211324570273</f>
        <v>-1.7382605754731579</v>
      </c>
      <c r="Z146" s="21">
        <f>(F146+P146-O146-D146-K146+J146-2*C146)*27.211324570273</f>
        <v>-9.4381824848876104</v>
      </c>
      <c r="AA146" s="21">
        <f>(S146+F146-I146+P146-O146-Q146-D146+G146-K146+J146-2*C146)*27.211324570273</f>
        <v>-9.3640123217227718</v>
      </c>
      <c r="AB146" s="21">
        <f>(E146+N146-M146-D146-L146+J146)*27.211324570273</f>
        <v>-3.6071343469587482</v>
      </c>
      <c r="AC146" s="21">
        <f>(R146+E146-H146+N146-M146-Q146-D146+G146-L146+J146)*27.211324570273</f>
        <v>-3.5459196097048507</v>
      </c>
      <c r="AD146" s="20">
        <v>4.84</v>
      </c>
      <c r="AE146" s="20">
        <v>4.4400000000000004</v>
      </c>
      <c r="AF146" s="21">
        <f>-Z146/2-AE146</f>
        <v>0.27909124244380479</v>
      </c>
      <c r="AG146" s="21">
        <f>-AA146/2-AE146</f>
        <v>0.24200616086138549</v>
      </c>
      <c r="AH146" s="21">
        <f>-AB146-AD146</f>
        <v>-1.2328656530412516</v>
      </c>
      <c r="AI146" s="21">
        <f>-AC146-AD146</f>
        <v>-1.2940803902951492</v>
      </c>
      <c r="AJ146" s="22">
        <v>8.8999999999999996E-2</v>
      </c>
      <c r="AK146" s="21">
        <v>-1.31</v>
      </c>
      <c r="AL146" s="27">
        <f>AF146+(0.69-AF$2)</f>
        <v>9.628473246974556E-2</v>
      </c>
      <c r="AM146" s="27">
        <f>AG146+(0.69-AG$2)</f>
        <v>8.4736185098449379E-2</v>
      </c>
      <c r="AN146" s="27">
        <f>AH146+(-0.8815-AH$2)</f>
        <v>-1.4073866001521784</v>
      </c>
      <c r="AO146" s="27">
        <f>AI146+(-0.8815-AI$2)</f>
        <v>-1.3999420225752797</v>
      </c>
      <c r="AP146" s="20">
        <f t="shared" si="11"/>
        <v>7.284732469745564E-3</v>
      </c>
      <c r="AQ146" s="20">
        <f t="shared" si="12"/>
        <v>4.2638149015506166E-3</v>
      </c>
      <c r="AR146" s="20">
        <f t="shared" si="13"/>
        <v>9.7386600152178371E-2</v>
      </c>
      <c r="AS146" s="20">
        <f t="shared" si="14"/>
        <v>8.9942022575279612E-2</v>
      </c>
    </row>
    <row r="147" spans="1:45" ht="15" customHeight="1" x14ac:dyDescent="0.2">
      <c r="A147" s="26" t="s">
        <v>136</v>
      </c>
      <c r="B147" s="19" t="s">
        <v>145</v>
      </c>
      <c r="C147" s="20">
        <f t="shared" si="10"/>
        <v>-0.42068146923305594</v>
      </c>
      <c r="D147" s="20">
        <v>-687.87800000000004</v>
      </c>
      <c r="E147" s="20">
        <v>-687.94280000000003</v>
      </c>
      <c r="F147" s="20">
        <v>-689.05173000000002</v>
      </c>
      <c r="G147" s="20">
        <v>-688.02438970330002</v>
      </c>
      <c r="H147" s="20">
        <v>-688.08703129399998</v>
      </c>
      <c r="I147" s="20">
        <v>-689.21977549799999</v>
      </c>
      <c r="J147" s="20">
        <v>-688.49191239720005</v>
      </c>
      <c r="K147" s="20">
        <v>-688.50042337230002</v>
      </c>
      <c r="L147" s="20">
        <v>-688.51016258200002</v>
      </c>
      <c r="M147" s="20">
        <v>-688.53934517849996</v>
      </c>
      <c r="N147" s="20">
        <v>-688.62153750330003</v>
      </c>
      <c r="O147" s="20">
        <v>-689.66740539579996</v>
      </c>
      <c r="P147" s="20">
        <v>-689.68563600309994</v>
      </c>
      <c r="Q147" s="20">
        <v>-688.7569391426</v>
      </c>
      <c r="R147" s="20">
        <v>-688.81834814219997</v>
      </c>
      <c r="S147" s="20">
        <v>-689.9508967969</v>
      </c>
      <c r="T147" s="20">
        <f>(S147-Q147)/2*27.211324570273</f>
        <v>-16.244584627159458</v>
      </c>
      <c r="U147" s="20">
        <f>(R147-Q147)*27.211324570273</f>
        <v>-1.6710202196503321</v>
      </c>
      <c r="V147" s="20">
        <f>(F147-I147-D147+G147)/2*27.211324570273</f>
        <v>0.29464142920438857</v>
      </c>
      <c r="W147" s="20">
        <f>(E147-H147-D147+G147)*27.211324570273</f>
        <v>-5.8733176018418008E-2</v>
      </c>
      <c r="X147" s="20">
        <f>(P147-O147-K147+J147)/2*27.211324570273</f>
        <v>-0.13224203324917311</v>
      </c>
      <c r="Y147" s="20">
        <f>(N147-M147-L147+J147)*27.211324570273</f>
        <v>-1.739950325260784</v>
      </c>
      <c r="Z147" s="21">
        <f>(F147+P147-O147-D147-K147+J147-2*C147)*27.211324570273</f>
        <v>-9.3086320543611745</v>
      </c>
      <c r="AA147" s="21">
        <f>(S147+F147-I147+P147-O147-Q147-D147+G147-K147+J147-2*C147)*27.211324570273</f>
        <v>-9.2697704624115786</v>
      </c>
      <c r="AB147" s="21">
        <f>(E147+N147-M147-D147-L147+J147)*27.211324570273</f>
        <v>-3.5032441574142319</v>
      </c>
      <c r="AC147" s="21">
        <f>(R147+E147-H147+N147-M147-Q147-D147+G147-L147+J147)*27.211324570273</f>
        <v>-3.4697037209326278</v>
      </c>
      <c r="AD147" s="20">
        <v>4.84</v>
      </c>
      <c r="AE147" s="20">
        <v>4.4400000000000004</v>
      </c>
      <c r="AF147" s="21">
        <f>-Z147/2-AE147</f>
        <v>0.21431602718058684</v>
      </c>
      <c r="AG147" s="21">
        <f>-AA147/2-AE147</f>
        <v>0.19488523120578893</v>
      </c>
      <c r="AH147" s="21">
        <f>-AB147-AD147</f>
        <v>-1.336755842585768</v>
      </c>
      <c r="AI147" s="21">
        <f>-AC147-AD147</f>
        <v>-1.3702962790673721</v>
      </c>
      <c r="AJ147" s="22">
        <v>8.8999999999999996E-2</v>
      </c>
      <c r="AK147" s="21">
        <v>-1.31</v>
      </c>
      <c r="AL147" s="27">
        <f>AF147+(0.69-AF$3)</f>
        <v>5.5034186217812309E-2</v>
      </c>
      <c r="AM147" s="27">
        <f>AG147+(0.69-AG$3)</f>
        <v>4.6205044746179258E-2</v>
      </c>
      <c r="AN147" s="27">
        <f>AH147+(-0.8815-AH$3)</f>
        <v>-1.4083505994152365</v>
      </c>
      <c r="AO147" s="27">
        <f>AI147+(-0.8815-AI$3)</f>
        <v>-1.4079908221601181</v>
      </c>
      <c r="AP147" s="20">
        <f t="shared" si="11"/>
        <v>3.3965813782187687E-2</v>
      </c>
      <c r="AQ147" s="20">
        <f t="shared" si="12"/>
        <v>4.2794955253820738E-2</v>
      </c>
      <c r="AR147" s="20">
        <f t="shared" si="13"/>
        <v>9.8350599415236495E-2</v>
      </c>
      <c r="AS147" s="20">
        <f t="shared" si="14"/>
        <v>9.7990822160118007E-2</v>
      </c>
    </row>
    <row r="148" spans="1:45" ht="15" customHeight="1" x14ac:dyDescent="0.2">
      <c r="A148" s="26" t="s">
        <v>136</v>
      </c>
      <c r="B148" s="19" t="s">
        <v>29</v>
      </c>
      <c r="C148" s="20">
        <f t="shared" si="10"/>
        <v>-0.42068146923305594</v>
      </c>
      <c r="D148" s="20">
        <v>-688.44489999999996</v>
      </c>
      <c r="E148" s="20">
        <v>-688.50734</v>
      </c>
      <c r="F148" s="20">
        <v>-689.62261000000001</v>
      </c>
      <c r="G148" s="20">
        <v>-688.59175758499998</v>
      </c>
      <c r="H148" s="20">
        <v>-688.65179685689998</v>
      </c>
      <c r="I148" s="20">
        <v>-689.79126317160001</v>
      </c>
      <c r="J148" s="20">
        <v>-688.49173025619996</v>
      </c>
      <c r="K148" s="20">
        <v>-688.50042259040004</v>
      </c>
      <c r="L148" s="20">
        <v>-688.51008892239997</v>
      </c>
      <c r="M148" s="20">
        <v>-688.53906710590002</v>
      </c>
      <c r="N148" s="20">
        <v>-688.62137729139999</v>
      </c>
      <c r="O148" s="20">
        <v>-689.6671288169</v>
      </c>
      <c r="P148" s="20">
        <v>-689.68552266050006</v>
      </c>
      <c r="Q148" s="20">
        <v>-689.30131383119999</v>
      </c>
      <c r="R148" s="20">
        <v>-689.35898872140001</v>
      </c>
      <c r="S148" s="20">
        <v>-690.49871728079995</v>
      </c>
      <c r="T148" s="20">
        <f>(S148-Q148)/2*27.211324570273</f>
        <v>-16.291466954314526</v>
      </c>
      <c r="U148" s="20">
        <f>(R148-Q148)*27.211324570273</f>
        <v>-1.5694101567875753</v>
      </c>
      <c r="V148" s="20">
        <f>(F148-I148-D148+G148)/2*27.211324570273</f>
        <v>0.2965433905857523</v>
      </c>
      <c r="W148" s="20">
        <f>(E148-H148-D148+G148)*27.211324570273</f>
        <v>-6.5326991535223547E-2</v>
      </c>
      <c r="X148" s="20">
        <f>(P148-O148-K148+J148)/2*27.211324570273</f>
        <v>-0.13199546055212871</v>
      </c>
      <c r="Y148" s="20">
        <f>(N148-M148-L148+J148)*27.211324570273</f>
        <v>-1.7402055484333563</v>
      </c>
      <c r="Z148" s="21">
        <f>(F148+P148-O148-D148-K148+J148-2*C148)*27.211324570273</f>
        <v>-9.4164399807648529</v>
      </c>
      <c r="AA148" s="21">
        <f>(S148+F148-I148+P148-O148-Q148-D148+G148-K148+J148-2*C148)*27.211324570273</f>
        <v>-9.3592380485587086</v>
      </c>
      <c r="AB148" s="21">
        <f>(E148+N148-M148-D148-L148+J148)*27.211324570273</f>
        <v>-3.4392806545991372</v>
      </c>
      <c r="AC148" s="21">
        <f>(R148+E148-H148+N148-M148-Q148-D148+G148-L148+J148)*27.211324570273</f>
        <v>-3.3749426967561553</v>
      </c>
      <c r="AD148" s="20">
        <v>4.84</v>
      </c>
      <c r="AE148" s="20">
        <v>4.4400000000000004</v>
      </c>
      <c r="AF148" s="21">
        <f>-Z148/2-AE148</f>
        <v>0.26821999038242605</v>
      </c>
      <c r="AG148" s="21">
        <f>-AA148/2-AE148</f>
        <v>0.23961902427935389</v>
      </c>
      <c r="AH148" s="21">
        <f>-AB148-AD148</f>
        <v>-1.4007193454008626</v>
      </c>
      <c r="AI148" s="21">
        <f>-AC148-AD148</f>
        <v>-1.4650573032438445</v>
      </c>
      <c r="AJ148" s="22">
        <v>8.8999999999999996E-2</v>
      </c>
      <c r="AK148" s="21">
        <v>-1.31</v>
      </c>
      <c r="AL148" s="21">
        <f>AF148+(0.69-AF$4)</f>
        <v>2.3899298857627205E-2</v>
      </c>
      <c r="AM148" s="21">
        <f>AG148+(0.69-AG$4)</f>
        <v>1.5332779314801481E-2</v>
      </c>
      <c r="AN148" s="21">
        <f>AH148+(-0.8815-AH$4)</f>
        <v>-1.4730433357969983</v>
      </c>
      <c r="AO148" s="21">
        <f>AI148+(-0.8815-AI$4)</f>
        <v>-1.463644802794875</v>
      </c>
      <c r="AP148" s="20">
        <f t="shared" si="11"/>
        <v>6.5100701142372791E-2</v>
      </c>
      <c r="AQ148" s="20">
        <f t="shared" si="12"/>
        <v>7.3667220685198515E-2</v>
      </c>
      <c r="AR148" s="20">
        <f t="shared" si="13"/>
        <v>0.16304333579699826</v>
      </c>
      <c r="AS148" s="20">
        <f t="shared" si="14"/>
        <v>0.15364480279487491</v>
      </c>
    </row>
    <row r="149" spans="1:45" ht="15" customHeight="1" x14ac:dyDescent="0.2">
      <c r="A149" s="26" t="s">
        <v>136</v>
      </c>
      <c r="B149" s="19" t="s">
        <v>30</v>
      </c>
      <c r="C149" s="20">
        <f t="shared" si="10"/>
        <v>-0.42068146923305594</v>
      </c>
      <c r="D149" s="20">
        <v>-688.38225</v>
      </c>
      <c r="E149" s="20">
        <v>-688.44431999999995</v>
      </c>
      <c r="F149" s="20">
        <v>-689.55079999999998</v>
      </c>
      <c r="G149" s="20">
        <v>-688.52854245269998</v>
      </c>
      <c r="H149" s="20">
        <v>-688.5881388729</v>
      </c>
      <c r="I149" s="20">
        <v>-689.71895276229998</v>
      </c>
      <c r="J149" s="20">
        <v>-688.49200148160003</v>
      </c>
      <c r="K149" s="20">
        <v>-688.50064879470006</v>
      </c>
      <c r="L149" s="20">
        <v>-688.51030654650003</v>
      </c>
      <c r="M149" s="20">
        <v>-688.53937283519997</v>
      </c>
      <c r="N149" s="20">
        <v>-688.62163329179998</v>
      </c>
      <c r="O149" s="20">
        <v>-689.66743784599998</v>
      </c>
      <c r="P149" s="20">
        <v>-689.68573606270002</v>
      </c>
      <c r="Q149" s="20">
        <v>-689.25620637290001</v>
      </c>
      <c r="R149" s="20">
        <v>-689.31307041390005</v>
      </c>
      <c r="S149" s="20">
        <v>-690.44381375989997</v>
      </c>
      <c r="T149" s="20">
        <f>(S149-Q149)/2*27.211324570273</f>
        <v>-16.158185034854828</v>
      </c>
      <c r="U149" s="20">
        <f>(R149-Q149)*27.211324570273</f>
        <v>-1.5473458760293952</v>
      </c>
      <c r="V149" s="20">
        <f>(F149-I149-D149+G149)/2*27.211324570273</f>
        <v>0.29742398986633378</v>
      </c>
      <c r="W149" s="20">
        <f>(E149-H149-D149+G149)*27.211324570273</f>
        <v>-6.7309382786245736E-2</v>
      </c>
      <c r="X149" s="20">
        <f>(P149-O149-K149+J149)/2*27.211324570273</f>
        <v>-0.13130693512806674</v>
      </c>
      <c r="Y149" s="20">
        <f>(N149-M149-L149+J149)*27.211324570273</f>
        <v>-1.7403109215678003</v>
      </c>
      <c r="Z149" s="21">
        <f>(F149+P149-O149-D149-K149+J149-2*C149)*27.211324570273</f>
        <v>-9.1658071968481565</v>
      </c>
      <c r="AA149" s="21">
        <f>(S149+F149-I149+P149-O149-Q149-D149+G149-K149+J149-2*C149)*27.211324570273</f>
        <v>-9.0895359602331176</v>
      </c>
      <c r="AB149" s="21">
        <f>(E149+N149-M149-D149-L149+J149)*27.211324570273</f>
        <v>-3.4293178376401579</v>
      </c>
      <c r="AC149" s="21">
        <f>(R149+E149-H149+N149-M149-Q149-D149+G149-L149+J149)*27.211324570273</f>
        <v>-3.3549661803772541</v>
      </c>
      <c r="AD149" s="20">
        <v>4.84</v>
      </c>
      <c r="AE149" s="20">
        <v>4.4400000000000004</v>
      </c>
      <c r="AF149" s="21">
        <f>-Z149/2-AE149</f>
        <v>0.14290359842407785</v>
      </c>
      <c r="AG149" s="21">
        <f>-AA149/2-AE149</f>
        <v>0.10476798011655841</v>
      </c>
      <c r="AH149" s="21">
        <f>-AB149-AD149</f>
        <v>-1.410682162359842</v>
      </c>
      <c r="AI149" s="21">
        <f>-AC149-AD149</f>
        <v>-1.4850338196227457</v>
      </c>
      <c r="AJ149" s="22">
        <v>8.8999999999999996E-2</v>
      </c>
      <c r="AK149" s="21">
        <v>-1.31</v>
      </c>
      <c r="AL149" s="21">
        <f>AF149+(0.69-AF$5)</f>
        <v>2.7098127474864508E-2</v>
      </c>
      <c r="AM149" s="21">
        <f>AG149+(0.69-AG$5)</f>
        <v>1.6111566063463645E-2</v>
      </c>
      <c r="AN149" s="21">
        <f>AH149+(-0.8815-AH$5)</f>
        <v>-1.4641325657926756</v>
      </c>
      <c r="AO149" s="21">
        <f>AI149+(-0.8815-AI$5)</f>
        <v>-1.4530841911407406</v>
      </c>
      <c r="AP149" s="20">
        <f t="shared" si="11"/>
        <v>6.1901872525135487E-2</v>
      </c>
      <c r="AQ149" s="20">
        <f t="shared" si="12"/>
        <v>7.2888433936536351E-2</v>
      </c>
      <c r="AR149" s="20">
        <f t="shared" si="13"/>
        <v>0.15413256579267554</v>
      </c>
      <c r="AS149" s="20">
        <f t="shared" si="14"/>
        <v>0.14308419114074056</v>
      </c>
    </row>
    <row r="150" spans="1:45" ht="15" customHeight="1" x14ac:dyDescent="0.2">
      <c r="A150" s="26" t="s">
        <v>136</v>
      </c>
      <c r="B150" s="19" t="s">
        <v>31</v>
      </c>
      <c r="C150" s="20">
        <f t="shared" si="10"/>
        <v>-0.42068146923305594</v>
      </c>
      <c r="D150" s="20">
        <v>-688.44489999999996</v>
      </c>
      <c r="E150" s="20">
        <v>-688.50734</v>
      </c>
      <c r="F150" s="20">
        <v>-689.62261000000001</v>
      </c>
      <c r="G150" s="20">
        <v>-688.59175758499998</v>
      </c>
      <c r="H150" s="20">
        <v>-688.65179685689998</v>
      </c>
      <c r="I150" s="20">
        <v>-689.79126317160001</v>
      </c>
      <c r="J150" s="20">
        <v>-688.49173025619996</v>
      </c>
      <c r="K150" s="20">
        <v>-688.50042259040004</v>
      </c>
      <c r="L150" s="20">
        <v>-688.51008892239997</v>
      </c>
      <c r="M150" s="20">
        <v>-688.53906710590002</v>
      </c>
      <c r="N150" s="20">
        <v>-688.62137729139999</v>
      </c>
      <c r="O150" s="20">
        <v>-689.6671288169</v>
      </c>
      <c r="P150" s="20">
        <v>-689.68552266050006</v>
      </c>
      <c r="Q150" s="20">
        <v>-688.83120503700002</v>
      </c>
      <c r="R150" s="20">
        <v>-688.88753485040002</v>
      </c>
      <c r="S150" s="20">
        <v>-690.02061518630001</v>
      </c>
      <c r="T150" s="20">
        <f>(S150-Q150)/2*27.211324570273</f>
        <v>-16.18271280988942</v>
      </c>
      <c r="U150" s="20">
        <f>(R150-Q150)*27.211324570273</f>
        <v>-1.5328088354102554</v>
      </c>
      <c r="V150" s="20">
        <f>(F150-I150-D150+G150)/2*27.211324570273</f>
        <v>0.2965433905857523</v>
      </c>
      <c r="W150" s="20">
        <f>(E150-H150-D150+G150)*27.211324570273</f>
        <v>-6.5326991535223547E-2</v>
      </c>
      <c r="X150" s="20">
        <f>(P150-O150-K150+J150)/2*27.211324570273</f>
        <v>-0.13199546055212871</v>
      </c>
      <c r="Y150" s="20">
        <f>(N150-M150-L150+J150)*27.211324570273</f>
        <v>-1.7402055484333563</v>
      </c>
      <c r="Z150" s="21">
        <f>(F150+P150-O150-D150-K150+J150-2*C150)*27.211324570273</f>
        <v>-9.4164399807648529</v>
      </c>
      <c r="AA150" s="21">
        <f>(S150+F150-I150+P150-O150-Q150-D150+G150-K150+J150-2*C150)*27.211324570273</f>
        <v>-9.1417297597146874</v>
      </c>
      <c r="AB150" s="21">
        <f>(E150+N150-M150-D150-L150+J150)*27.211324570273</f>
        <v>-3.4392806545991372</v>
      </c>
      <c r="AC150" s="21">
        <f>(R150+E150-H150+N150-M150-Q150-D150+G150-L150+J150)*27.211324570273</f>
        <v>-3.3383413753788354</v>
      </c>
      <c r="AD150" s="20">
        <v>4.84</v>
      </c>
      <c r="AE150" s="20">
        <v>4.4400000000000004</v>
      </c>
      <c r="AF150" s="21">
        <f>-Z150/2-AE150</f>
        <v>0.26821999038242605</v>
      </c>
      <c r="AG150" s="21">
        <f>-AA150/2-AE150</f>
        <v>0.1308648798573433</v>
      </c>
      <c r="AH150" s="21">
        <f>-AB150-AD150</f>
        <v>-1.4007193454008626</v>
      </c>
      <c r="AI150" s="21">
        <f>-AC150-AD150</f>
        <v>-1.5016586246211645</v>
      </c>
      <c r="AJ150" s="22">
        <v>8.8999999999999996E-2</v>
      </c>
      <c r="AK150" s="21">
        <v>-1.31</v>
      </c>
      <c r="AL150" s="21">
        <f>AF150+(0.69-AF$6)</f>
        <v>2.3899298857627205E-2</v>
      </c>
      <c r="AM150" s="21">
        <f>AG150+(0.69-AG$6)</f>
        <v>1.4477818547028232E-2</v>
      </c>
      <c r="AN150" s="21">
        <f>AH150+(-0.8815-AH$6)</f>
        <v>-1.4730433357969983</v>
      </c>
      <c r="AO150" s="21">
        <f>AI150+(-0.8815-AI$6)</f>
        <v>-1.4500361118885632</v>
      </c>
      <c r="AP150" s="20">
        <f t="shared" si="11"/>
        <v>6.5100701142372791E-2</v>
      </c>
      <c r="AQ150" s="20">
        <f t="shared" si="12"/>
        <v>7.4522181452971764E-2</v>
      </c>
      <c r="AR150" s="20">
        <f t="shared" si="13"/>
        <v>0.16304333579699826</v>
      </c>
      <c r="AS150" s="20">
        <f t="shared" si="14"/>
        <v>0.14003611188856313</v>
      </c>
    </row>
    <row r="151" spans="1:45" ht="15" customHeight="1" x14ac:dyDescent="0.2">
      <c r="A151" s="26" t="s">
        <v>136</v>
      </c>
      <c r="B151" s="19" t="s">
        <v>32</v>
      </c>
      <c r="C151" s="20">
        <f t="shared" si="10"/>
        <v>-0.42068146923305594</v>
      </c>
      <c r="D151" s="20">
        <v>-688.38225</v>
      </c>
      <c r="E151" s="20">
        <v>-688.44431999999995</v>
      </c>
      <c r="F151" s="20">
        <v>-689.55079999999998</v>
      </c>
      <c r="G151" s="20">
        <v>-688.52854245269998</v>
      </c>
      <c r="H151" s="20">
        <v>-688.5881388729</v>
      </c>
      <c r="I151" s="20">
        <v>-689.71895276229998</v>
      </c>
      <c r="J151" s="20">
        <v>-688.49200148160003</v>
      </c>
      <c r="K151" s="20">
        <v>-688.50064879470006</v>
      </c>
      <c r="L151" s="20">
        <v>-688.51030654650003</v>
      </c>
      <c r="M151" s="20">
        <v>-688.53937283519997</v>
      </c>
      <c r="N151" s="20">
        <v>-688.62163329179998</v>
      </c>
      <c r="O151" s="20">
        <v>-689.66743784599998</v>
      </c>
      <c r="P151" s="20">
        <v>-689.68573606270002</v>
      </c>
      <c r="Q151" s="20">
        <v>-688.80565702039996</v>
      </c>
      <c r="R151" s="20">
        <v>-688.86122853209997</v>
      </c>
      <c r="S151" s="20">
        <v>-689.98498763060002</v>
      </c>
      <c r="T151" s="20">
        <f>(S151-Q151)/2*27.211324570273</f>
        <v>-16.045574004905895</v>
      </c>
      <c r="U151" s="20">
        <f>(R151-Q151)*27.211324570273</f>
        <v>-1.5121744417296703</v>
      </c>
      <c r="V151" s="20">
        <f>(F151-I151-D151+G151)/2*27.211324570273</f>
        <v>0.29742398986633378</v>
      </c>
      <c r="W151" s="20">
        <f>(E151-H151-D151+G151)*27.211324570273</f>
        <v>-6.7309382786245736E-2</v>
      </c>
      <c r="X151" s="20">
        <f>(P151-O151-K151+J151)/2*27.211324570273</f>
        <v>-0.13130693512806674</v>
      </c>
      <c r="Y151" s="20">
        <f>(N151-M151-L151+J151)*27.211324570273</f>
        <v>-1.7403109215678003</v>
      </c>
      <c r="Z151" s="21">
        <f>(F151+P151-O151-D151-K151+J151-2*C151)*27.211324570273</f>
        <v>-9.1658071968481565</v>
      </c>
      <c r="AA151" s="21">
        <f>(S151+F151-I151+P151-O151-Q151-D151+G151-K151+J151-2*C151)*27.211324570273</f>
        <v>-8.8643139003352509</v>
      </c>
      <c r="AB151" s="21">
        <f>(E151+N151-M151-D151-L151+J151)*27.211324570273</f>
        <v>-3.4293178376401579</v>
      </c>
      <c r="AC151" s="21">
        <f>(R151+E151-H151+N151-M151-Q151-D151+G151-L151+J151)*27.211324570273</f>
        <v>-3.31979474608681</v>
      </c>
      <c r="AD151" s="20">
        <v>4.84</v>
      </c>
      <c r="AE151" s="20">
        <v>4.4400000000000004</v>
      </c>
      <c r="AF151" s="21">
        <f>-Z151/2-AE151</f>
        <v>0.14290359842407785</v>
      </c>
      <c r="AG151" s="21">
        <f>-AA151/2-AE151</f>
        <v>-7.8430498323749376E-3</v>
      </c>
      <c r="AH151" s="21">
        <f>-AB151-AD151</f>
        <v>-1.410682162359842</v>
      </c>
      <c r="AI151" s="21">
        <f>-AC151-AD151</f>
        <v>-1.5202052539131898</v>
      </c>
      <c r="AJ151" s="22">
        <v>8.8999999999999996E-2</v>
      </c>
      <c r="AK151" s="21">
        <v>-1.31</v>
      </c>
      <c r="AL151" s="21">
        <f>AF151+(0.69-AF$7)</f>
        <v>2.7098127474864508E-2</v>
      </c>
      <c r="AM151" s="21">
        <f>AG151+(0.69-AG$7)</f>
        <v>1.2735609408668136E-2</v>
      </c>
      <c r="AN151" s="21">
        <f>AH151+(-0.8815-AH$7)</f>
        <v>-1.4641325657926756</v>
      </c>
      <c r="AO151" s="21">
        <f>AI151+(-0.8815-AI$7)</f>
        <v>-1.4407018112224845</v>
      </c>
      <c r="AP151" s="20">
        <f t="shared" si="11"/>
        <v>6.1901872525135487E-2</v>
      </c>
      <c r="AQ151" s="20">
        <f t="shared" si="12"/>
        <v>7.626439059133186E-2</v>
      </c>
      <c r="AR151" s="20">
        <f t="shared" si="13"/>
        <v>0.15413256579267554</v>
      </c>
      <c r="AS151" s="20">
        <f t="shared" si="14"/>
        <v>0.13070181122248448</v>
      </c>
    </row>
    <row r="152" spans="1:45" ht="15" customHeight="1" x14ac:dyDescent="0.2">
      <c r="A152" s="26" t="s">
        <v>136</v>
      </c>
      <c r="B152" s="19" t="s">
        <v>33</v>
      </c>
      <c r="C152" s="20">
        <f t="shared" si="10"/>
        <v>-0.42068146923305594</v>
      </c>
      <c r="D152" s="20">
        <v>-688.66223000000002</v>
      </c>
      <c r="E152" s="20">
        <v>-688.70321000000001</v>
      </c>
      <c r="F152" s="20">
        <v>-689.82164999999998</v>
      </c>
      <c r="G152" s="20">
        <v>-688.80713992990002</v>
      </c>
      <c r="H152" s="20">
        <v>-688.84471977210001</v>
      </c>
      <c r="I152" s="20">
        <v>-689.98600838940001</v>
      </c>
      <c r="J152" s="20">
        <v>-688.49166333150004</v>
      </c>
      <c r="K152" s="20">
        <v>-688.50023133210004</v>
      </c>
      <c r="L152" s="20">
        <v>-688.50984182000002</v>
      </c>
      <c r="M152" s="20">
        <v>-688.538880178</v>
      </c>
      <c r="N152" s="20">
        <v>-688.62100514860003</v>
      </c>
      <c r="O152" s="20">
        <v>-689.66715313090003</v>
      </c>
      <c r="P152" s="20">
        <v>-689.68522599510004</v>
      </c>
      <c r="Q152" s="20">
        <v>-688.80648419290003</v>
      </c>
      <c r="R152" s="20">
        <v>-688.86194293779999</v>
      </c>
      <c r="S152" s="20">
        <v>-689.98585814039996</v>
      </c>
      <c r="T152" s="20">
        <f>(S152-Q152)/2*27.211324570273</f>
        <v>-16.046163637572292</v>
      </c>
      <c r="U152" s="20">
        <f>(R152-Q152)*27.211324570273</f>
        <v>-1.5091059077329334</v>
      </c>
      <c r="V152" s="20">
        <f>(F152-I152-D152+G152)/2*27.211324570273</f>
        <v>0.26460917192370398</v>
      </c>
      <c r="W152" s="20">
        <f>(E152-H152-D152+G152)*27.211324570273</f>
        <v>-9.2522797485988378E-2</v>
      </c>
      <c r="X152" s="20">
        <f>(P152-O152-K152+J152)/2*27.211324570273</f>
        <v>-0.12931996420788858</v>
      </c>
      <c r="Y152" s="20">
        <f>(N152-M152-L152+J152)*27.211324570273</f>
        <v>-1.7400684795516175</v>
      </c>
      <c r="Z152" s="21">
        <f>(F152+P152-O152-D152-K152+J152-2*C152)*27.211324570273</f>
        <v>-8.9133938616804631</v>
      </c>
      <c r="AA152" s="21">
        <f>(S152+F152-I152+P152-O152-Q152-D152+G152-K152+J152-2*C152)*27.211324570273</f>
        <v>-8.9271488597160484</v>
      </c>
      <c r="AB152" s="21">
        <f>(E152+N152-M152-D152-L152+J152)*27.211324570273</f>
        <v>-2.8551885604442391</v>
      </c>
      <c r="AC152" s="21">
        <f>(R152+E152-H152+N152-M152-Q152-D152+G152-L152+J152)*27.211324570273</f>
        <v>-3.3416971847736328</v>
      </c>
      <c r="AD152" s="20">
        <v>4.84</v>
      </c>
      <c r="AE152" s="20">
        <v>4.4400000000000004</v>
      </c>
      <c r="AF152" s="21">
        <f>-Z152/2-AE152</f>
        <v>1.6696930840231161E-2</v>
      </c>
      <c r="AG152" s="21">
        <f>-AA152/2-AE152</f>
        <v>2.3574429858023827E-2</v>
      </c>
      <c r="AH152" s="21">
        <f>-AB152-AD152</f>
        <v>-1.9848114395557608</v>
      </c>
      <c r="AI152" s="21">
        <f>-AC152-AD152</f>
        <v>-1.4983028152263671</v>
      </c>
      <c r="AJ152" s="22">
        <v>8.8999999999999996E-2</v>
      </c>
      <c r="AK152" s="21">
        <v>-1.31</v>
      </c>
      <c r="AL152" s="21">
        <f>AF152+(0.69-AF$8)</f>
        <v>3.7258908179758965E-2</v>
      </c>
      <c r="AM152" s="21">
        <f>AG152+(0.69-AG$8)</f>
        <v>4.1944012547298737E-2</v>
      </c>
      <c r="AN152" s="21">
        <f>AH152+(-0.8815-AH$8)</f>
        <v>-1.4791375704337191</v>
      </c>
      <c r="AO152" s="21">
        <f>AI152+(-0.8815-AI$8)</f>
        <v>-1.4608860833352573</v>
      </c>
      <c r="AP152" s="20">
        <f t="shared" si="11"/>
        <v>5.1741091820241031E-2</v>
      </c>
      <c r="AQ152" s="20">
        <f t="shared" si="12"/>
        <v>4.7055987452701259E-2</v>
      </c>
      <c r="AR152" s="20">
        <f t="shared" si="13"/>
        <v>0.16913757043371902</v>
      </c>
      <c r="AS152" s="20">
        <f t="shared" si="14"/>
        <v>0.15088608333525722</v>
      </c>
    </row>
    <row r="153" spans="1:45" ht="15" customHeight="1" x14ac:dyDescent="0.2">
      <c r="A153" s="26" t="s">
        <v>136</v>
      </c>
      <c r="B153" s="19" t="s">
        <v>174</v>
      </c>
      <c r="C153" s="20">
        <f t="shared" si="10"/>
        <v>-0.42068146923305594</v>
      </c>
      <c r="D153" s="20">
        <v>-688.6617</v>
      </c>
      <c r="E153" s="20">
        <v>-688.72010999999998</v>
      </c>
      <c r="F153" s="20">
        <v>-689.82108000000005</v>
      </c>
      <c r="G153" s="20">
        <v>-688.80681325429998</v>
      </c>
      <c r="H153" s="20">
        <v>-688.86153575629999</v>
      </c>
      <c r="I153" s="20">
        <v>-689.98599484119995</v>
      </c>
      <c r="J153" s="20">
        <v>-688.49165501209995</v>
      </c>
      <c r="K153" s="20">
        <v>-688.50022318339995</v>
      </c>
      <c r="L153" s="20">
        <v>-688.50983314250004</v>
      </c>
      <c r="M153" s="20">
        <v>-688.53900819190005</v>
      </c>
      <c r="N153" s="20">
        <v>-688.62109592599995</v>
      </c>
      <c r="O153" s="20">
        <v>-689.66712862600002</v>
      </c>
      <c r="P153" s="20">
        <v>-689.68518454449998</v>
      </c>
      <c r="Q153" s="20">
        <v>-688.8064842233</v>
      </c>
      <c r="R153" s="20">
        <v>-688.86195319490002</v>
      </c>
      <c r="S153" s="20">
        <v>-689.98585714249998</v>
      </c>
      <c r="T153" s="20">
        <f>(S153-Q153)/2*27.211324570273</f>
        <v>-16.046149646870468</v>
      </c>
      <c r="U153" s="20">
        <f>(R153-Q153)*27.211324570273</f>
        <v>-1.5093841897874314</v>
      </c>
      <c r="V153" s="20">
        <f>(F153-I153-D153+G153)/2*27.211324570273</f>
        <v>0.26941370407004556</v>
      </c>
      <c r="W153" s="20">
        <f>(E153-H153-D153+G153)*27.211324570273</f>
        <v>-0.1003417049295954</v>
      </c>
      <c r="X153" s="20">
        <f>(P153-O153-K153+J153)/2*27.211324570273</f>
        <v>-0.12908708424934079</v>
      </c>
      <c r="Y153" s="20">
        <f>(N153-M153-L153+J153)*27.211324570273</f>
        <v>-1.7390649694331202</v>
      </c>
      <c r="Z153" s="21">
        <f>(F153+P153-O153-D153-K153+J153-2*C153)*27.211324570273</f>
        <v>-8.9118396487833049</v>
      </c>
      <c r="AA153" s="21">
        <f>(S153+F153-I153+P153-O153-Q153-D153+G153-K153+J153-2*C153)*27.211324570273</f>
        <v>-8.9170460540933405</v>
      </c>
      <c r="AB153" s="21">
        <f>(E153+N153-M153-D153-L153+J153)*27.211324570273</f>
        <v>-3.3284784375822425</v>
      </c>
      <c r="AC153" s="21">
        <f>(R153+E153-H153+N153-M153-Q153-D153+G153-L153+J153)*27.211324570273</f>
        <v>-3.3487908641470536</v>
      </c>
      <c r="AD153" s="20">
        <v>4.84</v>
      </c>
      <c r="AE153" s="20">
        <v>4.4400000000000004</v>
      </c>
      <c r="AF153" s="21">
        <f>-Z153/2-AE153</f>
        <v>1.5919824391652071E-2</v>
      </c>
      <c r="AG153" s="21">
        <f>-AA153/2-AE153</f>
        <v>1.852302704666986E-2</v>
      </c>
      <c r="AH153" s="21">
        <f>-AB153-AD153</f>
        <v>-1.5115215624177574</v>
      </c>
      <c r="AI153" s="21">
        <f>-AC153-AD153</f>
        <v>-1.4912091358529462</v>
      </c>
      <c r="AJ153" s="22">
        <v>8.8999999999999996E-2</v>
      </c>
      <c r="AK153" s="21">
        <v>-1.31</v>
      </c>
      <c r="AL153" s="21">
        <f>AF153+(0.69-AF$9)</f>
        <v>3.1492529181621709E-2</v>
      </c>
      <c r="AM153" s="21">
        <f>AG153+(0.69-AG$9)</f>
        <v>3.6150167794041455E-2</v>
      </c>
      <c r="AN153" s="21">
        <f>AH153+(-0.8815-AH$9)</f>
        <v>-1.3854184488424122</v>
      </c>
      <c r="AO153" s="21">
        <f>AI153+(-0.8815-AI$9)</f>
        <v>-1.4132932916334249</v>
      </c>
      <c r="AP153" s="20">
        <f t="shared" si="11"/>
        <v>5.7507470818378287E-2</v>
      </c>
      <c r="AQ153" s="20">
        <f t="shared" si="12"/>
        <v>5.2849832205958541E-2</v>
      </c>
      <c r="AR153" s="20">
        <f t="shared" si="13"/>
        <v>7.5418448842412111E-2</v>
      </c>
      <c r="AS153" s="20">
        <f t="shared" si="14"/>
        <v>0.10329329163342482</v>
      </c>
    </row>
    <row r="154" spans="1:45" ht="15" customHeight="1" x14ac:dyDescent="0.2">
      <c r="A154" s="26" t="s">
        <v>136</v>
      </c>
      <c r="B154" s="19" t="s">
        <v>43</v>
      </c>
      <c r="C154" s="20">
        <f t="shared" si="10"/>
        <v>-0.42068146923305594</v>
      </c>
      <c r="D154" s="20">
        <v>-688.38225</v>
      </c>
      <c r="E154" s="20">
        <v>-688.44431999999995</v>
      </c>
      <c r="F154" s="20">
        <v>-689.55079999999998</v>
      </c>
      <c r="G154" s="20">
        <v>-688.52854245269998</v>
      </c>
      <c r="H154" s="20">
        <v>-688.5881388729</v>
      </c>
      <c r="I154" s="20">
        <v>-689.71895276229998</v>
      </c>
      <c r="J154" s="20">
        <v>-688.49200148160003</v>
      </c>
      <c r="K154" s="20">
        <v>-688.50064879470006</v>
      </c>
      <c r="L154" s="20">
        <v>-688.51030654650003</v>
      </c>
      <c r="M154" s="20">
        <v>-688.53937283519997</v>
      </c>
      <c r="N154" s="20">
        <v>-688.62163329179998</v>
      </c>
      <c r="O154" s="20">
        <v>-689.66743784599998</v>
      </c>
      <c r="P154" s="20">
        <v>-689.68573606270002</v>
      </c>
      <c r="Q154" s="20">
        <v>-687.81223698311499</v>
      </c>
      <c r="R154" s="20">
        <v>-687.86873493891403</v>
      </c>
      <c r="S154" s="20">
        <v>-689.00780927669905</v>
      </c>
      <c r="T154" s="20">
        <f>(S154-Q154)/2*27.211324570273</f>
        <v>-16.266552863970844</v>
      </c>
      <c r="U154" s="20">
        <f>(R154-Q154)*27.211324570273</f>
        <v>-1.5373842128047643</v>
      </c>
      <c r="V154" s="20">
        <f>(F154-I154-D154+G154)/2*27.211324570273</f>
        <v>0.29742398986633378</v>
      </c>
      <c r="W154" s="20">
        <f>(E154-H154-D154+G154)*27.211324570273</f>
        <v>-6.7309382786245736E-2</v>
      </c>
      <c r="X154" s="20">
        <f>(P154-O154-K154+J154)/2*27.211324570273</f>
        <v>-0.13130693512806674</v>
      </c>
      <c r="Y154" s="20">
        <f>(N154-M154-L154+J154)*27.211324570273</f>
        <v>-1.7403109215678003</v>
      </c>
      <c r="Z154" s="21">
        <f>(F154+P154-O154-D154-K154+J154-2*C154)*27.211324570273</f>
        <v>-9.1658071968481565</v>
      </c>
      <c r="AA154" s="21">
        <f>(S154+F154-I154+P154-O154-Q154-D154+G154-K154+J154-2*C154)*27.211324570273</f>
        <v>-9.3062716184620573</v>
      </c>
      <c r="AB154" s="21">
        <f>(E154+N154-M154-D154-L154+J154)*27.211324570273</f>
        <v>-3.4293178376401579</v>
      </c>
      <c r="AC154" s="21">
        <f>(R154+E154-H154+N154-M154-Q154-D154+G154-L154+J154)*27.211324570273</f>
        <v>-3.3450045171526233</v>
      </c>
      <c r="AD154" s="20">
        <v>4.84</v>
      </c>
      <c r="AE154" s="20">
        <v>4.4400000000000004</v>
      </c>
      <c r="AF154" s="21">
        <f>-Z154/2-AE154</f>
        <v>0.14290359842407785</v>
      </c>
      <c r="AG154" s="21">
        <f>-AA154/2-AE154</f>
        <v>0.21313580923102826</v>
      </c>
      <c r="AH154" s="21">
        <f>-AB154-AD154</f>
        <v>-1.410682162359842</v>
      </c>
      <c r="AI154" s="21">
        <f>-AC154-AD154</f>
        <v>-1.4949954828473766</v>
      </c>
      <c r="AJ154" s="22">
        <v>8.8999999999999996E-2</v>
      </c>
      <c r="AK154" s="21">
        <v>-1.31</v>
      </c>
      <c r="AL154" s="21">
        <f>AF154+(0.69-AF$10)</f>
        <v>2.7098127474864508E-2</v>
      </c>
      <c r="AM154" s="21">
        <f>AG154+(0.69-AG$10)</f>
        <v>0.10647344223895994</v>
      </c>
      <c r="AN154" s="21">
        <f>AH154+(-0.8815-AH$10)</f>
        <v>-1.4641325657926756</v>
      </c>
      <c r="AO154" s="21">
        <f>AI154+(-0.8815-AI$10)</f>
        <v>-1.3124773712200022</v>
      </c>
      <c r="AP154" s="20">
        <f t="shared" si="11"/>
        <v>6.1901872525135487E-2</v>
      </c>
      <c r="AQ154" s="20">
        <f t="shared" si="12"/>
        <v>1.7473442238959941E-2</v>
      </c>
      <c r="AR154" s="20">
        <f t="shared" si="13"/>
        <v>0.15413256579267554</v>
      </c>
      <c r="AS154" s="20">
        <f t="shared" si="14"/>
        <v>2.4773712200021336E-3</v>
      </c>
    </row>
    <row r="155" spans="1:45" x14ac:dyDescent="0.2">
      <c r="A155" s="26" t="s">
        <v>137</v>
      </c>
      <c r="B155" s="19" t="s">
        <v>27</v>
      </c>
      <c r="C155" s="20">
        <f t="shared" si="10"/>
        <v>-0.42068146923305594</v>
      </c>
      <c r="D155" s="20">
        <v>-1607.18713</v>
      </c>
      <c r="E155" s="20">
        <v>-1607.26494</v>
      </c>
      <c r="F155" s="20">
        <v>-1608.3712599999999</v>
      </c>
      <c r="G155" s="20">
        <v>-1607.3069945059999</v>
      </c>
      <c r="H155" s="20">
        <v>-1607.3816581459</v>
      </c>
      <c r="I155" s="20">
        <v>-1608.5147829714999</v>
      </c>
      <c r="J155" s="20">
        <v>-1607.6031330057001</v>
      </c>
      <c r="K155" s="20">
        <v>-1607.6135366004</v>
      </c>
      <c r="L155" s="20">
        <v>-1607.6250045674999</v>
      </c>
      <c r="M155" s="20">
        <v>-1607.6607921141001</v>
      </c>
      <c r="N155" s="20">
        <v>-1607.7401494609001</v>
      </c>
      <c r="O155" s="20">
        <v>-1608.7834005100999</v>
      </c>
      <c r="P155" s="20">
        <v>-1608.7963586635999</v>
      </c>
      <c r="Q155" s="20">
        <v>-1608.3293988283999</v>
      </c>
      <c r="R155" s="20">
        <v>-1608.4009026775</v>
      </c>
      <c r="S155" s="20">
        <v>-1609.5325849009</v>
      </c>
      <c r="T155" s="20">
        <f>(S155-Q155)/2*27.211324570273</f>
        <v>-16.370143368616155</v>
      </c>
      <c r="U155" s="20">
        <f>(R155-Q155)*27.211324570273</f>
        <v>-1.9457144458853961</v>
      </c>
      <c r="V155" s="20">
        <f>(F155-I155-D155+G155)/2*27.211324570273</f>
        <v>0.32188909177956587</v>
      </c>
      <c r="W155" s="20">
        <f>(E155-H155-D155+G155)*27.211324570273</f>
        <v>-8.5616625893075449E-2</v>
      </c>
      <c r="X155" s="20">
        <f>(P155-O155-K155+J155)/2*27.211324570273</f>
        <v>-3.4756464321096886E-2</v>
      </c>
      <c r="Y155" s="20">
        <f>(N155-M155-L155+J155)*27.211324570273</f>
        <v>-1.5642643538161094</v>
      </c>
      <c r="Z155" s="21">
        <f>(F155+P155-O155-D155-K155+J155-2*C155)*27.211324570273</f>
        <v>-9.3966586920297885</v>
      </c>
      <c r="AA155" s="21">
        <f>(S155+F155-I155+P155-O155-Q155-D155+G155-K155+J155-2*C155)*27.211324570273</f>
        <v>-9.27142148231537</v>
      </c>
      <c r="AB155" s="21">
        <f>(E155+N155-M155-D155-L155+J155)*27.211324570273</f>
        <v>-3.6815775186352249</v>
      </c>
      <c r="AC155" s="21">
        <f>(R155+E155-H155+N155-M155-Q155-D155+G155-L155+J155)*27.211324570273</f>
        <v>-3.5955954255945812</v>
      </c>
      <c r="AD155" s="20">
        <v>4.84</v>
      </c>
      <c r="AE155" s="20">
        <v>4.4400000000000004</v>
      </c>
      <c r="AF155" s="21">
        <f>-Z155/2-AE155</f>
        <v>0.25832934601489388</v>
      </c>
      <c r="AG155" s="21">
        <f>-AA155/2-AE155</f>
        <v>0.19571074115768461</v>
      </c>
      <c r="AH155" s="21">
        <f>-AB155-AD155</f>
        <v>-1.158422481364775</v>
      </c>
      <c r="AI155" s="21">
        <f>-AC155-AD155</f>
        <v>-1.2444045744054186</v>
      </c>
      <c r="AJ155" s="22">
        <v>0.115</v>
      </c>
      <c r="AK155" s="21">
        <v>-1.07</v>
      </c>
      <c r="AL155" s="27">
        <f>AF155+(0.69-AF$2)</f>
        <v>7.5522836040834651E-2</v>
      </c>
      <c r="AM155" s="27">
        <f>AG155+(0.69-AG$2)</f>
        <v>3.84407653947485E-2</v>
      </c>
      <c r="AN155" s="27">
        <f>AH155+(-0.8815-AH$2)</f>
        <v>-1.3329434284757018</v>
      </c>
      <c r="AO155" s="27">
        <f>AI155+(-0.8815-AI$2)</f>
        <v>-1.3502662066855491</v>
      </c>
      <c r="AP155" s="20">
        <f t="shared" si="11"/>
        <v>3.9477163959165354E-2</v>
      </c>
      <c r="AQ155" s="20">
        <f t="shared" si="12"/>
        <v>7.6559234605251505E-2</v>
      </c>
      <c r="AR155" s="20">
        <f t="shared" si="13"/>
        <v>0.26294342847570173</v>
      </c>
      <c r="AS155" s="20">
        <f t="shared" si="14"/>
        <v>0.28026620668554902</v>
      </c>
    </row>
    <row r="156" spans="1:45" ht="15" customHeight="1" x14ac:dyDescent="0.2">
      <c r="A156" s="26" t="s">
        <v>137</v>
      </c>
      <c r="B156" s="19" t="s">
        <v>145</v>
      </c>
      <c r="C156" s="20">
        <f t="shared" si="10"/>
        <v>-0.42068146923305594</v>
      </c>
      <c r="D156" s="20">
        <v>-1606.79225</v>
      </c>
      <c r="E156" s="20">
        <v>-1606.8659</v>
      </c>
      <c r="F156" s="20">
        <v>-1607.97226</v>
      </c>
      <c r="G156" s="20">
        <v>-1606.9150185404999</v>
      </c>
      <c r="H156" s="20">
        <v>-1606.9863866144999</v>
      </c>
      <c r="I156" s="20">
        <v>-1608.1153422406001</v>
      </c>
      <c r="J156" s="20">
        <v>-1607.6035799684</v>
      </c>
      <c r="K156" s="20">
        <v>-1607.6134715168</v>
      </c>
      <c r="L156" s="20">
        <v>-1607.6251136410001</v>
      </c>
      <c r="M156" s="20">
        <v>-1607.6615428028001</v>
      </c>
      <c r="N156" s="20">
        <v>-1607.7404042978001</v>
      </c>
      <c r="O156" s="20">
        <v>-1608.7840549168</v>
      </c>
      <c r="P156" s="20">
        <v>-1608.7967311248999</v>
      </c>
      <c r="Q156" s="20">
        <v>-1607.9445954718001</v>
      </c>
      <c r="R156" s="20">
        <v>-1608.0133040430001</v>
      </c>
      <c r="S156" s="20">
        <v>-1609.1419288476</v>
      </c>
      <c r="T156" s="20">
        <f>(S156-Q156)/2*27.211324570273</f>
        <v>-16.29051355385548</v>
      </c>
      <c r="U156" s="20">
        <f>(R156-Q156)*27.211324570273</f>
        <v>-1.8696512316822882</v>
      </c>
      <c r="V156" s="20">
        <f>(F156-I156-D156+G156)/2*27.211324570273</f>
        <v>0.2763813433239441</v>
      </c>
      <c r="W156" s="20">
        <f>(E156-H156-D156+G156)*27.211324570273</f>
        <v>-6.2094229031978927E-2</v>
      </c>
      <c r="X156" s="20">
        <f>(P156-O156-K156+J156)/2*27.211324570273</f>
        <v>-3.788713945662036E-2</v>
      </c>
      <c r="Y156" s="20">
        <f>(N156-M156-L156+J156)*27.211324570273</f>
        <v>-1.559965982230213</v>
      </c>
      <c r="Z156" s="21">
        <f>(F156+P156-O156-D156-K156+J156-2*C156)*27.211324570273</f>
        <v>-9.2908093850821292</v>
      </c>
      <c r="AA156" s="21">
        <f>(S156+F156-I156+P156-O156-Q156-D156+G156-K156+J156-2*C156)*27.211324570273</f>
        <v>-9.2094386999763156</v>
      </c>
      <c r="AB156" s="21">
        <f>(E156+N156-M156-D156-L156+J156)*27.211324570273</f>
        <v>-3.5640800368381846</v>
      </c>
      <c r="AC156" s="21">
        <f>(R156+E156-H156+N156-M156-Q156-D156+G156-L156+J156)*27.211324570273</f>
        <v>-3.4917114429321061</v>
      </c>
      <c r="AD156" s="20">
        <v>4.84</v>
      </c>
      <c r="AE156" s="20">
        <v>4.4400000000000004</v>
      </c>
      <c r="AF156" s="21">
        <f>-Z156/2-AE156</f>
        <v>0.20540469254106419</v>
      </c>
      <c r="AG156" s="21">
        <f>-AA156/2-AE156</f>
        <v>0.1647193499881574</v>
      </c>
      <c r="AH156" s="21">
        <f>-AB156-AD156</f>
        <v>-1.2759199631618152</v>
      </c>
      <c r="AI156" s="21">
        <f>-AC156-AD156</f>
        <v>-1.3482885570678937</v>
      </c>
      <c r="AJ156" s="22">
        <v>0.115</v>
      </c>
      <c r="AK156" s="21">
        <v>-1.07</v>
      </c>
      <c r="AL156" s="27">
        <f>AF156+(0.69-AF$3)</f>
        <v>4.6122851578289659E-2</v>
      </c>
      <c r="AM156" s="27">
        <f>AG156+(0.69-AG$3)</f>
        <v>1.6039163528547729E-2</v>
      </c>
      <c r="AN156" s="27">
        <f>AH156+(-0.8815-AH$3)</f>
        <v>-1.3475147199912838</v>
      </c>
      <c r="AO156" s="27">
        <f>AI156+(-0.8815-AI$3)</f>
        <v>-1.3859831001606397</v>
      </c>
      <c r="AP156" s="20">
        <f t="shared" si="11"/>
        <v>6.8877148421710346E-2</v>
      </c>
      <c r="AQ156" s="20">
        <f t="shared" si="12"/>
        <v>9.8960836471452276E-2</v>
      </c>
      <c r="AR156" s="20">
        <f t="shared" si="13"/>
        <v>0.27751471999128374</v>
      </c>
      <c r="AS156" s="20">
        <f t="shared" si="14"/>
        <v>0.31598310016063968</v>
      </c>
    </row>
    <row r="157" spans="1:45" ht="15" customHeight="1" x14ac:dyDescent="0.2">
      <c r="A157" s="26" t="s">
        <v>137</v>
      </c>
      <c r="B157" s="19" t="s">
        <v>29</v>
      </c>
      <c r="C157" s="20">
        <f t="shared" si="10"/>
        <v>-0.42068146923305594</v>
      </c>
      <c r="D157" s="20">
        <v>-1607.38237</v>
      </c>
      <c r="E157" s="20">
        <v>-1607.45335</v>
      </c>
      <c r="F157" s="20">
        <v>-1608.5658699999999</v>
      </c>
      <c r="G157" s="20">
        <v>-1607.5045568733999</v>
      </c>
      <c r="H157" s="20">
        <v>-1607.5723934851001</v>
      </c>
      <c r="I157" s="20">
        <v>-1608.7095625515001</v>
      </c>
      <c r="J157" s="20">
        <v>-1607.6032283371001</v>
      </c>
      <c r="K157" s="20">
        <v>-1607.613384922</v>
      </c>
      <c r="L157" s="20">
        <v>-1607.6249550657001</v>
      </c>
      <c r="M157" s="20">
        <v>-1607.6609802946</v>
      </c>
      <c r="N157" s="20">
        <v>-1607.7402598391</v>
      </c>
      <c r="O157" s="20">
        <v>-1608.7837771730999</v>
      </c>
      <c r="P157" s="20">
        <v>-1608.796592124</v>
      </c>
      <c r="Q157" s="20">
        <v>-1608.5156670301001</v>
      </c>
      <c r="R157" s="20">
        <v>-1608.5803423248001</v>
      </c>
      <c r="S157" s="20">
        <v>-1609.7167800438001</v>
      </c>
      <c r="T157" s="20">
        <f>(S157-Q157)/2*27.211324570273</f>
        <v>-16.341938030685053</v>
      </c>
      <c r="U157" s="20">
        <f>(R157-Q157)*27.211324570273</f>
        <v>-1.7599004357600168</v>
      </c>
      <c r="V157" s="20">
        <f>(F157-I157-D157+G157)/2*27.211324570273</f>
        <v>0.29259899344569201</v>
      </c>
      <c r="W157" s="20">
        <f>(E157-H157-D157+G157)*27.211324570273</f>
        <v>-8.553575927637691E-2</v>
      </c>
      <c r="X157" s="20">
        <f>(P157-O157-K157+J157)/2*27.211324570273</f>
        <v>-3.6168830027719964E-2</v>
      </c>
      <c r="Y157" s="20">
        <f>(N157-M157-L157+J157)*27.211324570273</f>
        <v>-1.5660883533867951</v>
      </c>
      <c r="Z157" s="21">
        <f>(F157+P157-O157-D157-K157+J157-2*C157)*27.211324570273</f>
        <v>-9.382340288963734</v>
      </c>
      <c r="AA157" s="21">
        <f>(S157+F157-I157+P157-O157-Q157-D157+G157-K157+J157-2*C157)*27.211324570273</f>
        <v>-9.2764157345341598</v>
      </c>
      <c r="AB157" s="21">
        <f>(E157+N157-M157-D157-L157+J157)*27.211324570273</f>
        <v>-3.4975481713775838</v>
      </c>
      <c r="AC157" s="21">
        <f>(R157+E157-H157+N157-M157-Q157-D157+G157-L157+J157)*27.211324570273</f>
        <v>-3.4115245484293761</v>
      </c>
      <c r="AD157" s="20">
        <v>4.84</v>
      </c>
      <c r="AE157" s="20">
        <v>4.4400000000000004</v>
      </c>
      <c r="AF157" s="21">
        <f>-Z157/2-AE157</f>
        <v>0.25117014448186659</v>
      </c>
      <c r="AG157" s="21">
        <f>-AA157/2-AE157</f>
        <v>0.19820786726707951</v>
      </c>
      <c r="AH157" s="21">
        <f>-AB157-AD157</f>
        <v>-1.3424518286224161</v>
      </c>
      <c r="AI157" s="21">
        <f>-AC157-AD157</f>
        <v>-1.4284754515706237</v>
      </c>
      <c r="AJ157" s="22">
        <v>0.115</v>
      </c>
      <c r="AK157" s="21">
        <v>-1.07</v>
      </c>
      <c r="AL157" s="21">
        <f>AF157+(0.69-AF$4)</f>
        <v>6.8494529570677365E-3</v>
      </c>
      <c r="AM157" s="21">
        <f>AG157+(0.69-AG$4)</f>
        <v>-2.6078377697472899E-2</v>
      </c>
      <c r="AN157" s="21">
        <f>AH157+(-0.8815-AH$4)</f>
        <v>-1.4147758190185518</v>
      </c>
      <c r="AO157" s="21">
        <f>AI157+(-0.8815-AI$4)</f>
        <v>-1.4270629511216542</v>
      </c>
      <c r="AP157" s="20">
        <f t="shared" si="11"/>
        <v>0.10815054704293227</v>
      </c>
      <c r="AQ157" s="20">
        <f t="shared" si="12"/>
        <v>0.14107837769747289</v>
      </c>
      <c r="AR157" s="20">
        <f t="shared" si="13"/>
        <v>0.3447758190185517</v>
      </c>
      <c r="AS157" s="20">
        <f t="shared" si="14"/>
        <v>0.35706295112165409</v>
      </c>
    </row>
    <row r="158" spans="1:45" ht="15" customHeight="1" x14ac:dyDescent="0.2">
      <c r="A158" s="26" t="s">
        <v>137</v>
      </c>
      <c r="B158" s="19" t="s">
        <v>30</v>
      </c>
      <c r="C158" s="20">
        <f t="shared" si="10"/>
        <v>-0.42068146923305594</v>
      </c>
      <c r="D158" s="20">
        <v>-1607.42489</v>
      </c>
      <c r="E158" s="20">
        <v>-1607.4955299999999</v>
      </c>
      <c r="F158" s="20">
        <v>-1608.5988</v>
      </c>
      <c r="G158" s="20">
        <v>-1607.5460326656</v>
      </c>
      <c r="H158" s="20">
        <v>-1607.6135630947001</v>
      </c>
      <c r="I158" s="20">
        <v>-1608.7415068697001</v>
      </c>
      <c r="J158" s="20">
        <v>-1607.6034412515</v>
      </c>
      <c r="K158" s="20">
        <v>-1607.6136519006</v>
      </c>
      <c r="L158" s="20">
        <v>-1607.6252215960001</v>
      </c>
      <c r="M158" s="20">
        <v>-1607.6612054984</v>
      </c>
      <c r="N158" s="20">
        <v>-1607.7404714331999</v>
      </c>
      <c r="O158" s="20">
        <v>-1608.7840453814999</v>
      </c>
      <c r="P158" s="20">
        <v>-1608.7968747596001</v>
      </c>
      <c r="Q158" s="20">
        <v>-1608.5694545061999</v>
      </c>
      <c r="R158" s="20">
        <v>-1608.6333215923</v>
      </c>
      <c r="S158" s="20">
        <v>-1609.7605023511001</v>
      </c>
      <c r="T158" s="20">
        <f>(S158-Q158)/2*27.211324570273</f>
        <v>-16.204994743150944</v>
      </c>
      <c r="U158" s="20">
        <f>(R158-Q158)*27.211324570273</f>
        <v>-1.7379080092278651</v>
      </c>
      <c r="V158" s="20">
        <f>(F158-I158-D158+G158)/2*27.211324570273</f>
        <v>0.29339527843316154</v>
      </c>
      <c r="W158" s="20">
        <f>(E158-H158-D158+G158)*27.211324570273</f>
        <v>-8.4615543029377641E-2</v>
      </c>
      <c r="X158" s="20">
        <f>(P158-O158-K158+J158)/2*27.211324570273</f>
        <v>-3.5629542393458356E-2</v>
      </c>
      <c r="Y158" s="20">
        <f>(N158-M158-L158+J158)*27.211324570273</f>
        <v>-1.5642590557628984</v>
      </c>
      <c r="Z158" s="21">
        <f>(F158+P158-O158-D158-K158+J158-2*C158)*27.211324570273</f>
        <v>-9.1203051110816826</v>
      </c>
      <c r="AA158" s="21">
        <f>(S158+F158-I158+P158-O158-Q158-D158+G158-K158+J158-2*C158)*27.211324570273</f>
        <v>-8.999858014228673</v>
      </c>
      <c r="AB158" s="21">
        <f>(E158+N158-M158-D158-L158+J158)*27.211324570273</f>
        <v>-3.4864670234045914</v>
      </c>
      <c r="AC158" s="21">
        <f>(R158+E158-H158+N158-M158-Q158-D158+G158-L158+J158)*27.211324570273</f>
        <v>-3.386782608007767</v>
      </c>
      <c r="AD158" s="20">
        <v>4.84</v>
      </c>
      <c r="AE158" s="20">
        <v>4.4400000000000004</v>
      </c>
      <c r="AF158" s="21">
        <f>-Z158/2-AE158</f>
        <v>0.12015255554084092</v>
      </c>
      <c r="AG158" s="21">
        <f>-AA158/2-AE158</f>
        <v>5.992900711433613E-2</v>
      </c>
      <c r="AH158" s="21">
        <f>-AB158-AD158</f>
        <v>-1.3535329765954085</v>
      </c>
      <c r="AI158" s="21">
        <f>-AC158-AD158</f>
        <v>-1.4532173919922329</v>
      </c>
      <c r="AJ158" s="22">
        <v>0.115</v>
      </c>
      <c r="AK158" s="21">
        <v>-1.07</v>
      </c>
      <c r="AL158" s="21">
        <f>AF158+(0.69-AF$5)</f>
        <v>4.3470845916275813E-3</v>
      </c>
      <c r="AM158" s="21">
        <f>AG158+(0.69-AG$5)</f>
        <v>-2.8727406938758637E-2</v>
      </c>
      <c r="AN158" s="21">
        <f>AH158+(-0.8815-AH$5)</f>
        <v>-1.4069833800282421</v>
      </c>
      <c r="AO158" s="21">
        <f>AI158+(-0.8815-AI$5)</f>
        <v>-1.4212677635102278</v>
      </c>
      <c r="AP158" s="20">
        <f t="shared" si="11"/>
        <v>0.11065291540837242</v>
      </c>
      <c r="AQ158" s="20">
        <f t="shared" si="12"/>
        <v>0.14372740693875863</v>
      </c>
      <c r="AR158" s="20">
        <f t="shared" si="13"/>
        <v>0.33698338002824202</v>
      </c>
      <c r="AS158" s="20">
        <f t="shared" si="14"/>
        <v>0.3512677635102277</v>
      </c>
    </row>
    <row r="159" spans="1:45" ht="15" customHeight="1" x14ac:dyDescent="0.2">
      <c r="A159" s="26" t="s">
        <v>137</v>
      </c>
      <c r="B159" s="19" t="s">
        <v>31</v>
      </c>
      <c r="C159" s="20">
        <f t="shared" si="10"/>
        <v>-0.42068146923305594</v>
      </c>
      <c r="D159" s="20">
        <v>-1607.38237</v>
      </c>
      <c r="E159" s="20">
        <v>-1607.45335</v>
      </c>
      <c r="F159" s="20">
        <v>-1608.5658699999999</v>
      </c>
      <c r="G159" s="20">
        <v>-1607.5045568733999</v>
      </c>
      <c r="H159" s="20">
        <v>-1607.5723934851001</v>
      </c>
      <c r="I159" s="20">
        <v>-1608.7095625515001</v>
      </c>
      <c r="J159" s="20">
        <v>-1607.6032283371001</v>
      </c>
      <c r="K159" s="20">
        <v>-1607.613384922</v>
      </c>
      <c r="L159" s="20">
        <v>-1607.6249550657001</v>
      </c>
      <c r="M159" s="20">
        <v>-1607.6609802946</v>
      </c>
      <c r="N159" s="20">
        <v>-1607.7402598391</v>
      </c>
      <c r="O159" s="20">
        <v>-1608.7837771730999</v>
      </c>
      <c r="P159" s="20">
        <v>-1608.796592124</v>
      </c>
      <c r="Q159" s="20">
        <v>-1607.9067738767001</v>
      </c>
      <c r="R159" s="20">
        <v>-1607.9703209444001</v>
      </c>
      <c r="S159" s="20">
        <v>-1609.0999727142</v>
      </c>
      <c r="T159" s="20">
        <f>(S159-Q159)/2*27.211324570273</f>
        <v>-16.234260422041775</v>
      </c>
      <c r="U159" s="20">
        <f>(R159-Q159)*27.211324570273</f>
        <v>-1.7291998846745871</v>
      </c>
      <c r="V159" s="20">
        <f>(F159-I159-D159+G159)/2*27.211324570273</f>
        <v>0.29259899344569201</v>
      </c>
      <c r="W159" s="20">
        <f>(E159-H159-D159+G159)*27.211324570273</f>
        <v>-8.553575927637691E-2</v>
      </c>
      <c r="X159" s="20">
        <f>(P159-O159-K159+J159)/2*27.211324570273</f>
        <v>-3.6168830027719964E-2</v>
      </c>
      <c r="Y159" s="20">
        <f>(N159-M159-L159+J159)*27.211324570273</f>
        <v>-1.5660883533867951</v>
      </c>
      <c r="Z159" s="21">
        <f>(F159+P159-O159-D159-K159+J159-2*C159)*27.211324570273</f>
        <v>-9.382340288963734</v>
      </c>
      <c r="AA159" s="21">
        <f>(S159+F159-I159+P159-O159-Q159-D159+G159-K159+J159-2*C159)*27.211324570273</f>
        <v>-9.0610605172537895</v>
      </c>
      <c r="AB159" s="21">
        <f>(E159+N159-M159-D159-L159+J159)*27.211324570273</f>
        <v>-3.4975481713775838</v>
      </c>
      <c r="AC159" s="21">
        <f>(R159+E159-H159+N159-M159-Q159-D159+G159-L159+J159)*27.211324570273</f>
        <v>-3.380823997337759</v>
      </c>
      <c r="AD159" s="20">
        <v>4.84</v>
      </c>
      <c r="AE159" s="20">
        <v>4.4400000000000004</v>
      </c>
      <c r="AF159" s="21">
        <f>-Z159/2-AE159</f>
        <v>0.25117014448186659</v>
      </c>
      <c r="AG159" s="21">
        <f>-AA159/2-AE159</f>
        <v>9.0530258626894344E-2</v>
      </c>
      <c r="AH159" s="21">
        <f>-AB159-AD159</f>
        <v>-1.3424518286224161</v>
      </c>
      <c r="AI159" s="21">
        <f>-AC159-AD159</f>
        <v>-1.4591760026622409</v>
      </c>
      <c r="AJ159" s="22">
        <v>0.115</v>
      </c>
      <c r="AK159" s="21">
        <v>-1.07</v>
      </c>
      <c r="AL159" s="21">
        <f>AF159+(0.69-AF$6)</f>
        <v>6.8494529570677365E-3</v>
      </c>
      <c r="AM159" s="21">
        <f>AG159+(0.69-AG$6)</f>
        <v>-2.5856802683420721E-2</v>
      </c>
      <c r="AN159" s="21">
        <f>AH159+(-0.8815-AH$6)</f>
        <v>-1.4147758190185518</v>
      </c>
      <c r="AO159" s="21">
        <f>AI159+(-0.8815-AI$6)</f>
        <v>-1.4075534899296396</v>
      </c>
      <c r="AP159" s="20">
        <f t="shared" si="11"/>
        <v>0.10815054704293227</v>
      </c>
      <c r="AQ159" s="20">
        <f t="shared" si="12"/>
        <v>0.14085680268342071</v>
      </c>
      <c r="AR159" s="20">
        <f t="shared" si="13"/>
        <v>0.3447758190185517</v>
      </c>
      <c r="AS159" s="20">
        <f t="shared" si="14"/>
        <v>0.33755348992963952</v>
      </c>
    </row>
    <row r="160" spans="1:45" ht="15" customHeight="1" x14ac:dyDescent="0.2">
      <c r="A160" s="26" t="s">
        <v>137</v>
      </c>
      <c r="B160" s="19" t="s">
        <v>32</v>
      </c>
      <c r="C160" s="20">
        <f t="shared" si="10"/>
        <v>-0.42068146923305594</v>
      </c>
      <c r="D160" s="20">
        <v>-1607.42489</v>
      </c>
      <c r="E160" s="20">
        <v>-1607.4955299999999</v>
      </c>
      <c r="F160" s="20">
        <v>-1608.5988</v>
      </c>
      <c r="G160" s="20">
        <v>-1607.5460326656</v>
      </c>
      <c r="H160" s="20">
        <v>-1607.6135630947001</v>
      </c>
      <c r="I160" s="20">
        <v>-1608.7415068697001</v>
      </c>
      <c r="J160" s="20">
        <v>-1607.6034412515</v>
      </c>
      <c r="K160" s="20">
        <v>-1607.6136519006</v>
      </c>
      <c r="L160" s="20">
        <v>-1607.6252215960001</v>
      </c>
      <c r="M160" s="20">
        <v>-1607.6612054984</v>
      </c>
      <c r="N160" s="20">
        <v>-1607.7404714331999</v>
      </c>
      <c r="O160" s="20">
        <v>-1608.7840453814999</v>
      </c>
      <c r="P160" s="20">
        <v>-1608.7968747596001</v>
      </c>
      <c r="Q160" s="20">
        <v>-1607.9867601765</v>
      </c>
      <c r="R160" s="20">
        <v>-1608.0495427441999</v>
      </c>
      <c r="S160" s="20">
        <v>-1609.1696578983001</v>
      </c>
      <c r="T160" s="20">
        <f>(S160-Q160)/2*27.211324570273</f>
        <v>-16.094106920670129</v>
      </c>
      <c r="U160" s="20">
        <f>(R160-Q160)*27.211324570273</f>
        <v>-1.7083968270389986</v>
      </c>
      <c r="V160" s="20">
        <f>(F160-I160-D160+G160)/2*27.211324570273</f>
        <v>0.29339527843316154</v>
      </c>
      <c r="W160" s="20">
        <f>(E160-H160-D160+G160)*27.211324570273</f>
        <v>-8.4615543029377641E-2</v>
      </c>
      <c r="X160" s="20">
        <f>(P160-O160-K160+J160)/2*27.211324570273</f>
        <v>-3.5629542393458356E-2</v>
      </c>
      <c r="Y160" s="20">
        <f>(N160-M160-L160+J160)*27.211324570273</f>
        <v>-1.5642590557628984</v>
      </c>
      <c r="Z160" s="21">
        <f>(F160+P160-O160-D160-K160+J160-2*C160)*27.211324570273</f>
        <v>-9.1203051110816826</v>
      </c>
      <c r="AA160" s="21">
        <f>(S160+F160-I160+P160-O160-Q160-D160+G160-K160+J160-2*C160)*27.211324570273</f>
        <v>-8.7780823692546619</v>
      </c>
      <c r="AB160" s="21">
        <f>(E160+N160-M160-D160-L160+J160)*27.211324570273</f>
        <v>-3.4864670234045914</v>
      </c>
      <c r="AC160" s="21">
        <f>(R160+E160-H160+N160-M160-Q160-D160+G160-L160+J160)*27.211324570273</f>
        <v>-3.3572714258374616</v>
      </c>
      <c r="AD160" s="20">
        <v>4.84</v>
      </c>
      <c r="AE160" s="20">
        <v>4.4400000000000004</v>
      </c>
      <c r="AF160" s="21">
        <f>-Z160/2-AE160</f>
        <v>0.12015255554084092</v>
      </c>
      <c r="AG160" s="21">
        <f>-AA160/2-AE160</f>
        <v>-5.0958815372669442E-2</v>
      </c>
      <c r="AH160" s="21">
        <f>-AB160-AD160</f>
        <v>-1.3535329765954085</v>
      </c>
      <c r="AI160" s="21">
        <f>-AC160-AD160</f>
        <v>-1.4827285741625382</v>
      </c>
      <c r="AJ160" s="22">
        <v>0.115</v>
      </c>
      <c r="AK160" s="21">
        <v>-1.07</v>
      </c>
      <c r="AL160" s="21">
        <f>AF160+(0.69-AF$7)</f>
        <v>4.3470845916275813E-3</v>
      </c>
      <c r="AM160" s="21">
        <f>AG160+(0.69-AG$7)</f>
        <v>-3.0380156131626368E-2</v>
      </c>
      <c r="AN160" s="21">
        <f>AH160+(-0.8815-AH$7)</f>
        <v>-1.4069833800282421</v>
      </c>
      <c r="AO160" s="21">
        <f>AI160+(-0.8815-AI$7)</f>
        <v>-1.4032251314718329</v>
      </c>
      <c r="AP160" s="20">
        <f t="shared" si="11"/>
        <v>0.11065291540837242</v>
      </c>
      <c r="AQ160" s="20">
        <f t="shared" si="12"/>
        <v>0.14538015613162636</v>
      </c>
      <c r="AR160" s="20">
        <f t="shared" si="13"/>
        <v>0.33698338002824202</v>
      </c>
      <c r="AS160" s="20">
        <f t="shared" si="14"/>
        <v>0.33322513147183286</v>
      </c>
    </row>
    <row r="161" spans="1:45" ht="15" customHeight="1" x14ac:dyDescent="0.2">
      <c r="A161" s="26" t="s">
        <v>137</v>
      </c>
      <c r="B161" s="19" t="s">
        <v>33</v>
      </c>
      <c r="C161" s="20">
        <f t="shared" si="10"/>
        <v>-0.42068146923305594</v>
      </c>
      <c r="D161" s="20">
        <v>-1607.8678500000001</v>
      </c>
      <c r="E161" s="20">
        <v>-1607.9177</v>
      </c>
      <c r="F161" s="20">
        <v>-1609.02937</v>
      </c>
      <c r="G161" s="20">
        <v>-1607.987839225</v>
      </c>
      <c r="H161" s="20">
        <v>-1608.0343674649</v>
      </c>
      <c r="I161" s="20">
        <v>-1609.1706432783001</v>
      </c>
      <c r="J161" s="20">
        <v>-1607.6030430883</v>
      </c>
      <c r="K161" s="20">
        <v>-1607.6131400129</v>
      </c>
      <c r="L161" s="20">
        <v>-1607.6246470015001</v>
      </c>
      <c r="M161" s="20">
        <v>-1607.6599347343999</v>
      </c>
      <c r="N161" s="20">
        <v>-1607.7392222117001</v>
      </c>
      <c r="O161" s="20">
        <v>-1608.7845434988999</v>
      </c>
      <c r="P161" s="20">
        <v>-1608.7968302680999</v>
      </c>
      <c r="Q161" s="20">
        <v>-1607.9876658807</v>
      </c>
      <c r="R161" s="20">
        <v>-1608.0501810661999</v>
      </c>
      <c r="S161" s="20">
        <v>-1609.1708292400001</v>
      </c>
      <c r="T161" s="20">
        <f>(S161-Q161)/2*27.211324570273</f>
        <v>-16.097721094785108</v>
      </c>
      <c r="U161" s="20">
        <f>(R161-Q161)*27.211324570273</f>
        <v>-1.701121003209503</v>
      </c>
      <c r="V161" s="20">
        <f>(F161-I161-D161+G161)/2*27.211324570273</f>
        <v>0.28958364126106861</v>
      </c>
      <c r="W161" s="20">
        <f>(E161-H161-D161+G161)*27.211324570273</f>
        <v>-9.0389492222406567E-2</v>
      </c>
      <c r="X161" s="20">
        <f>(P161-O161-K161+J161)/2*27.211324570273</f>
        <v>-2.9794286084870319E-2</v>
      </c>
      <c r="Y161" s="20">
        <f>(N161-M161-L161+J161)*27.211324570273</f>
        <v>-1.5696461850949448</v>
      </c>
      <c r="Z161" s="21">
        <f>(F161+P161-O161-D161-K161+J161-2*C161)*27.211324570273</f>
        <v>-8.7714862870300294</v>
      </c>
      <c r="AA161" s="21">
        <f>(S161+F161-I161+P161-O161-Q161-D161+G161-K161+J161-2*C161)*27.211324570273</f>
        <v>-8.7812634792178166</v>
      </c>
      <c r="AB161" s="21">
        <f>(E161+N161-M161-D161-L161+J161)*27.211324570273</f>
        <v>-2.9261307149197475</v>
      </c>
      <c r="AC161" s="21">
        <f>(R161+E161-H161+N161-M161-Q161-D161+G161-L161+J161)*27.211324570273</f>
        <v>-3.3611566805330413</v>
      </c>
      <c r="AD161" s="20">
        <v>4.84</v>
      </c>
      <c r="AE161" s="20">
        <v>4.4400000000000004</v>
      </c>
      <c r="AF161" s="21">
        <f>-Z161/2-AE161</f>
        <v>-5.4256856484985683E-2</v>
      </c>
      <c r="AG161" s="21">
        <f>-AA161/2-AE161</f>
        <v>-4.93682603910921E-2</v>
      </c>
      <c r="AH161" s="21">
        <f>-AB161-AD161</f>
        <v>-1.9138692850802523</v>
      </c>
      <c r="AI161" s="21">
        <f>-AC161-AD161</f>
        <v>-1.4788433194669586</v>
      </c>
      <c r="AJ161" s="22">
        <v>0.115</v>
      </c>
      <c r="AK161" s="21">
        <v>-1.07</v>
      </c>
      <c r="AL161" s="21">
        <f>AF161+(0.69-AF$8)</f>
        <v>-3.3694879145457879E-2</v>
      </c>
      <c r="AM161" s="21">
        <f>AG161+(0.69-AG$8)</f>
        <v>-3.099867770181719E-2</v>
      </c>
      <c r="AN161" s="21">
        <f>AH161+(-0.8815-AH$8)</f>
        <v>-1.4081954159582106</v>
      </c>
      <c r="AO161" s="21">
        <f>AI161+(-0.8815-AI$8)</f>
        <v>-1.4414265875758487</v>
      </c>
      <c r="AP161" s="20">
        <f t="shared" si="11"/>
        <v>0.14869487914545787</v>
      </c>
      <c r="AQ161" s="20">
        <f t="shared" si="12"/>
        <v>0.14599867770181718</v>
      </c>
      <c r="AR161" s="20">
        <f t="shared" si="13"/>
        <v>0.33819541595821057</v>
      </c>
      <c r="AS161" s="20">
        <f t="shared" si="14"/>
        <v>0.37142658757584868</v>
      </c>
    </row>
    <row r="162" spans="1:45" ht="15" customHeight="1" x14ac:dyDescent="0.2">
      <c r="A162" s="26" t="s">
        <v>137</v>
      </c>
      <c r="B162" s="19" t="s">
        <v>174</v>
      </c>
      <c r="C162" s="20">
        <f t="shared" si="10"/>
        <v>-0.42068146923305594</v>
      </c>
      <c r="D162" s="20">
        <v>-1607.86799</v>
      </c>
      <c r="E162" s="20">
        <v>-1607.93127</v>
      </c>
      <c r="F162" s="20">
        <v>-1609.02964</v>
      </c>
      <c r="G162" s="20">
        <v>-1607.9880736836999</v>
      </c>
      <c r="H162" s="20">
        <v>-1608.0479702815001</v>
      </c>
      <c r="I162" s="20">
        <v>-1609.1708232926001</v>
      </c>
      <c r="J162" s="20">
        <v>-1607.6029337442001</v>
      </c>
      <c r="K162" s="20">
        <v>-1607.6130630601999</v>
      </c>
      <c r="L162" s="20">
        <v>-1607.624566773</v>
      </c>
      <c r="M162" s="20">
        <v>-1607.6600710615</v>
      </c>
      <c r="N162" s="20">
        <v>-1607.7393951084</v>
      </c>
      <c r="O162" s="20">
        <v>-1608.7844700692001</v>
      </c>
      <c r="P162" s="20">
        <v>-1608.7967745198</v>
      </c>
      <c r="Q162" s="20">
        <v>-1607.9876635103999</v>
      </c>
      <c r="R162" s="20">
        <v>-1608.0502426824</v>
      </c>
      <c r="S162" s="20">
        <v>-1609.1708272613</v>
      </c>
      <c r="T162" s="20">
        <f>(S162-Q162)/2*27.211324570273</f>
        <v>-16.097726422762413</v>
      </c>
      <c r="U162" s="20">
        <f>(R162-Q162)*27.211324570273</f>
        <v>-1.702862160634794</v>
      </c>
      <c r="V162" s="20">
        <f>(F162-I162-D162+G162)/2*27.211324570273</f>
        <v>0.28707415304401385</v>
      </c>
      <c r="W162" s="20">
        <f>(E162-H162-D162+G162)*27.211324570273</f>
        <v>-9.2066855413676596E-2</v>
      </c>
      <c r="X162" s="20">
        <f>(P162-O162-K162+J162)/2*27.211324570273</f>
        <v>-2.9594146793207668E-2</v>
      </c>
      <c r="Y162" s="20">
        <f>(N162-M162-L162+J162)*27.211324570273</f>
        <v>-1.5698490183101863</v>
      </c>
      <c r="Z162" s="21">
        <f>(F162+P162-O162-D162-K162+J162-2*C162)*27.211324570273</f>
        <v>-8.7746234806442835</v>
      </c>
      <c r="AA162" s="21">
        <f>(S162+F162-I162+P162-O162-Q162-D162+G162-K162+J162-2*C162)*27.211324570273</f>
        <v>-8.7858928330294042</v>
      </c>
      <c r="AB162" s="21">
        <f>(E162+N162-M162-D162-L162+J162)*27.211324570273</f>
        <v>-3.2917816371191582</v>
      </c>
      <c r="AC162" s="21">
        <f>(R162+E162-H162+N162-M162-Q162-D162+G162-L162+J162)*27.211324570273</f>
        <v>-3.3647780343586566</v>
      </c>
      <c r="AD162" s="20">
        <v>4.84</v>
      </c>
      <c r="AE162" s="20">
        <v>4.4400000000000004</v>
      </c>
      <c r="AF162" s="21">
        <f>-Z162/2-AE162</f>
        <v>-5.2688259677858618E-2</v>
      </c>
      <c r="AG162" s="21">
        <f>-AA162/2-AE162</f>
        <v>-4.7053583485298311E-2</v>
      </c>
      <c r="AH162" s="21">
        <f>-AB162-AD162</f>
        <v>-1.5482183628808417</v>
      </c>
      <c r="AI162" s="21">
        <f>-AC162-AD162</f>
        <v>-1.4752219656413432</v>
      </c>
      <c r="AJ162" s="22">
        <v>0.115</v>
      </c>
      <c r="AK162" s="21">
        <v>-1.07</v>
      </c>
      <c r="AL162" s="21">
        <f>AF162+(0.69-AF$9)</f>
        <v>-3.711555488788898E-2</v>
      </c>
      <c r="AM162" s="21">
        <f>AG162+(0.69-AG$9)</f>
        <v>-2.9426442737926717E-2</v>
      </c>
      <c r="AN162" s="21">
        <f>AH162+(-0.8815-AH$9)</f>
        <v>-1.4221152493054965</v>
      </c>
      <c r="AO162" s="21">
        <f>AI162+(-0.8815-AI$9)</f>
        <v>-1.3973061214218219</v>
      </c>
      <c r="AP162" s="20">
        <f t="shared" si="11"/>
        <v>0.15211555488788897</v>
      </c>
      <c r="AQ162" s="20">
        <f t="shared" si="12"/>
        <v>0.14442644273792671</v>
      </c>
      <c r="AR162" s="20">
        <f t="shared" si="13"/>
        <v>0.35211524930549642</v>
      </c>
      <c r="AS162" s="20">
        <f t="shared" si="14"/>
        <v>0.32730612142182181</v>
      </c>
    </row>
    <row r="163" spans="1:45" ht="15" customHeight="1" x14ac:dyDescent="0.2">
      <c r="A163" s="26" t="s">
        <v>137</v>
      </c>
      <c r="B163" s="19" t="s">
        <v>43</v>
      </c>
      <c r="C163" s="20">
        <f t="shared" si="10"/>
        <v>-0.42068146923305594</v>
      </c>
      <c r="D163" s="20">
        <v>-1607.42489</v>
      </c>
      <c r="E163" s="20">
        <v>-1607.4955299999999</v>
      </c>
      <c r="F163" s="20">
        <v>-1608.5988</v>
      </c>
      <c r="G163" s="20">
        <v>-1607.5460326656</v>
      </c>
      <c r="H163" s="20">
        <v>-1607.6135630947001</v>
      </c>
      <c r="I163" s="20">
        <v>-1608.7415068697001</v>
      </c>
      <c r="J163" s="20">
        <v>-1607.6034412515</v>
      </c>
      <c r="K163" s="20">
        <v>-1607.6136519006</v>
      </c>
      <c r="L163" s="20">
        <v>-1607.6252215960001</v>
      </c>
      <c r="M163" s="20">
        <v>-1607.6612054984</v>
      </c>
      <c r="N163" s="20">
        <v>-1607.7404714331999</v>
      </c>
      <c r="O163" s="20">
        <v>-1608.7840453814999</v>
      </c>
      <c r="P163" s="20">
        <v>-1608.7968747596001</v>
      </c>
      <c r="Q163" s="20">
        <v>-1606.12013566465</v>
      </c>
      <c r="R163" s="20">
        <v>-1606.18124517921</v>
      </c>
      <c r="S163" s="20">
        <v>-1607.31983354466</v>
      </c>
      <c r="T163" s="20">
        <f>(S163-Q163)/2*27.211324570273</f>
        <v>-16.322684199610748</v>
      </c>
      <c r="U163" s="20">
        <f>(R163-Q163)*27.211324570273</f>
        <v>-1.662870835024806</v>
      </c>
      <c r="V163" s="20">
        <f>(F163-I163-D163+G163)/2*27.211324570273</f>
        <v>0.29339527843316154</v>
      </c>
      <c r="W163" s="20">
        <f>(E163-H163-D163+G163)*27.211324570273</f>
        <v>-8.4615543029377641E-2</v>
      </c>
      <c r="X163" s="20">
        <f>(P163-O163-K163+J163)/2*27.211324570273</f>
        <v>-3.5629542393458356E-2</v>
      </c>
      <c r="Y163" s="20">
        <f>(N163-M163-L163+J163)*27.211324570273</f>
        <v>-1.5642590557628984</v>
      </c>
      <c r="Z163" s="21">
        <f>(F163+P163-O163-D163-K163+J163-2*C163)*27.211324570273</f>
        <v>-9.1203051110816826</v>
      </c>
      <c r="AA163" s="21">
        <f>(S163+F163-I163+P163-O163-Q163-D163+G163-K163+J163-2*C163)*27.211324570273</f>
        <v>-9.2352369271482768</v>
      </c>
      <c r="AB163" s="21">
        <f>(E163+N163-M163-D163-L163+J163)*27.211324570273</f>
        <v>-3.4864670234045914</v>
      </c>
      <c r="AC163" s="21">
        <f>(R163+E163-H163+N163-M163-Q163-D163+G163-L163+J163)*27.211324570273</f>
        <v>-3.311745433823269</v>
      </c>
      <c r="AD163" s="20">
        <v>4.84</v>
      </c>
      <c r="AE163" s="20">
        <v>4.4400000000000004</v>
      </c>
      <c r="AF163" s="21">
        <f>-Z163/2-AE163</f>
        <v>0.12015255554084092</v>
      </c>
      <c r="AG163" s="21">
        <f>-AA163/2-AE163</f>
        <v>0.17761846357413802</v>
      </c>
      <c r="AH163" s="21">
        <f>-AB163-AD163</f>
        <v>-1.3535329765954085</v>
      </c>
      <c r="AI163" s="21">
        <f>-AC163-AD163</f>
        <v>-1.5282545661767308</v>
      </c>
      <c r="AJ163" s="22">
        <v>0.115</v>
      </c>
      <c r="AK163" s="21">
        <v>-1.07</v>
      </c>
      <c r="AL163" s="21">
        <f>AF163+(0.69-AF$10)</f>
        <v>4.3470845916275813E-3</v>
      </c>
      <c r="AM163" s="21">
        <f>AG163+(0.69-AG$10)</f>
        <v>7.0956096582069694E-2</v>
      </c>
      <c r="AN163" s="21">
        <f>AH163+(-0.8815-AH$10)</f>
        <v>-1.4069833800282421</v>
      </c>
      <c r="AO163" s="21">
        <f>AI163+(-0.8815-AI$10)</f>
        <v>-1.3457364545493564</v>
      </c>
      <c r="AP163" s="20">
        <f t="shared" si="11"/>
        <v>0.11065291540837242</v>
      </c>
      <c r="AQ163" s="20">
        <f t="shared" si="12"/>
        <v>4.4043903417930311E-2</v>
      </c>
      <c r="AR163" s="20">
        <f t="shared" si="13"/>
        <v>0.33698338002824202</v>
      </c>
      <c r="AS163" s="20">
        <f t="shared" si="14"/>
        <v>0.27573645454935636</v>
      </c>
    </row>
    <row r="164" spans="1:45" x14ac:dyDescent="0.2">
      <c r="A164" s="26" t="s">
        <v>138</v>
      </c>
      <c r="B164" s="19" t="s">
        <v>27</v>
      </c>
      <c r="C164" s="20">
        <f t="shared" si="10"/>
        <v>-0.42068146923305594</v>
      </c>
      <c r="D164" s="20">
        <v>-1453.66707</v>
      </c>
      <c r="E164" s="20">
        <v>-1453.7594200000001</v>
      </c>
      <c r="F164" s="20">
        <v>-1454.8793499999999</v>
      </c>
      <c r="G164" s="20">
        <v>-1453.7443344083999</v>
      </c>
      <c r="H164" s="20">
        <v>-1453.8345283622</v>
      </c>
      <c r="I164" s="20">
        <v>-1454.9818007693</v>
      </c>
      <c r="J164" s="20">
        <v>-1454.0165885929</v>
      </c>
      <c r="K164" s="20">
        <v>-1454.0238358137001</v>
      </c>
      <c r="L164" s="20">
        <v>-1454.0335046268001</v>
      </c>
      <c r="M164" s="20">
        <v>-1454.0910890227999</v>
      </c>
      <c r="N164" s="20">
        <v>-1454.1687464634999</v>
      </c>
      <c r="O164" s="20">
        <v>-1455.2325025772</v>
      </c>
      <c r="P164" s="20">
        <v>-1455.2403015588</v>
      </c>
      <c r="Q164" s="20">
        <v>-1454.6124566761</v>
      </c>
      <c r="R164" s="20">
        <v>-1454.6991397516999</v>
      </c>
      <c r="S164" s="20">
        <v>-1455.8457915464001</v>
      </c>
      <c r="T164" s="20">
        <f>(S164-Q164)/2*27.211324570273</f>
        <v>-16.780337729784986</v>
      </c>
      <c r="U164" s="20">
        <f>(R164-Q164)*27.211324570273</f>
        <v>-2.3587613048989819</v>
      </c>
      <c r="V164" s="20">
        <f>(F164-I164-D164+G164)/2*27.211324570273</f>
        <v>0.34267712059804561</v>
      </c>
      <c r="W164" s="20">
        <f>(E164-H164-D164+G164)*27.211324570273</f>
        <v>-5.8668872938627707E-2</v>
      </c>
      <c r="X164" s="20">
        <f>(P164-O164-K164+J164)/2*27.211324570273</f>
        <v>-7.50707110572709E-3</v>
      </c>
      <c r="Y164" s="20">
        <f>(N164-M164-L164+J164)*27.211324570273</f>
        <v>-1.6528541352880008</v>
      </c>
      <c r="Z164" s="21">
        <f>(F164+P164-O164-D164-K164+J164-2*C164)*27.211324570273</f>
        <v>-10.108158692261034</v>
      </c>
      <c r="AA164" s="21">
        <f>(S164+F164-I164+P164-O164-Q164-D164+G164-K164+J164-2*C164)*27.211324570273</f>
        <v>-9.9957353605791468</v>
      </c>
      <c r="AB164" s="21">
        <f>(E164+N164-M164-D164-L164+J164)*27.211324570273</f>
        <v>-4.1658199593560878</v>
      </c>
      <c r="AC164" s="21">
        <f>(R164+E164-H164+N164-M164-Q164-D164+G164-L164+J164)*27.211324570273</f>
        <v>-4.0702843131194228</v>
      </c>
      <c r="AD164" s="20">
        <v>4.84</v>
      </c>
      <c r="AE164" s="20">
        <v>4.4400000000000004</v>
      </c>
      <c r="AF164" s="21">
        <f>-Z164/2-AE164</f>
        <v>0.61407934613051651</v>
      </c>
      <c r="AG164" s="21">
        <f>-AA164/2-AE164</f>
        <v>0.55786768028957301</v>
      </c>
      <c r="AH164" s="21">
        <f>-AB164-AD164</f>
        <v>-0.67418004064391202</v>
      </c>
      <c r="AI164" s="21">
        <f>-AC164-AD164</f>
        <v>-0.76971568688057701</v>
      </c>
      <c r="AJ164" s="22">
        <v>0.44700000000000001</v>
      </c>
      <c r="AK164" s="21">
        <v>-0.89</v>
      </c>
      <c r="AL164" s="27">
        <f>AF164+(0.69-AF$2)</f>
        <v>0.43127283615645728</v>
      </c>
      <c r="AM164" s="27">
        <f>AG164+(0.69-AG$2)</f>
        <v>0.4005977045266369</v>
      </c>
      <c r="AN164" s="27">
        <f>AH164+(-0.8815-AH$2)</f>
        <v>-0.84870098775483882</v>
      </c>
      <c r="AO164" s="27">
        <f>AI164+(-0.8815-AI$2)</f>
        <v>-0.87557731916070747</v>
      </c>
      <c r="AP164" s="20">
        <f t="shared" si="11"/>
        <v>1.5727163843542724E-2</v>
      </c>
      <c r="AQ164" s="20">
        <f t="shared" si="12"/>
        <v>4.6402295473363109E-2</v>
      </c>
      <c r="AR164" s="20">
        <f t="shared" si="13"/>
        <v>4.1299012245161193E-2</v>
      </c>
      <c r="AS164" s="20">
        <f t="shared" si="14"/>
        <v>1.4422680839292545E-2</v>
      </c>
    </row>
    <row r="165" spans="1:45" ht="15" customHeight="1" x14ac:dyDescent="0.2">
      <c r="A165" s="26" t="s">
        <v>138</v>
      </c>
      <c r="B165" s="19" t="s">
        <v>145</v>
      </c>
      <c r="C165" s="20">
        <f t="shared" si="10"/>
        <v>-0.42068146923305594</v>
      </c>
      <c r="D165" s="20">
        <v>-1453.3529599999999</v>
      </c>
      <c r="E165" s="20">
        <v>-1453.4431300000001</v>
      </c>
      <c r="F165" s="20">
        <v>-1454.56297</v>
      </c>
      <c r="G165" s="20">
        <v>-1453.4316547617</v>
      </c>
      <c r="H165" s="20">
        <v>-1453.5200016155</v>
      </c>
      <c r="I165" s="20">
        <v>-1454.6666763522001</v>
      </c>
      <c r="J165" s="20">
        <v>-1454.0169799239</v>
      </c>
      <c r="K165" s="20">
        <v>-1454.0238518368001</v>
      </c>
      <c r="L165" s="20">
        <v>-1454.0336663634</v>
      </c>
      <c r="M165" s="20">
        <v>-1454.0915000983</v>
      </c>
      <c r="N165" s="20">
        <v>-1454.1690467221999</v>
      </c>
      <c r="O165" s="20">
        <v>-1455.2329297711999</v>
      </c>
      <c r="P165" s="20">
        <v>-1455.2406647671</v>
      </c>
      <c r="Q165" s="20">
        <v>-1454.3041616334999</v>
      </c>
      <c r="R165" s="20">
        <v>-1454.3895594845001</v>
      </c>
      <c r="S165" s="20">
        <v>-1455.5359664627999</v>
      </c>
      <c r="T165" s="20">
        <f>(S165-Q165)/2*27.211324570273</f>
        <v>-16.759520508656252</v>
      </c>
      <c r="U165" s="20">
        <f>(R165-Q165)*27.211324570273</f>
        <v>-2.3237886411689628</v>
      </c>
      <c r="V165" s="20">
        <f>(F165-I165-D165+G165)/2*27.211324570273</f>
        <v>0.34029925355809681</v>
      </c>
      <c r="W165" s="20">
        <f>(E165-H165-D165+G165)*27.211324570273</f>
        <v>-4.9610222992565227E-2</v>
      </c>
      <c r="X165" s="20">
        <f>(P165-O165-K165+J165)/2*27.211324570273</f>
        <v>-1.1742815822218262E-2</v>
      </c>
      <c r="Y165" s="20">
        <f>(N165-M165-L165+J165)*27.211324570273</f>
        <v>-1.6560862311115632</v>
      </c>
      <c r="Z165" s="21">
        <f>(F165+P165-O165-D165-K165+J165-2*C165)*27.211324570273</f>
        <v>-10.054860474920773</v>
      </c>
      <c r="AA165" s="21">
        <f>(S165+F165-I165+P165-O165-Q165-D165+G165-K165+J165-2*C165)*27.211324570273</f>
        <v>-9.9673281418469326</v>
      </c>
      <c r="AB165" s="21">
        <f>(E165+N165-M165-D165-L165+J165)*27.211324570273</f>
        <v>-4.1097313676239215</v>
      </c>
      <c r="AC165" s="21">
        <f>(R165+E165-H165+N165-M165-Q165-D165+G165-L165+J165)*27.211324570273</f>
        <v>-4.0294850952854651</v>
      </c>
      <c r="AD165" s="20">
        <v>4.84</v>
      </c>
      <c r="AE165" s="20">
        <v>4.4400000000000004</v>
      </c>
      <c r="AF165" s="21">
        <f>-Z165/2-AE165</f>
        <v>0.58743023746038592</v>
      </c>
      <c r="AG165" s="21">
        <f>-AA165/2-AE165</f>
        <v>0.54366407092346591</v>
      </c>
      <c r="AH165" s="21">
        <f>-AB165-AD165</f>
        <v>-0.73026863237607831</v>
      </c>
      <c r="AI165" s="21">
        <f>-AC165-AD165</f>
        <v>-0.8105149047145348</v>
      </c>
      <c r="AJ165" s="22">
        <v>0.44700000000000001</v>
      </c>
      <c r="AK165" s="21">
        <v>-0.89</v>
      </c>
      <c r="AL165" s="27">
        <f>AF165+(0.69-AF$3)</f>
        <v>0.42814839649761138</v>
      </c>
      <c r="AM165" s="27">
        <f>AG165+(0.69-AG$3)</f>
        <v>0.39498388446385624</v>
      </c>
      <c r="AN165" s="27">
        <f>AH165+(-0.8815-AH$3)</f>
        <v>-0.80186338920554689</v>
      </c>
      <c r="AO165" s="27">
        <f>AI165+(-0.8815-AI$3)</f>
        <v>-0.8482094478072808</v>
      </c>
      <c r="AP165" s="20">
        <f t="shared" si="11"/>
        <v>1.8851603502388625E-2</v>
      </c>
      <c r="AQ165" s="20">
        <f t="shared" si="12"/>
        <v>5.201611553614377E-2</v>
      </c>
      <c r="AR165" s="20">
        <f t="shared" si="13"/>
        <v>8.8136610794453119E-2</v>
      </c>
      <c r="AS165" s="20">
        <f t="shared" si="14"/>
        <v>4.179055219271921E-2</v>
      </c>
    </row>
    <row r="166" spans="1:45" ht="15" customHeight="1" x14ac:dyDescent="0.2">
      <c r="A166" s="26" t="s">
        <v>138</v>
      </c>
      <c r="B166" s="19" t="s">
        <v>29</v>
      </c>
      <c r="C166" s="20">
        <f t="shared" si="10"/>
        <v>-0.42068146923305594</v>
      </c>
      <c r="D166" s="20">
        <v>-1453.8044299999999</v>
      </c>
      <c r="E166" s="20">
        <v>-1453.89355</v>
      </c>
      <c r="F166" s="20">
        <v>-1455.02089</v>
      </c>
      <c r="G166" s="20">
        <v>-1453.8827543395</v>
      </c>
      <c r="H166" s="20">
        <v>-1453.9701250513001</v>
      </c>
      <c r="I166" s="20">
        <v>-1455.1244227551001</v>
      </c>
      <c r="J166" s="20">
        <v>-1454.0168923435001</v>
      </c>
      <c r="K166" s="20">
        <v>-1454.0238960250001</v>
      </c>
      <c r="L166" s="20">
        <v>-1454.0336527121001</v>
      </c>
      <c r="M166" s="20">
        <v>-1454.0913016091999</v>
      </c>
      <c r="N166" s="20">
        <v>-1454.1689137305</v>
      </c>
      <c r="O166" s="20">
        <v>-1455.232789268</v>
      </c>
      <c r="P166" s="20">
        <v>-1455.2405609519999</v>
      </c>
      <c r="Q166" s="20">
        <v>-1454.7421070205</v>
      </c>
      <c r="R166" s="20">
        <v>-1454.8255896425001</v>
      </c>
      <c r="S166" s="20">
        <v>-1455.9799207598001</v>
      </c>
      <c r="T166" s="20">
        <f>(S166-Q166)/2*27.211324570273</f>
        <v>-16.841275708817914</v>
      </c>
      <c r="U166" s="20">
        <f>(R166-Q166)*27.211324570273</f>
        <v>-2.271672723219945</v>
      </c>
      <c r="V166" s="20">
        <f>(F166-I166-D166+G166)/2*27.211324570273</f>
        <v>0.34297718939684396</v>
      </c>
      <c r="W166" s="20">
        <f>(E166-H166-D166+G166)*27.211324570273</f>
        <v>-4.7600448977610212E-2</v>
      </c>
      <c r="X166" s="20">
        <f>(P166-O166-K166+J166)/2*27.211324570273</f>
        <v>-1.0449182647147823E-2</v>
      </c>
      <c r="Y166" s="20">
        <f>(N166-M166-L166+J166)*27.211324570273</f>
        <v>-1.6558567933909336</v>
      </c>
      <c r="Z166" s="21">
        <f>(F166+P166-O166-D166-K166+J166-2*C166)*27.211324570273</f>
        <v>-10.227786252051239</v>
      </c>
      <c r="AA166" s="21">
        <f>(S166+F166-I166+P166-O166-Q166-D166+G166-K166+J166-2*C166)*27.211324570273</f>
        <v>-10.122895404142623</v>
      </c>
      <c r="AB166" s="21">
        <f>(E166+N166-M166-D166-L166+J166)*27.211324570273</f>
        <v>-4.0809300390962093</v>
      </c>
      <c r="AC166" s="21">
        <f>(R166+E166-H166+N166-M166-Q166-D166+G166-L166+J166)*27.211324570273</f>
        <v>-3.9751299655884891</v>
      </c>
      <c r="AD166" s="20">
        <v>4.84</v>
      </c>
      <c r="AE166" s="20">
        <v>4.4400000000000004</v>
      </c>
      <c r="AF166" s="21">
        <f>-Z166/2-AE166</f>
        <v>0.6738931260256189</v>
      </c>
      <c r="AG166" s="21">
        <f>-AA166/2-AE166</f>
        <v>0.62144770207131117</v>
      </c>
      <c r="AH166" s="21">
        <f>-AB166-AD166</f>
        <v>-0.75906996090379053</v>
      </c>
      <c r="AI166" s="21">
        <f>-AC166-AD166</f>
        <v>-0.86487003441151078</v>
      </c>
      <c r="AJ166" s="22">
        <v>0.44700000000000001</v>
      </c>
      <c r="AK166" s="21">
        <v>-0.89</v>
      </c>
      <c r="AL166" s="21">
        <f>AF166+(0.69-AF$4)</f>
        <v>0.42957243450082006</v>
      </c>
      <c r="AM166" s="21">
        <f>AG166+(0.69-AG$4)</f>
        <v>0.39716145710675876</v>
      </c>
      <c r="AN166" s="21">
        <f>AH166+(-0.8815-AH$4)</f>
        <v>-0.83139395129992621</v>
      </c>
      <c r="AO166" s="21">
        <f>AI166+(-0.8815-AI$4)</f>
        <v>-0.86345753396254121</v>
      </c>
      <c r="AP166" s="20">
        <f t="shared" si="11"/>
        <v>1.7427565499179953E-2</v>
      </c>
      <c r="AQ166" s="20">
        <f t="shared" si="12"/>
        <v>4.9838542893241244E-2</v>
      </c>
      <c r="AR166" s="20">
        <f t="shared" si="13"/>
        <v>5.8606048700073798E-2</v>
      </c>
      <c r="AS166" s="20">
        <f t="shared" si="14"/>
        <v>2.6542466037458801E-2</v>
      </c>
    </row>
    <row r="167" spans="1:45" ht="15" customHeight="1" x14ac:dyDescent="0.2">
      <c r="A167" s="26" t="s">
        <v>138</v>
      </c>
      <c r="B167" s="19" t="s">
        <v>30</v>
      </c>
      <c r="C167" s="20">
        <f t="shared" si="10"/>
        <v>-0.42068146923305594</v>
      </c>
      <c r="D167" s="20">
        <v>-1453.8676599999999</v>
      </c>
      <c r="E167" s="20">
        <v>-1453.9559300000001</v>
      </c>
      <c r="F167" s="20">
        <v>-1455.07422</v>
      </c>
      <c r="G167" s="20">
        <v>-1453.945296203</v>
      </c>
      <c r="H167" s="20">
        <v>-1454.0317394924</v>
      </c>
      <c r="I167" s="20">
        <v>-1455.1771032167001</v>
      </c>
      <c r="J167" s="20">
        <v>-1454.0170282669999</v>
      </c>
      <c r="K167" s="20">
        <v>-1454.0240412410999</v>
      </c>
      <c r="L167" s="20">
        <v>-1454.0338206388999</v>
      </c>
      <c r="M167" s="20">
        <v>-1454.091492559</v>
      </c>
      <c r="N167" s="20">
        <v>-1454.1690804912</v>
      </c>
      <c r="O167" s="20">
        <v>-1455.2329408600001</v>
      </c>
      <c r="P167" s="20">
        <v>-1455.2406492219</v>
      </c>
      <c r="Q167" s="20">
        <v>-1454.8128001195</v>
      </c>
      <c r="R167" s="20">
        <v>-1454.8947757349999</v>
      </c>
      <c r="S167" s="20">
        <v>-1456.0400517231001</v>
      </c>
      <c r="T167" s="20">
        <f>(S167-Q167)/2*27.211324570273</f>
        <v>-16.697570857474524</v>
      </c>
      <c r="U167" s="20">
        <f>(R167-Q167)*27.211324570273</f>
        <v>-2.2306650802160637</v>
      </c>
      <c r="V167" s="20">
        <f>(F167-I167-D167+G167)/2*27.211324570273</f>
        <v>0.34350234211016739</v>
      </c>
      <c r="W167" s="20">
        <f>(E167-H167-D167+G167)*27.211324570273</f>
        <v>-4.9707215037961397E-2</v>
      </c>
      <c r="X167" s="20">
        <f>(P167-O167-K167+J167)/2*27.211324570273</f>
        <v>-9.4612115619799632E-3</v>
      </c>
      <c r="Y167" s="20">
        <f>(N167-M167-L167+J167)*27.211324570273</f>
        <v>-1.6543277237547314</v>
      </c>
      <c r="Z167" s="21">
        <f>(F167+P167-O167-D167-K167+J167-2*C167)*27.211324570273</f>
        <v>-9.9564181966409517</v>
      </c>
      <c r="AA167" s="21">
        <f>(S167+F167-I167+P167-O167-Q167-D167+G167-K167+J167-2*C167)*27.211324570273</f>
        <v>-9.8324594538526728</v>
      </c>
      <c r="AB167" s="21">
        <f>(E167+N167-M167-D167-L167+J167)*27.211324570273</f>
        <v>-4.056271343577988</v>
      </c>
      <c r="AC167" s="21">
        <f>(R167+E167-H167+N167-M167-Q167-D167+G167-L167+J167)*27.211324570273</f>
        <v>-3.9347000190025692</v>
      </c>
      <c r="AD167" s="20">
        <v>4.84</v>
      </c>
      <c r="AE167" s="20">
        <v>4.4400000000000004</v>
      </c>
      <c r="AF167" s="21">
        <f>-Z167/2-AE167</f>
        <v>0.53820909832047548</v>
      </c>
      <c r="AG167" s="21">
        <f>-AA167/2-AE167</f>
        <v>0.47622972692633603</v>
      </c>
      <c r="AH167" s="21">
        <f>-AB167-AD167</f>
        <v>-0.78372865642201184</v>
      </c>
      <c r="AI167" s="21">
        <f>-AC167-AD167</f>
        <v>-0.9052999809974307</v>
      </c>
      <c r="AJ167" s="22">
        <v>0.44700000000000001</v>
      </c>
      <c r="AK167" s="21">
        <v>-0.89</v>
      </c>
      <c r="AL167" s="21">
        <f>AF167+(0.69-AF$5)</f>
        <v>0.42240362737126214</v>
      </c>
      <c r="AM167" s="21">
        <f>AG167+(0.69-AG$5)</f>
        <v>0.38757331287324126</v>
      </c>
      <c r="AN167" s="21">
        <f>AH167+(-0.8815-AH$5)</f>
        <v>-0.83717905985484542</v>
      </c>
      <c r="AO167" s="21">
        <f>AI167+(-0.8815-AI$5)</f>
        <v>-0.87335035251542559</v>
      </c>
      <c r="AP167" s="20">
        <f t="shared" si="11"/>
        <v>2.4596372628737873E-2</v>
      </c>
      <c r="AQ167" s="20">
        <f t="shared" si="12"/>
        <v>5.9426687126758748E-2</v>
      </c>
      <c r="AR167" s="20">
        <f t="shared" si="13"/>
        <v>5.2820940145154593E-2</v>
      </c>
      <c r="AS167" s="20">
        <f t="shared" si="14"/>
        <v>1.6649647484574426E-2</v>
      </c>
    </row>
    <row r="168" spans="1:45" ht="15" customHeight="1" x14ac:dyDescent="0.2">
      <c r="A168" s="26" t="s">
        <v>138</v>
      </c>
      <c r="B168" s="19" t="s">
        <v>31</v>
      </c>
      <c r="C168" s="20">
        <f t="shared" si="10"/>
        <v>-0.42068146923305594</v>
      </c>
      <c r="D168" s="20">
        <v>-1453.8044299999999</v>
      </c>
      <c r="E168" s="20">
        <v>-1453.89355</v>
      </c>
      <c r="F168" s="20">
        <v>-1455.02089</v>
      </c>
      <c r="G168" s="20">
        <v>-1453.8827543395</v>
      </c>
      <c r="H168" s="20">
        <v>-1453.9701250513001</v>
      </c>
      <c r="I168" s="20">
        <v>-1455.1244227551001</v>
      </c>
      <c r="J168" s="20">
        <v>-1454.0168923435001</v>
      </c>
      <c r="K168" s="20">
        <v>-1454.0238960250001</v>
      </c>
      <c r="L168" s="20">
        <v>-1454.0336527121001</v>
      </c>
      <c r="M168" s="20">
        <v>-1454.0913016091999</v>
      </c>
      <c r="N168" s="20">
        <v>-1454.1689137305</v>
      </c>
      <c r="O168" s="20">
        <v>-1455.232789268</v>
      </c>
      <c r="P168" s="20">
        <v>-1455.2405609519999</v>
      </c>
      <c r="Q168" s="20">
        <v>-1454.2471639615001</v>
      </c>
      <c r="R168" s="20">
        <v>-1454.3291850592</v>
      </c>
      <c r="S168" s="20">
        <v>-1455.4769039058999</v>
      </c>
      <c r="T168" s="20">
        <f>(S168-Q168)/2*27.211324570273</f>
        <v>-16.731426382046934</v>
      </c>
      <c r="U168" s="20">
        <f>(R168-Q168)*27.211324570273</f>
        <v>-2.2319027111222645</v>
      </c>
      <c r="V168" s="20">
        <f>(F168-I168-D168+G168)/2*27.211324570273</f>
        <v>0.34297718939684396</v>
      </c>
      <c r="W168" s="20">
        <f>(E168-H168-D168+G168)*27.211324570273</f>
        <v>-4.7600448977610212E-2</v>
      </c>
      <c r="X168" s="20">
        <f>(P168-O168-K168+J168)/2*27.211324570273</f>
        <v>-1.0449182647147823E-2</v>
      </c>
      <c r="Y168" s="20">
        <f>(N168-M168-L168+J168)*27.211324570273</f>
        <v>-1.6558567933909336</v>
      </c>
      <c r="Z168" s="21">
        <f>(F168+P168-O168-D168-K168+J168-2*C168)*27.211324570273</f>
        <v>-10.227786252051239</v>
      </c>
      <c r="AA168" s="21">
        <f>(S168+F168-I168+P168-O168-Q168-D168+G168-K168+J168-2*C168)*27.211324570273</f>
        <v>-9.9031967505882896</v>
      </c>
      <c r="AB168" s="21">
        <f>(E168+N168-M168-D168-L168+J168)*27.211324570273</f>
        <v>-4.0809300390962093</v>
      </c>
      <c r="AC168" s="21">
        <f>(R168+E168-H168+N168-M168-Q168-D168+G168-L168+J168)*27.211324570273</f>
        <v>-3.9353599534969956</v>
      </c>
      <c r="AD168" s="20">
        <v>4.84</v>
      </c>
      <c r="AE168" s="20">
        <v>4.4400000000000004</v>
      </c>
      <c r="AF168" s="21">
        <f>-Z168/2-AE168</f>
        <v>0.6738931260256189</v>
      </c>
      <c r="AG168" s="21">
        <f>-AA168/2-AE168</f>
        <v>0.51159837529414443</v>
      </c>
      <c r="AH168" s="21">
        <f>-AB168-AD168</f>
        <v>-0.75906996090379053</v>
      </c>
      <c r="AI168" s="21">
        <f>-AC168-AD168</f>
        <v>-0.90464004650300422</v>
      </c>
      <c r="AJ168" s="22">
        <v>0.44700000000000001</v>
      </c>
      <c r="AK168" s="21">
        <v>-0.89</v>
      </c>
      <c r="AL168" s="21">
        <f>AF168+(0.69-AF$6)</f>
        <v>0.42957243450082006</v>
      </c>
      <c r="AM168" s="21">
        <f>AG168+(0.69-AG$6)</f>
        <v>0.39521131398382936</v>
      </c>
      <c r="AN168" s="21">
        <f>AH168+(-0.8815-AH$6)</f>
        <v>-0.83139395129992621</v>
      </c>
      <c r="AO168" s="21">
        <f>AI168+(-0.8815-AI$6)</f>
        <v>-0.8530175337704029</v>
      </c>
      <c r="AP168" s="20">
        <f t="shared" si="11"/>
        <v>1.7427565499179953E-2</v>
      </c>
      <c r="AQ168" s="20">
        <f t="shared" si="12"/>
        <v>5.1788686016170649E-2</v>
      </c>
      <c r="AR168" s="20">
        <f t="shared" si="13"/>
        <v>5.8606048700073798E-2</v>
      </c>
      <c r="AS168" s="20">
        <f t="shared" si="14"/>
        <v>3.6982466229597111E-2</v>
      </c>
    </row>
    <row r="169" spans="1:45" ht="15" customHeight="1" x14ac:dyDescent="0.2">
      <c r="A169" s="26" t="s">
        <v>138</v>
      </c>
      <c r="B169" s="19" t="s">
        <v>32</v>
      </c>
      <c r="C169" s="20">
        <f t="shared" si="10"/>
        <v>-0.42068146923305594</v>
      </c>
      <c r="D169" s="20">
        <v>-1453.8676599999999</v>
      </c>
      <c r="E169" s="20">
        <v>-1453.9559300000001</v>
      </c>
      <c r="F169" s="20">
        <v>-1455.07422</v>
      </c>
      <c r="G169" s="20">
        <v>-1453.945296203</v>
      </c>
      <c r="H169" s="20">
        <v>-1454.0317394924</v>
      </c>
      <c r="I169" s="20">
        <v>-1455.1771032167001</v>
      </c>
      <c r="J169" s="20">
        <v>-1454.0170282669999</v>
      </c>
      <c r="K169" s="20">
        <v>-1454.0240412410999</v>
      </c>
      <c r="L169" s="20">
        <v>-1454.0338206388999</v>
      </c>
      <c r="M169" s="20">
        <v>-1454.091492559</v>
      </c>
      <c r="N169" s="20">
        <v>-1454.1690804912</v>
      </c>
      <c r="O169" s="20">
        <v>-1455.2329408600001</v>
      </c>
      <c r="P169" s="20">
        <v>-1455.2406492219</v>
      </c>
      <c r="Q169" s="20">
        <v>-1454.3378314613999</v>
      </c>
      <c r="R169" s="20">
        <v>-1454.4183979402001</v>
      </c>
      <c r="S169" s="20">
        <v>-1455.5570105269001</v>
      </c>
      <c r="T169" s="20">
        <f>(S169-Q169)/2*27.211324570273</f>
        <v>-16.587738630303448</v>
      </c>
      <c r="U169" s="20">
        <f>(R169-Q169)*27.211324570273</f>
        <v>-2.192320604115308</v>
      </c>
      <c r="V169" s="20">
        <f>(F169-I169-D169+G169)/2*27.211324570273</f>
        <v>0.34350234211016739</v>
      </c>
      <c r="W169" s="20">
        <f>(E169-H169-D169+G169)*27.211324570273</f>
        <v>-4.9707215037961397E-2</v>
      </c>
      <c r="X169" s="20">
        <f>(P169-O169-K169+J169)/2*27.211324570273</f>
        <v>-9.4612115619799632E-3</v>
      </c>
      <c r="Y169" s="20">
        <f>(N169-M169-L169+J169)*27.211324570273</f>
        <v>-1.6543277237547314</v>
      </c>
      <c r="Z169" s="21">
        <f>(F169+P169-O169-D169-K169+J169-2*C169)*27.211324570273</f>
        <v>-9.9564181966409517</v>
      </c>
      <c r="AA169" s="21">
        <f>(S169+F169-I169+P169-O169-Q169-D169+G169-K169+J169-2*C169)*27.211324570273</f>
        <v>-9.612794999516705</v>
      </c>
      <c r="AB169" s="21">
        <f>(E169+N169-M169-D169-L169+J169)*27.211324570273</f>
        <v>-4.056271343577988</v>
      </c>
      <c r="AC169" s="21">
        <f>(R169+E169-H169+N169-M169-Q169-D169+G169-L169+J169)*27.211324570273</f>
        <v>-3.896355542908001</v>
      </c>
      <c r="AD169" s="20">
        <v>4.84</v>
      </c>
      <c r="AE169" s="20">
        <v>4.4400000000000004</v>
      </c>
      <c r="AF169" s="21">
        <f>-Z169/2-AE169</f>
        <v>0.53820909832047548</v>
      </c>
      <c r="AG169" s="21">
        <f>-AA169/2-AE169</f>
        <v>0.36639749975835212</v>
      </c>
      <c r="AH169" s="21">
        <f>-AB169-AD169</f>
        <v>-0.78372865642201184</v>
      </c>
      <c r="AI169" s="21">
        <f>-AC169-AD169</f>
        <v>-0.94364445709199885</v>
      </c>
      <c r="AJ169" s="22">
        <v>0.44700000000000001</v>
      </c>
      <c r="AK169" s="21">
        <v>-0.89</v>
      </c>
      <c r="AL169" s="21">
        <f>AF169+(0.69-AF$7)</f>
        <v>0.42240362737126214</v>
      </c>
      <c r="AM169" s="21">
        <f>AG169+(0.69-AG$7)</f>
        <v>0.38697615899939519</v>
      </c>
      <c r="AN169" s="21">
        <f>AH169+(-0.8815-AH$7)</f>
        <v>-0.83717905985484542</v>
      </c>
      <c r="AO169" s="21">
        <f>AI169+(-0.8815-AI$7)</f>
        <v>-0.86414101440129354</v>
      </c>
      <c r="AP169" s="20">
        <f t="shared" si="11"/>
        <v>2.4596372628737873E-2</v>
      </c>
      <c r="AQ169" s="20">
        <f t="shared" si="12"/>
        <v>6.0023841000604816E-2</v>
      </c>
      <c r="AR169" s="20">
        <f t="shared" si="13"/>
        <v>5.2820940145154593E-2</v>
      </c>
      <c r="AS169" s="20">
        <f t="shared" si="14"/>
        <v>2.5858985598706474E-2</v>
      </c>
    </row>
    <row r="170" spans="1:45" ht="15" customHeight="1" x14ac:dyDescent="0.2">
      <c r="A170" s="26" t="s">
        <v>138</v>
      </c>
      <c r="B170" s="19" t="s">
        <v>33</v>
      </c>
      <c r="C170" s="20">
        <f t="shared" si="10"/>
        <v>-0.42068146923305594</v>
      </c>
      <c r="D170" s="20">
        <v>-1454.2613799999999</v>
      </c>
      <c r="E170" s="20">
        <v>-1454.3305800000001</v>
      </c>
      <c r="F170" s="20">
        <v>-1455.4564600000001</v>
      </c>
      <c r="G170" s="20">
        <v>-1454.3383463852001</v>
      </c>
      <c r="H170" s="20">
        <v>-1454.4038722599</v>
      </c>
      <c r="I170" s="20">
        <v>-1455.5575175608001</v>
      </c>
      <c r="J170" s="20">
        <v>-1454.0167502347999</v>
      </c>
      <c r="K170" s="20">
        <v>-1454.0237376138</v>
      </c>
      <c r="L170" s="20">
        <v>-1454.0334560821</v>
      </c>
      <c r="M170" s="20">
        <v>-1454.0911356928</v>
      </c>
      <c r="N170" s="20">
        <v>-1454.1686822628001</v>
      </c>
      <c r="O170" s="20">
        <v>-1455.232692459</v>
      </c>
      <c r="P170" s="20">
        <v>-1455.2402623933999</v>
      </c>
      <c r="Q170" s="20">
        <v>-1454.3384920634001</v>
      </c>
      <c r="R170" s="20">
        <v>-1454.4190024488</v>
      </c>
      <c r="S170" s="20">
        <v>-1455.5577591489</v>
      </c>
      <c r="T170" s="20">
        <f>(S170-Q170)/2*27.211324570273</f>
        <v>-16.588936200694977</v>
      </c>
      <c r="U170" s="20">
        <f>(R170-Q170)*27.211324570273</f>
        <v>-2.1907942283964976</v>
      </c>
      <c r="V170" s="20">
        <f>(F170-I170-D170+G170)/2*27.211324570273</f>
        <v>0.32777639926250812</v>
      </c>
      <c r="W170" s="20">
        <f>(E170-H170-D170+G170)*27.211324570273</f>
        <v>-9.9977816056190688E-2</v>
      </c>
      <c r="X170" s="20">
        <f>(P170-O170-K170+J170)/2*27.211324570273</f>
        <v>-7.9260520332519249E-3</v>
      </c>
      <c r="Y170" s="20">
        <f>(N170-M170-L170+J170)*27.211324570273</f>
        <v>-1.6555566524810317</v>
      </c>
      <c r="Z170" s="21">
        <f>(F170+P170-O170-D170-K170+J170-2*C170)*27.211324570273</f>
        <v>-9.6409618715073186</v>
      </c>
      <c r="AA170" s="21">
        <f>(S170+F170-I170+P170-O170-Q170-D170+G170-K170+J170-2*C170)*27.211324570273</f>
        <v>-9.6435717069376299</v>
      </c>
      <c r="AB170" s="21">
        <f>(E170+N170-M170-D170-L170+J170)*27.211324570273</f>
        <v>-3.5385803127476554</v>
      </c>
      <c r="AC170" s="21">
        <f>(R170+E170-H170+N170-M170-Q170-D170+G170-L170+J170)*27.211324570273</f>
        <v>-3.9463286969337199</v>
      </c>
      <c r="AD170" s="20">
        <v>4.84</v>
      </c>
      <c r="AE170" s="20">
        <v>4.4400000000000004</v>
      </c>
      <c r="AF170" s="21">
        <f>-Z170/2-AE170</f>
        <v>0.38048093575365893</v>
      </c>
      <c r="AG170" s="21">
        <f>-AA170/2-AE170</f>
        <v>0.38178585346881455</v>
      </c>
      <c r="AH170" s="21">
        <f>-AB170-AD170</f>
        <v>-1.3014196872523445</v>
      </c>
      <c r="AI170" s="21">
        <f>-AC170-AD170</f>
        <v>-0.89367130306627995</v>
      </c>
      <c r="AJ170" s="22">
        <v>0.44700000000000001</v>
      </c>
      <c r="AK170" s="21">
        <v>-0.89</v>
      </c>
      <c r="AL170" s="21">
        <f>AF170+(0.69-AF$8)</f>
        <v>0.40104291309318674</v>
      </c>
      <c r="AM170" s="21">
        <f>AG170+(0.69-AG$8)</f>
        <v>0.40015543615808946</v>
      </c>
      <c r="AN170" s="21">
        <f>AH170+(-0.8815-AH$8)</f>
        <v>-0.79574581813030276</v>
      </c>
      <c r="AO170" s="21">
        <f>AI170+(-0.8815-AI$8)</f>
        <v>-0.85625457117517012</v>
      </c>
      <c r="AP170" s="20">
        <f t="shared" si="11"/>
        <v>4.5957086906813271E-2</v>
      </c>
      <c r="AQ170" s="20">
        <f t="shared" si="12"/>
        <v>4.6844563841910547E-2</v>
      </c>
      <c r="AR170" s="20">
        <f t="shared" si="13"/>
        <v>9.4254181869697251E-2</v>
      </c>
      <c r="AS170" s="20">
        <f t="shared" si="14"/>
        <v>3.3745428824829893E-2</v>
      </c>
    </row>
    <row r="171" spans="1:45" ht="15" customHeight="1" x14ac:dyDescent="0.2">
      <c r="A171" s="26" t="s">
        <v>138</v>
      </c>
      <c r="B171" s="19" t="s">
        <v>174</v>
      </c>
      <c r="C171" s="20">
        <f t="shared" si="10"/>
        <v>-0.42068146923305594</v>
      </c>
      <c r="D171" s="20">
        <v>-1454.2615900000001</v>
      </c>
      <c r="E171" s="20">
        <v>-1454.3403000000001</v>
      </c>
      <c r="F171" s="20">
        <v>-1455.4569300000001</v>
      </c>
      <c r="G171" s="20">
        <v>-1454.3386970245001</v>
      </c>
      <c r="H171" s="20">
        <v>-1454.4147459853</v>
      </c>
      <c r="I171" s="20">
        <v>-1455.5581293215</v>
      </c>
      <c r="J171" s="20">
        <v>-1454.0167525730999</v>
      </c>
      <c r="K171" s="20">
        <v>-1454.0237340204001</v>
      </c>
      <c r="L171" s="20">
        <v>-1454.0334530063001</v>
      </c>
      <c r="M171" s="20">
        <v>-1454.0911792700001</v>
      </c>
      <c r="N171" s="20">
        <v>-1454.1686855685</v>
      </c>
      <c r="O171" s="20">
        <v>-1455.2326797313999</v>
      </c>
      <c r="P171" s="20">
        <v>-1455.2402296944001</v>
      </c>
      <c r="Q171" s="20">
        <v>-1454.3384922348</v>
      </c>
      <c r="R171" s="20">
        <v>-1454.4189577053</v>
      </c>
      <c r="S171" s="20">
        <v>-1455.5577592307</v>
      </c>
      <c r="T171" s="20">
        <f>(S171-Q171)/2*27.211324570273</f>
        <v>-16.588934981627535</v>
      </c>
      <c r="U171" s="20">
        <f>(R171-Q171)*27.211324570273</f>
        <v>-2.189572034476051</v>
      </c>
      <c r="V171" s="20">
        <f>(F171-I171-D171+G171)/2*27.211324570273</f>
        <v>0.32779165665418214</v>
      </c>
      <c r="W171" s="20">
        <f>(E171-H171-D171+G171)*27.211324570273</f>
        <v>-7.2410401368692728E-2</v>
      </c>
      <c r="X171" s="20">
        <f>(P171-O171-K171+J171)/2*27.211324570273</f>
        <v>-7.7350326183294581E-3</v>
      </c>
      <c r="Y171" s="20">
        <f>(N171-M171-L171+J171)*27.211324570273</f>
        <v>-1.6546081364464038</v>
      </c>
      <c r="Z171" s="21">
        <f>(F171+P171-O171-D171-K171+J171-2*C171)*27.211324570273</f>
        <v>-9.6476547770726313</v>
      </c>
      <c r="AA171" s="21">
        <f>(S171+F171-I171+P171-O171-Q171-D171+G171-K171+J171-2*C171)*27.211324570273</f>
        <v>-9.6431567151895532</v>
      </c>
      <c r="AB171" s="21">
        <f>(E171+N171-M171-D171-L171+J171)*27.211324570273</f>
        <v>-3.7964114933726174</v>
      </c>
      <c r="AC171" s="21">
        <f>(R171+E171-H171+N171-M171-Q171-D171+G171-L171+J171)*27.211324570273</f>
        <v>-3.9165905722911476</v>
      </c>
      <c r="AD171" s="20">
        <v>4.84</v>
      </c>
      <c r="AE171" s="20">
        <v>4.4400000000000004</v>
      </c>
      <c r="AF171" s="21">
        <f>-Z171/2-AE171</f>
        <v>0.38382738853631526</v>
      </c>
      <c r="AG171" s="21">
        <f>-AA171/2-AE171</f>
        <v>0.38157835759477621</v>
      </c>
      <c r="AH171" s="21">
        <f>-AB171-AD171</f>
        <v>-1.0435885066273825</v>
      </c>
      <c r="AI171" s="21">
        <f>-AC171-AD171</f>
        <v>-0.92340942770885226</v>
      </c>
      <c r="AJ171" s="22">
        <v>0.44700000000000001</v>
      </c>
      <c r="AK171" s="21">
        <v>-0.89</v>
      </c>
      <c r="AL171" s="21">
        <f>AF171+(0.69-AF$9)</f>
        <v>0.3994000933262849</v>
      </c>
      <c r="AM171" s="21">
        <f>AG171+(0.69-AG$9)</f>
        <v>0.3992054983421478</v>
      </c>
      <c r="AN171" s="21">
        <f>AH171+(-0.8815-AH$9)</f>
        <v>-0.91748539305203725</v>
      </c>
      <c r="AO171" s="21">
        <f>AI171+(-0.8815-AI$9)</f>
        <v>-0.8454935834893309</v>
      </c>
      <c r="AP171" s="20">
        <f t="shared" si="11"/>
        <v>4.7599906673715109E-2</v>
      </c>
      <c r="AQ171" s="20">
        <f t="shared" si="12"/>
        <v>4.7794501657852206E-2</v>
      </c>
      <c r="AR171" s="20">
        <f t="shared" si="13"/>
        <v>2.7485393052037232E-2</v>
      </c>
      <c r="AS171" s="20">
        <f t="shared" si="14"/>
        <v>4.4506416510669111E-2</v>
      </c>
    </row>
    <row r="172" spans="1:45" ht="15" customHeight="1" x14ac:dyDescent="0.2">
      <c r="A172" s="26" t="s">
        <v>138</v>
      </c>
      <c r="B172" s="19" t="s">
        <v>43</v>
      </c>
      <c r="C172" s="20">
        <f t="shared" si="10"/>
        <v>-0.42068146923305594</v>
      </c>
      <c r="D172" s="20">
        <v>-1453.8676599999999</v>
      </c>
      <c r="E172" s="20">
        <v>-1453.9559300000001</v>
      </c>
      <c r="F172" s="20">
        <v>-1455.07422</v>
      </c>
      <c r="G172" s="20">
        <v>-1453.945296203</v>
      </c>
      <c r="H172" s="20">
        <v>-1454.0317394924</v>
      </c>
      <c r="I172" s="20">
        <v>-1455.1771032167001</v>
      </c>
      <c r="J172" s="20">
        <v>-1454.0170282669999</v>
      </c>
      <c r="K172" s="20">
        <v>-1454.0240412410999</v>
      </c>
      <c r="L172" s="20">
        <v>-1454.0338206388999</v>
      </c>
      <c r="M172" s="20">
        <v>-1454.091492559</v>
      </c>
      <c r="N172" s="20">
        <v>-1454.1690804912</v>
      </c>
      <c r="O172" s="20">
        <v>-1455.2329408600001</v>
      </c>
      <c r="P172" s="20">
        <v>-1455.2406492219</v>
      </c>
      <c r="Q172" s="20">
        <v>-1452.71088629623</v>
      </c>
      <c r="R172" s="20">
        <v>-1452.78933929715</v>
      </c>
      <c r="S172" s="20">
        <v>-1453.94240656792</v>
      </c>
      <c r="T172" s="20">
        <f>(S172-Q172)/2*27.211324570273</f>
        <v>-16.755648913913518</v>
      </c>
      <c r="U172" s="20">
        <f>(R172-Q172)*27.211324570273</f>
        <v>-2.134810071547006</v>
      </c>
      <c r="V172" s="20">
        <f>(F172-I172-D172+G172)/2*27.211324570273</f>
        <v>0.34350234211016739</v>
      </c>
      <c r="W172" s="20">
        <f>(E172-H172-D172+G172)*27.211324570273</f>
        <v>-4.9707215037961397E-2</v>
      </c>
      <c r="X172" s="20">
        <f>(P172-O172-K172+J172)/2*27.211324570273</f>
        <v>-9.4612115619799632E-3</v>
      </c>
      <c r="Y172" s="20">
        <f>(N172-M172-L172+J172)*27.211324570273</f>
        <v>-1.6543277237547314</v>
      </c>
      <c r="Z172" s="21">
        <f>(F172+P172-O172-D172-K172+J172-2*C172)*27.211324570273</f>
        <v>-9.9564181966409517</v>
      </c>
      <c r="AA172" s="21">
        <f>(S172+F172-I172+P172-O172-Q172-D172+G172-K172+J172-2*C172)*27.211324570273</f>
        <v>-9.9486155667306644</v>
      </c>
      <c r="AB172" s="21">
        <f>(E172+N172-M172-D172-L172+J172)*27.211324570273</f>
        <v>-4.056271343577988</v>
      </c>
      <c r="AC172" s="21">
        <f>(R172+E172-H172+N172-M172-Q172-D172+G172-L172+J172)*27.211324570273</f>
        <v>-3.8388450103396985</v>
      </c>
      <c r="AD172" s="20">
        <v>4.84</v>
      </c>
      <c r="AE172" s="20">
        <v>4.4400000000000004</v>
      </c>
      <c r="AF172" s="21">
        <f>-Z172/2-AE172</f>
        <v>0.53820909832047548</v>
      </c>
      <c r="AG172" s="21">
        <f>-AA172/2-AE172</f>
        <v>0.5343077833653318</v>
      </c>
      <c r="AH172" s="21">
        <f>-AB172-AD172</f>
        <v>-0.78372865642201184</v>
      </c>
      <c r="AI172" s="21">
        <f>-AC172-AD172</f>
        <v>-1.0011549896603014</v>
      </c>
      <c r="AJ172" s="22">
        <v>0.44700000000000001</v>
      </c>
      <c r="AK172" s="21">
        <v>-0.89</v>
      </c>
      <c r="AL172" s="21">
        <f>AF172+(0.69-AF$10)</f>
        <v>0.42240362737126214</v>
      </c>
      <c r="AM172" s="21">
        <f>AG172+(0.69-AG$10)</f>
        <v>0.42764541637326348</v>
      </c>
      <c r="AN172" s="21">
        <f>AH172+(-0.8815-AH$10)</f>
        <v>-0.83717905985484542</v>
      </c>
      <c r="AO172" s="21">
        <f>AI172+(-0.8815-AI$10)</f>
        <v>-0.81863687803292695</v>
      </c>
      <c r="AP172" s="20">
        <f t="shared" si="11"/>
        <v>2.4596372628737873E-2</v>
      </c>
      <c r="AQ172" s="20">
        <f t="shared" si="12"/>
        <v>1.9354583626736532E-2</v>
      </c>
      <c r="AR172" s="20">
        <f t="shared" si="13"/>
        <v>5.2820940145154593E-2</v>
      </c>
      <c r="AS172" s="20">
        <f t="shared" si="14"/>
        <v>7.1363121967073062E-2</v>
      </c>
    </row>
    <row r="173" spans="1:45" x14ac:dyDescent="0.2">
      <c r="A173" s="26" t="s">
        <v>139</v>
      </c>
      <c r="B173" s="19" t="s">
        <v>27</v>
      </c>
      <c r="C173" s="20">
        <f t="shared" si="10"/>
        <v>-0.42068146923305594</v>
      </c>
      <c r="D173" s="20">
        <v>-695.30264</v>
      </c>
      <c r="E173" s="20">
        <v>-695.38148000000001</v>
      </c>
      <c r="F173" s="20">
        <v>-696.53169000000003</v>
      </c>
      <c r="G173" s="20">
        <v>-695.56829196670003</v>
      </c>
      <c r="H173" s="20">
        <v>-695.64474263310001</v>
      </c>
      <c r="I173" s="20">
        <v>-696.82202696809998</v>
      </c>
      <c r="J173" s="20">
        <v>-695.63535725910003</v>
      </c>
      <c r="K173" s="20">
        <v>-695.64231142979997</v>
      </c>
      <c r="L173" s="20">
        <v>-695.65256325489997</v>
      </c>
      <c r="M173" s="20">
        <v>-695.69396127150003</v>
      </c>
      <c r="N173" s="20">
        <v>-695.77770285429995</v>
      </c>
      <c r="O173" s="20">
        <v>-696.87086320879996</v>
      </c>
      <c r="P173" s="20">
        <v>-696.878685281</v>
      </c>
      <c r="Q173" s="20">
        <v>-696.29431266059999</v>
      </c>
      <c r="R173" s="20">
        <v>-696.36814515269998</v>
      </c>
      <c r="S173" s="20">
        <v>-697.54488124579996</v>
      </c>
      <c r="T173" s="20">
        <f>(S173-Q173)/2*27.211324570273</f>
        <v>-17.014813834631763</v>
      </c>
      <c r="U173" s="20">
        <f>(R173-Q173)*27.211324570273</f>
        <v>-2.0090799063651019</v>
      </c>
      <c r="V173" s="20">
        <f>(F173-I173-D173+G173)/2*27.211324570273</f>
        <v>0.33585579255538528</v>
      </c>
      <c r="W173" s="20">
        <f>(E173-H173-D173+G173)*27.211324570273</f>
        <v>-6.5016932097226754E-2</v>
      </c>
      <c r="X173" s="20">
        <f>(P173-O173-K173+J173)/2*27.211324570273</f>
        <v>-1.180837470713407E-2</v>
      </c>
      <c r="Y173" s="20">
        <f>(N173-M173-L173+J173)*27.211324570273</f>
        <v>-1.8105214533299769</v>
      </c>
      <c r="Z173" s="21">
        <f>(F173+P173-O173-D173-K173+J173-2*C173)*27.211324570273</f>
        <v>-10.57309521251219</v>
      </c>
      <c r="AA173" s="21">
        <f>(S173+F173-I173+P173-O173-Q173-D173+G173-K173+J173-2*C173)*27.211324570273</f>
        <v>-10.486932833570119</v>
      </c>
      <c r="AB173" s="21">
        <f>(E173+N173-M173-D173-L173+J173)*27.211324570273</f>
        <v>-3.955862282453769</v>
      </c>
      <c r="AC173" s="21">
        <f>(R173+E173-H173+N173-M173-Q173-D173+G173-L173+J173)*27.211324570273</f>
        <v>-3.8846182917923056</v>
      </c>
      <c r="AD173" s="20">
        <v>4.84</v>
      </c>
      <c r="AE173" s="20">
        <v>4.4400000000000004</v>
      </c>
      <c r="AF173" s="21">
        <f>-Z173/2-AE173</f>
        <v>0.84654760625609438</v>
      </c>
      <c r="AG173" s="21">
        <f>-AA173/2-AE173</f>
        <v>0.80346641678505915</v>
      </c>
      <c r="AH173" s="21">
        <f>-AB173-AD173</f>
        <v>-0.88413771754623083</v>
      </c>
      <c r="AI173" s="21">
        <f>-AC173-AD173</f>
        <v>-0.9553817082076943</v>
      </c>
      <c r="AJ173" s="22">
        <v>0.57999999999999996</v>
      </c>
      <c r="AK173" s="21">
        <v>-0.92149999999999999</v>
      </c>
      <c r="AL173" s="27">
        <f>AF173+(0.69-AF$2)</f>
        <v>0.66374109628203515</v>
      </c>
      <c r="AM173" s="27">
        <f>AG173+(0.69-AG$2)</f>
        <v>0.64619644102212304</v>
      </c>
      <c r="AN173" s="27">
        <f>AH173+(-0.8815-AH$2)</f>
        <v>-1.0586586646571576</v>
      </c>
      <c r="AO173" s="27">
        <f>AI173+(-0.8815-AI$2)</f>
        <v>-1.0612433404878248</v>
      </c>
      <c r="AP173" s="20">
        <f t="shared" si="11"/>
        <v>8.3741096282035188E-2</v>
      </c>
      <c r="AQ173" s="20">
        <f t="shared" si="12"/>
        <v>6.6196441022123076E-2</v>
      </c>
      <c r="AR173" s="20">
        <f t="shared" si="13"/>
        <v>0.13715866465715765</v>
      </c>
      <c r="AS173" s="20">
        <f t="shared" si="14"/>
        <v>0.13974334048782477</v>
      </c>
    </row>
    <row r="174" spans="1:45" ht="15" customHeight="1" x14ac:dyDescent="0.2">
      <c r="A174" s="26" t="s">
        <v>139</v>
      </c>
      <c r="B174" s="19" t="s">
        <v>145</v>
      </c>
      <c r="C174" s="20">
        <f t="shared" si="10"/>
        <v>-0.42068146923305594</v>
      </c>
      <c r="D174" s="20">
        <v>-694.89831000000004</v>
      </c>
      <c r="E174" s="20">
        <v>-694.97456999999997</v>
      </c>
      <c r="F174" s="20">
        <v>-696.12527999999998</v>
      </c>
      <c r="G174" s="20">
        <v>-695.16681703170002</v>
      </c>
      <c r="H174" s="20">
        <v>-695.24088562140003</v>
      </c>
      <c r="I174" s="20">
        <v>-696.41860842289998</v>
      </c>
      <c r="J174" s="20">
        <v>-695.63565779210001</v>
      </c>
      <c r="K174" s="20">
        <v>-695.64223761599999</v>
      </c>
      <c r="L174" s="20">
        <v>-695.65263043300001</v>
      </c>
      <c r="M174" s="20">
        <v>-695.69422513719996</v>
      </c>
      <c r="N174" s="20">
        <v>-695.77766853879996</v>
      </c>
      <c r="O174" s="20">
        <v>-696.87108553329995</v>
      </c>
      <c r="P174" s="20">
        <v>-696.87873224509997</v>
      </c>
      <c r="Q174" s="20">
        <v>-695.91063137030005</v>
      </c>
      <c r="R174" s="20">
        <v>-695.98327361520001</v>
      </c>
      <c r="S174" s="20">
        <v>-697.16065122930002</v>
      </c>
      <c r="T174" s="20">
        <f>(S174-Q174)/2*27.211324570273</f>
        <v>-17.007348051267439</v>
      </c>
      <c r="U174" s="20">
        <f>(R174-Q174)*27.211324570273</f>
        <v>-1.9766917034858758</v>
      </c>
      <c r="V174" s="20">
        <f>(F174-I174-D174+G174)/2*27.211324570273</f>
        <v>0.33771146611474506</v>
      </c>
      <c r="W174" s="20">
        <f>(E174-H174-D174+G174)*27.211324570273</f>
        <v>-5.9631176938006653E-2</v>
      </c>
      <c r="X174" s="20">
        <f>(P174-O174-K174+J174)/2*27.211324570273</f>
        <v>-1.4515716464011787E-2</v>
      </c>
      <c r="Y174" s="20">
        <f>(N174-M174-L174+J174)*27.211324570273</f>
        <v>-1.8087574438402516</v>
      </c>
      <c r="Z174" s="21">
        <f>(F174+P174-O174-D174-K174+J174-2*C174)*27.211324570273</f>
        <v>-10.521910340917279</v>
      </c>
      <c r="AA174" s="21">
        <f>(S174+F174-I174+P174-O174-Q174-D174+G174-K174+J174-2*C174)*27.211324570273</f>
        <v>-10.473704603227223</v>
      </c>
      <c r="AB174" s="21">
        <f>(E174+N174-M174-D174-L174+J174)*27.211324570273</f>
        <v>-3.8838930555674698</v>
      </c>
      <c r="AC174" s="21">
        <f>(R174+E174-H174+N174-M174-Q174-D174+G174-L174+J174)*27.211324570273</f>
        <v>-3.8450803242672276</v>
      </c>
      <c r="AD174" s="20">
        <v>4.84</v>
      </c>
      <c r="AE174" s="20">
        <v>4.4400000000000004</v>
      </c>
      <c r="AF174" s="21">
        <f>-Z174/2-AE174</f>
        <v>0.82095517045863886</v>
      </c>
      <c r="AG174" s="21">
        <f>-AA174/2-AE174</f>
        <v>0.79685230161361087</v>
      </c>
      <c r="AH174" s="21">
        <f>-AB174-AD174</f>
        <v>-0.95610694443253008</v>
      </c>
      <c r="AI174" s="21">
        <f>-AC174-AD174</f>
        <v>-0.99491967573277229</v>
      </c>
      <c r="AJ174" s="22">
        <v>0.57999999999999996</v>
      </c>
      <c r="AK174" s="21">
        <v>-0.92149999999999999</v>
      </c>
      <c r="AL174" s="27">
        <f>AF174+(0.69-AF$3)</f>
        <v>0.66167332949586433</v>
      </c>
      <c r="AM174" s="27">
        <f>AG174+(0.69-AG$3)</f>
        <v>0.64817211515400119</v>
      </c>
      <c r="AN174" s="27">
        <f>AH174+(-0.8815-AH$3)</f>
        <v>-1.0277017012619987</v>
      </c>
      <c r="AO174" s="27">
        <f>AI174+(-0.8815-AI$3)</f>
        <v>-1.0326142188255183</v>
      </c>
      <c r="AP174" s="20">
        <f t="shared" si="11"/>
        <v>8.1673329495864366E-2</v>
      </c>
      <c r="AQ174" s="20">
        <f t="shared" si="12"/>
        <v>6.8172115154001234E-2</v>
      </c>
      <c r="AR174" s="20">
        <f t="shared" si="13"/>
        <v>0.10620170126199868</v>
      </c>
      <c r="AS174" s="20">
        <f t="shared" si="14"/>
        <v>0.11111421882551831</v>
      </c>
    </row>
    <row r="175" spans="1:45" ht="15" customHeight="1" x14ac:dyDescent="0.2">
      <c r="A175" s="26" t="s">
        <v>139</v>
      </c>
      <c r="B175" s="19" t="s">
        <v>29</v>
      </c>
      <c r="C175" s="20">
        <f t="shared" si="10"/>
        <v>-0.42068146923305594</v>
      </c>
      <c r="D175" s="20">
        <v>-695.56316000000004</v>
      </c>
      <c r="E175" s="20">
        <v>-695.63779</v>
      </c>
      <c r="F175" s="20">
        <v>-696.79625999999996</v>
      </c>
      <c r="G175" s="20">
        <v>-695.83250838460003</v>
      </c>
      <c r="H175" s="20">
        <v>-695.90494386449996</v>
      </c>
      <c r="I175" s="20">
        <v>-697.09035864760006</v>
      </c>
      <c r="J175" s="20">
        <v>-695.63554273060004</v>
      </c>
      <c r="K175" s="20">
        <v>-695.64222225339995</v>
      </c>
      <c r="L175" s="20">
        <v>-695.65259531790002</v>
      </c>
      <c r="M175" s="20">
        <v>-695.69405424909996</v>
      </c>
      <c r="N175" s="20">
        <v>-695.77771805409998</v>
      </c>
      <c r="O175" s="20">
        <v>-696.87089176649999</v>
      </c>
      <c r="P175" s="20">
        <v>-696.8786749848</v>
      </c>
      <c r="Q175" s="20">
        <v>-696.54579722339997</v>
      </c>
      <c r="R175" s="20">
        <v>-696.61556333290002</v>
      </c>
      <c r="S175" s="20">
        <v>-697.80090157569998</v>
      </c>
      <c r="T175" s="20">
        <f>(S175-Q175)/2*27.211324570273</f>
        <v>-17.076525949998906</v>
      </c>
      <c r="U175" s="20">
        <f>(R175-Q175)*27.211324570273</f>
        <v>-1.8984282496111009</v>
      </c>
      <c r="V175" s="20">
        <f>(F175-I175-D175+G175)/2*27.211324570273</f>
        <v>0.33674371984768159</v>
      </c>
      <c r="W175" s="20">
        <f>(E175-H175-D175+G175)*27.211324570273</f>
        <v>-5.9715798717999938E-2</v>
      </c>
      <c r="X175" s="20">
        <f>(P175-O175-K175+J175)/2*27.211324570273</f>
        <v>-1.5016508239874103E-2</v>
      </c>
      <c r="Y175" s="20">
        <f>(N175-M175-L175+J175)*27.211324570273</f>
        <v>-1.8125794648565932</v>
      </c>
      <c r="Z175" s="21">
        <f>(F175+P175-O175-D175-K175+J175-2*C175)*27.211324570273</f>
        <v>-10.689717344084359</v>
      </c>
      <c r="AA175" s="21">
        <f>(S175+F175-I175+P175-O175-Q175-D175+G175-K175+J175-2*C175)*27.211324570273</f>
        <v>-10.61499747677601</v>
      </c>
      <c r="AB175" s="21">
        <f>(E175+N175-M175-D175-L175+J175)*27.211324570273</f>
        <v>-3.8433606175348825</v>
      </c>
      <c r="AC175" s="21">
        <f>(R175+E175-H175+N175-M175-Q175-D175+G175-L175+J175)*27.211324570273</f>
        <v>-3.7707235131887877</v>
      </c>
      <c r="AD175" s="20">
        <v>4.84</v>
      </c>
      <c r="AE175" s="20">
        <v>4.4400000000000004</v>
      </c>
      <c r="AF175" s="21">
        <f>-Z175/2-AE175</f>
        <v>0.90485867204217918</v>
      </c>
      <c r="AG175" s="21">
        <f>-AA175/2-AE175</f>
        <v>0.8674987383880044</v>
      </c>
      <c r="AH175" s="21">
        <f>-AB175-AD175</f>
        <v>-0.99663938246511741</v>
      </c>
      <c r="AI175" s="21">
        <f>-AC175-AD175</f>
        <v>-1.0692764868112121</v>
      </c>
      <c r="AJ175" s="22">
        <v>0.57999999999999996</v>
      </c>
      <c r="AK175" s="21">
        <v>-0.92149999999999999</v>
      </c>
      <c r="AL175" s="21">
        <f>AF175+(0.69-AF$4)</f>
        <v>0.66053798051738033</v>
      </c>
      <c r="AM175" s="21">
        <f>AG175+(0.69-AG$4)</f>
        <v>0.64321249342345199</v>
      </c>
      <c r="AN175" s="21">
        <f>AH175+(-0.8815-AH$4)</f>
        <v>-1.0689633728612531</v>
      </c>
      <c r="AO175" s="21">
        <f>AI175+(-0.8815-AI$4)</f>
        <v>-1.0678639863622426</v>
      </c>
      <c r="AP175" s="20">
        <f t="shared" si="11"/>
        <v>8.053798051738037E-2</v>
      </c>
      <c r="AQ175" s="20">
        <f t="shared" si="12"/>
        <v>6.3212493423452032E-2</v>
      </c>
      <c r="AR175" s="20">
        <f t="shared" si="13"/>
        <v>0.14746337286125311</v>
      </c>
      <c r="AS175" s="20">
        <f t="shared" si="14"/>
        <v>0.14636398636224257</v>
      </c>
    </row>
    <row r="176" spans="1:45" ht="15" customHeight="1" x14ac:dyDescent="0.2">
      <c r="A176" s="26" t="s">
        <v>139</v>
      </c>
      <c r="B176" s="19" t="s">
        <v>30</v>
      </c>
      <c r="C176" s="20">
        <f t="shared" si="10"/>
        <v>-0.42068146923305594</v>
      </c>
      <c r="D176" s="20">
        <v>-695.42463999999995</v>
      </c>
      <c r="E176" s="20">
        <v>-695.49895000000004</v>
      </c>
      <c r="F176" s="20">
        <v>-696.64841999999999</v>
      </c>
      <c r="G176" s="20">
        <v>-695.69212604209997</v>
      </c>
      <c r="H176" s="20">
        <v>-695.76421014369998</v>
      </c>
      <c r="I176" s="20">
        <v>-696.94055217439995</v>
      </c>
      <c r="J176" s="20">
        <v>-695.6357835302</v>
      </c>
      <c r="K176" s="20">
        <v>-695.64247733579998</v>
      </c>
      <c r="L176" s="20">
        <v>-695.65281499269997</v>
      </c>
      <c r="M176" s="20">
        <v>-695.69433297750004</v>
      </c>
      <c r="N176" s="20">
        <v>-695.77794412089997</v>
      </c>
      <c r="O176" s="20">
        <v>-696.87118598289999</v>
      </c>
      <c r="P176" s="20">
        <v>-696.87890601499998</v>
      </c>
      <c r="Q176" s="20">
        <v>-696.42708678370002</v>
      </c>
      <c r="R176" s="20">
        <v>-696.49630302870003</v>
      </c>
      <c r="S176" s="20">
        <v>-697.67221027020003</v>
      </c>
      <c r="T176" s="20">
        <f>(S176-Q176)/2*27.211324570273</f>
        <v>-16.940729660610799</v>
      </c>
      <c r="U176" s="20">
        <f>(R176-Q176)*27.211324570273</f>
        <v>-1.8834657082307233</v>
      </c>
      <c r="V176" s="20">
        <f>(F176-I176-D176+G176)/2*27.211324570273</f>
        <v>0.33532695270790586</v>
      </c>
      <c r="W176" s="20">
        <f>(E176-H176-D176+G176)*27.211324570273</f>
        <v>-6.0569643824757144E-2</v>
      </c>
      <c r="X176" s="20">
        <f>(P176-O176-K176+J176)/2*27.211324570273</f>
        <v>-1.3962491187282012E-2</v>
      </c>
      <c r="Y176" s="20">
        <f>(N176-M176-L176+J176)*27.211324570273</f>
        <v>-1.8117213067540998</v>
      </c>
      <c r="Z176" s="21">
        <f>(F176+P176-O176-D176-K176+J176-2*C176)*27.211324570273</f>
        <v>-10.433999764984165</v>
      </c>
      <c r="AA176" s="21">
        <f>(S176+F176-I176+P176-O176-Q176-D176+G176-K176+J176-2*C176)*27.211324570273</f>
        <v>-10.344130398183442</v>
      </c>
      <c r="AB176" s="21">
        <f>(E176+N176-M176-D176-L176+J176)*27.211324570273</f>
        <v>-3.833794835576418</v>
      </c>
      <c r="AC176" s="21">
        <f>(R176+E176-H176+N176-M176-Q176-D176+G176-L176+J176)*27.211324570273</f>
        <v>-3.7557566588095801</v>
      </c>
      <c r="AD176" s="20">
        <v>4.84</v>
      </c>
      <c r="AE176" s="20">
        <v>4.4400000000000004</v>
      </c>
      <c r="AF176" s="21">
        <f>-Z176/2-AE176</f>
        <v>0.77699988249208207</v>
      </c>
      <c r="AG176" s="21">
        <f>-AA176/2-AE176</f>
        <v>0.73206519909172041</v>
      </c>
      <c r="AH176" s="21">
        <f>-AB176-AD176</f>
        <v>-1.0062051644235819</v>
      </c>
      <c r="AI176" s="21">
        <f>-AC176-AD176</f>
        <v>-1.0842433411904198</v>
      </c>
      <c r="AJ176" s="22">
        <v>0.57999999999999996</v>
      </c>
      <c r="AK176" s="21">
        <v>-0.92149999999999999</v>
      </c>
      <c r="AL176" s="21">
        <f>AF176+(0.69-AF$5)</f>
        <v>0.66119441154286873</v>
      </c>
      <c r="AM176" s="21">
        <f>AG176+(0.69-AG$5)</f>
        <v>0.64340878503862564</v>
      </c>
      <c r="AN176" s="21">
        <f>AH176+(-0.8815-AH$5)</f>
        <v>-1.0596555678564155</v>
      </c>
      <c r="AO176" s="21">
        <f>AI176+(-0.8815-AI$5)</f>
        <v>-1.0522937127084147</v>
      </c>
      <c r="AP176" s="20">
        <f t="shared" si="11"/>
        <v>8.1194411542868772E-2</v>
      </c>
      <c r="AQ176" s="20">
        <f t="shared" si="12"/>
        <v>6.3408785038625681E-2</v>
      </c>
      <c r="AR176" s="20">
        <f t="shared" si="13"/>
        <v>0.13815556785641547</v>
      </c>
      <c r="AS176" s="20">
        <f t="shared" si="14"/>
        <v>0.13079371270841467</v>
      </c>
    </row>
    <row r="177" spans="1:45" ht="15" customHeight="1" x14ac:dyDescent="0.2">
      <c r="A177" s="26" t="s">
        <v>139</v>
      </c>
      <c r="B177" s="19" t="s">
        <v>31</v>
      </c>
      <c r="C177" s="20">
        <f t="shared" si="10"/>
        <v>-0.42068146923305594</v>
      </c>
      <c r="D177" s="20">
        <v>-695.56316000000004</v>
      </c>
      <c r="E177" s="20">
        <v>-695.63779</v>
      </c>
      <c r="F177" s="20">
        <v>-696.79625999999996</v>
      </c>
      <c r="G177" s="20">
        <v>-695.83250838460003</v>
      </c>
      <c r="H177" s="20">
        <v>-695.90494386449996</v>
      </c>
      <c r="I177" s="20">
        <v>-697.09035864760006</v>
      </c>
      <c r="J177" s="20">
        <v>-695.63554273060004</v>
      </c>
      <c r="K177" s="20">
        <v>-695.64222225339995</v>
      </c>
      <c r="L177" s="20">
        <v>-695.65259531790002</v>
      </c>
      <c r="M177" s="20">
        <v>-695.69405424909996</v>
      </c>
      <c r="N177" s="20">
        <v>-695.77771805409998</v>
      </c>
      <c r="O177" s="20">
        <v>-696.87089176649999</v>
      </c>
      <c r="P177" s="20">
        <v>-696.8786749848</v>
      </c>
      <c r="Q177" s="20">
        <v>-696.02613053389996</v>
      </c>
      <c r="R177" s="20">
        <v>-696.09495206070005</v>
      </c>
      <c r="S177" s="20">
        <v>-697.27382433089997</v>
      </c>
      <c r="T177" s="20">
        <f>(S177-Q177)/2*27.211324570273</f>
        <v>-16.975700437241802</v>
      </c>
      <c r="U177" s="20">
        <f>(R177-Q177)*27.211324570273</f>
        <v>-1.8727249031790758</v>
      </c>
      <c r="V177" s="20">
        <f>(F177-I177-D177+G177)/2*27.211324570273</f>
        <v>0.33674371984768159</v>
      </c>
      <c r="W177" s="20">
        <f>(E177-H177-D177+G177)*27.211324570273</f>
        <v>-5.9715798717999938E-2</v>
      </c>
      <c r="X177" s="20">
        <f>(P177-O177-K177+J177)/2*27.211324570273</f>
        <v>-1.5016508239874103E-2</v>
      </c>
      <c r="Y177" s="20">
        <f>(N177-M177-L177+J177)*27.211324570273</f>
        <v>-1.8125794648565932</v>
      </c>
      <c r="Z177" s="21">
        <f>(F177+P177-O177-D177-K177+J177-2*C177)*27.211324570273</f>
        <v>-10.689717344084359</v>
      </c>
      <c r="AA177" s="21">
        <f>(S177+F177-I177+P177-O177-Q177-D177+G177-K177+J177-2*C177)*27.211324570273</f>
        <v>-10.413346451267993</v>
      </c>
      <c r="AB177" s="21">
        <f>(E177+N177-M177-D177-L177+J177)*27.211324570273</f>
        <v>-3.8433606175348825</v>
      </c>
      <c r="AC177" s="21">
        <f>(R177+E177-H177+N177-M177-Q177-D177+G177-L177+J177)*27.211324570273</f>
        <v>-3.7450201667536689</v>
      </c>
      <c r="AD177" s="20">
        <v>4.84</v>
      </c>
      <c r="AE177" s="20">
        <v>4.4400000000000004</v>
      </c>
      <c r="AF177" s="21">
        <f>-Z177/2-AE177</f>
        <v>0.90485867204217918</v>
      </c>
      <c r="AG177" s="21">
        <f>-AA177/2-AE177</f>
        <v>0.76667322563399587</v>
      </c>
      <c r="AH177" s="21">
        <f>-AB177-AD177</f>
        <v>-0.99663938246511741</v>
      </c>
      <c r="AI177" s="21">
        <f>-AC177-AD177</f>
        <v>-1.094979833246331</v>
      </c>
      <c r="AJ177" s="22">
        <v>0.57999999999999996</v>
      </c>
      <c r="AK177" s="21">
        <v>-0.92149999999999999</v>
      </c>
      <c r="AL177" s="21">
        <f>AF177+(0.69-AF$6)</f>
        <v>0.66053798051738033</v>
      </c>
      <c r="AM177" s="21">
        <f>AG177+(0.69-AG$6)</f>
        <v>0.6502861643236808</v>
      </c>
      <c r="AN177" s="21">
        <f>AH177+(-0.8815-AH$6)</f>
        <v>-1.0689633728612531</v>
      </c>
      <c r="AO177" s="21">
        <f>AI177+(-0.8815-AI$6)</f>
        <v>-1.0433573205137296</v>
      </c>
      <c r="AP177" s="20">
        <f t="shared" si="11"/>
        <v>8.053798051738037E-2</v>
      </c>
      <c r="AQ177" s="20">
        <f t="shared" si="12"/>
        <v>7.0286164323680844E-2</v>
      </c>
      <c r="AR177" s="20">
        <f t="shared" si="13"/>
        <v>0.14746337286125311</v>
      </c>
      <c r="AS177" s="20">
        <f t="shared" si="14"/>
        <v>0.12185732051372966</v>
      </c>
    </row>
    <row r="178" spans="1:45" ht="15" customHeight="1" x14ac:dyDescent="0.2">
      <c r="A178" s="26" t="s">
        <v>139</v>
      </c>
      <c r="B178" s="19" t="s">
        <v>32</v>
      </c>
      <c r="C178" s="20">
        <f t="shared" si="10"/>
        <v>-0.42068146923305594</v>
      </c>
      <c r="D178" s="20">
        <v>-695.42463999999995</v>
      </c>
      <c r="E178" s="20">
        <v>-695.49895000000004</v>
      </c>
      <c r="F178" s="20">
        <v>-696.64841999999999</v>
      </c>
      <c r="G178" s="20">
        <v>-695.69212604209997</v>
      </c>
      <c r="H178" s="20">
        <v>-695.76421014369998</v>
      </c>
      <c r="I178" s="20">
        <v>-696.94055217439995</v>
      </c>
      <c r="J178" s="20">
        <v>-695.6357835302</v>
      </c>
      <c r="K178" s="20">
        <v>-695.64247733579998</v>
      </c>
      <c r="L178" s="20">
        <v>-695.65281499269997</v>
      </c>
      <c r="M178" s="20">
        <v>-695.69433297750004</v>
      </c>
      <c r="N178" s="20">
        <v>-695.77794412089997</v>
      </c>
      <c r="O178" s="20">
        <v>-696.87118598289999</v>
      </c>
      <c r="P178" s="20">
        <v>-696.87890601499998</v>
      </c>
      <c r="Q178" s="20">
        <v>-695.92062620429999</v>
      </c>
      <c r="R178" s="20">
        <v>-695.98902007180004</v>
      </c>
      <c r="S178" s="20">
        <v>-697.15822505760002</v>
      </c>
      <c r="T178" s="20">
        <f>(S178-Q178)/2*27.211324570273</f>
        <v>-16.838352042472373</v>
      </c>
      <c r="U178" s="20">
        <f>(R178-Q178)*27.211324570273</f>
        <v>-1.8610877271600808</v>
      </c>
      <c r="V178" s="20">
        <f>(F178-I178-D178+G178)/2*27.211324570273</f>
        <v>0.33532695270790586</v>
      </c>
      <c r="W178" s="20">
        <f>(E178-H178-D178+G178)*27.211324570273</f>
        <v>-6.0569643824757144E-2</v>
      </c>
      <c r="X178" s="20">
        <f>(P178-O178-K178+J178)/2*27.211324570273</f>
        <v>-1.3962491187282012E-2</v>
      </c>
      <c r="Y178" s="20">
        <f>(N178-M178-L178+J178)*27.211324570273</f>
        <v>-1.8117213067540998</v>
      </c>
      <c r="Z178" s="21">
        <f>(F178+P178-O178-D178-K178+J178-2*C178)*27.211324570273</f>
        <v>-10.433999764984165</v>
      </c>
      <c r="AA178" s="21">
        <f>(S178+F178-I178+P178-O178-Q178-D178+G178-K178+J178-2*C178)*27.211324570273</f>
        <v>-10.139375161903498</v>
      </c>
      <c r="AB178" s="21">
        <f>(E178+N178-M178-D178-L178+J178)*27.211324570273</f>
        <v>-3.833794835576418</v>
      </c>
      <c r="AC178" s="21">
        <f>(R178+E178-H178+N178-M178-Q178-D178+G178-L178+J178)*27.211324570273</f>
        <v>-3.7333786777420315</v>
      </c>
      <c r="AD178" s="20">
        <v>4.84</v>
      </c>
      <c r="AE178" s="20">
        <v>4.4400000000000004</v>
      </c>
      <c r="AF178" s="21">
        <f>-Z178/2-AE178</f>
        <v>0.77699988249208207</v>
      </c>
      <c r="AG178" s="21">
        <f>-AA178/2-AE178</f>
        <v>0.62968758095174859</v>
      </c>
      <c r="AH178" s="21">
        <f>-AB178-AD178</f>
        <v>-1.0062051644235819</v>
      </c>
      <c r="AI178" s="21">
        <f>-AC178-AD178</f>
        <v>-1.1066213222579684</v>
      </c>
      <c r="AJ178" s="22">
        <v>0.57999999999999996</v>
      </c>
      <c r="AK178" s="21">
        <v>-0.92149999999999999</v>
      </c>
      <c r="AL178" s="21">
        <f>AF178+(0.69-AF$7)</f>
        <v>0.66119441154286873</v>
      </c>
      <c r="AM178" s="21">
        <f>AG178+(0.69-AG$7)</f>
        <v>0.65026624019279167</v>
      </c>
      <c r="AN178" s="21">
        <f>AH178+(-0.8815-AH$7)</f>
        <v>-1.0596555678564155</v>
      </c>
      <c r="AO178" s="21">
        <f>AI178+(-0.8815-AI$7)</f>
        <v>-1.0271178795672631</v>
      </c>
      <c r="AP178" s="20">
        <f t="shared" si="11"/>
        <v>8.1194411542868772E-2</v>
      </c>
      <c r="AQ178" s="20">
        <f t="shared" si="12"/>
        <v>7.0266240192791707E-2</v>
      </c>
      <c r="AR178" s="20">
        <f t="shared" si="13"/>
        <v>0.13815556785641547</v>
      </c>
      <c r="AS178" s="20">
        <f t="shared" si="14"/>
        <v>0.1056178795672631</v>
      </c>
    </row>
    <row r="179" spans="1:45" ht="15" customHeight="1" x14ac:dyDescent="0.2">
      <c r="A179" s="26" t="s">
        <v>139</v>
      </c>
      <c r="B179" s="19" t="s">
        <v>33</v>
      </c>
      <c r="C179" s="20">
        <f t="shared" si="10"/>
        <v>-0.42068146923305594</v>
      </c>
      <c r="D179" s="20">
        <v>-695.65468999999996</v>
      </c>
      <c r="E179" s="20">
        <v>-695.72289999999998</v>
      </c>
      <c r="F179" s="20">
        <v>-696.86803999999995</v>
      </c>
      <c r="G179" s="20">
        <v>-695.92110046209996</v>
      </c>
      <c r="H179" s="20">
        <v>-695.98680423689996</v>
      </c>
      <c r="I179" s="20">
        <v>-697.15871238069997</v>
      </c>
      <c r="J179" s="20">
        <v>-695.6354516184</v>
      </c>
      <c r="K179" s="20">
        <v>-695.64209572540005</v>
      </c>
      <c r="L179" s="20">
        <v>-695.65239789240002</v>
      </c>
      <c r="M179" s="20">
        <v>-695.69396617819996</v>
      </c>
      <c r="N179" s="20">
        <v>-695.77745779830002</v>
      </c>
      <c r="O179" s="20">
        <v>-696.87091852269998</v>
      </c>
      <c r="P179" s="20">
        <v>-696.87857287290001</v>
      </c>
      <c r="Q179" s="20">
        <v>-695.92117942970003</v>
      </c>
      <c r="R179" s="20">
        <v>-695.98950827509998</v>
      </c>
      <c r="S179" s="20">
        <v>-697.15883741590005</v>
      </c>
      <c r="T179" s="20">
        <f>(S179-Q179)/2*27.211324570273</f>
        <v>-16.839156584739602</v>
      </c>
      <c r="U179" s="20">
        <f>(R179-Q179)*27.211324570273</f>
        <v>-1.8593183896899537</v>
      </c>
      <c r="V179" s="20">
        <f>(F179-I179-D179+G179)/2*27.211324570273</f>
        <v>0.33009947086132158</v>
      </c>
      <c r="W179" s="20">
        <f>(E179-H179-D179+G179)*27.211324570273</f>
        <v>-6.819770736401036E-2</v>
      </c>
      <c r="X179" s="20">
        <f>(P179-O179-K179+J179)/2*27.211324570273</f>
        <v>-1.3745027804664148E-2</v>
      </c>
      <c r="Y179" s="20">
        <f>(N179-M179-L179+J179)*27.211324570273</f>
        <v>-1.8107870113694065</v>
      </c>
      <c r="Z179" s="21">
        <f>(F179+P179-O179-D179-K179+J179-2*C179)*27.211324570273</f>
        <v>-10.149750722949834</v>
      </c>
      <c r="AA179" s="21">
        <f>(S179+F179-I179+P179-O179-Q179-D179+G179-K179+J179-2*C179)*27.211324570273</f>
        <v>-10.151004283362793</v>
      </c>
      <c r="AB179" s="21">
        <f>(E179+N179-M179-D179-L179+J179)*27.211324570273</f>
        <v>-3.6668714603083226</v>
      </c>
      <c r="AC179" s="21">
        <f>(R179+E179-H179+N179-M179-Q179-D179+G179-L179+J179)*27.211324570273</f>
        <v>-3.7383031084202769</v>
      </c>
      <c r="AD179" s="20">
        <v>4.84</v>
      </c>
      <c r="AE179" s="20">
        <v>4.4400000000000004</v>
      </c>
      <c r="AF179" s="21">
        <f>-Z179/2-AE179</f>
        <v>0.63487536147491674</v>
      </c>
      <c r="AG179" s="21">
        <f>-AA179/2-AE179</f>
        <v>0.63550214168139618</v>
      </c>
      <c r="AH179" s="21">
        <f>-AB179-AD179</f>
        <v>-1.1731285396916773</v>
      </c>
      <c r="AI179" s="21">
        <f>-AC179-AD179</f>
        <v>-1.1016968915797229</v>
      </c>
      <c r="AJ179" s="22">
        <v>0.57999999999999996</v>
      </c>
      <c r="AK179" s="21">
        <v>-0.92149999999999999</v>
      </c>
      <c r="AL179" s="21">
        <f>AF179+(0.69-AF$8)</f>
        <v>0.65543733881444455</v>
      </c>
      <c r="AM179" s="21">
        <f>AG179+(0.69-AG$8)</f>
        <v>0.65387172437067109</v>
      </c>
      <c r="AN179" s="21">
        <f>AH179+(-0.8815-AH$8)</f>
        <v>-0.66745467056963559</v>
      </c>
      <c r="AO179" s="21">
        <f>AI179+(-0.8815-AI$8)</f>
        <v>-1.0642801596886131</v>
      </c>
      <c r="AP179" s="20">
        <f t="shared" si="11"/>
        <v>7.5437338814444588E-2</v>
      </c>
      <c r="AQ179" s="20">
        <f t="shared" si="12"/>
        <v>7.3871724370671132E-2</v>
      </c>
      <c r="AR179" s="20">
        <f t="shared" si="13"/>
        <v>0.2540453294303644</v>
      </c>
      <c r="AS179" s="20">
        <f t="shared" si="14"/>
        <v>0.14278015968861313</v>
      </c>
    </row>
    <row r="180" spans="1:45" ht="15" customHeight="1" x14ac:dyDescent="0.2">
      <c r="A180" s="26" t="s">
        <v>139</v>
      </c>
      <c r="B180" s="19" t="s">
        <v>174</v>
      </c>
      <c r="C180" s="20">
        <f t="shared" si="10"/>
        <v>-0.42068146923305594</v>
      </c>
      <c r="D180" s="20">
        <v>-695.65480000000002</v>
      </c>
      <c r="E180" s="20">
        <v>-695.72384999999997</v>
      </c>
      <c r="F180" s="20">
        <v>-696.86814000000004</v>
      </c>
      <c r="G180" s="20">
        <v>-695.92152021490006</v>
      </c>
      <c r="H180" s="20">
        <v>-695.98817472890005</v>
      </c>
      <c r="I180" s="20">
        <v>-697.15914140699999</v>
      </c>
      <c r="J180" s="20">
        <v>-695.63542628760001</v>
      </c>
      <c r="K180" s="20">
        <v>-695.6420907877</v>
      </c>
      <c r="L180" s="20">
        <v>-695.65238099680005</v>
      </c>
      <c r="M180" s="20">
        <v>-695.69407238350004</v>
      </c>
      <c r="N180" s="20">
        <v>-695.77764690209995</v>
      </c>
      <c r="O180" s="20">
        <v>-696.87091692690001</v>
      </c>
      <c r="P180" s="20">
        <v>-696.87857359179998</v>
      </c>
      <c r="Q180" s="20">
        <v>-695.92117845919995</v>
      </c>
      <c r="R180" s="20">
        <v>-695.98952792980003</v>
      </c>
      <c r="S180" s="20">
        <v>-697.15883617500003</v>
      </c>
      <c r="T180" s="20">
        <f>(S180-Q180)/2*27.211324570273</f>
        <v>-16.839152905769375</v>
      </c>
      <c r="U180" s="20">
        <f>(R180-Q180)*27.211324570273</f>
        <v>-1.8598796287051877</v>
      </c>
      <c r="V180" s="20">
        <f>(F180-I180-D180+G180)/2*27.211324570273</f>
        <v>0.33036169959203848</v>
      </c>
      <c r="W180" s="20">
        <f>(E180-H180-D180+G180)*27.211324570273</f>
        <v>-6.5184347048316979E-2</v>
      </c>
      <c r="X180" s="20">
        <f>(P180-O180-K180+J180)/2*27.211324570273</f>
        <v>-1.34990591997519E-2</v>
      </c>
      <c r="Y180" s="20">
        <f>(N180-M180-L180+J180)*27.211324570273</f>
        <v>-1.8128132563895141</v>
      </c>
      <c r="Z180" s="21">
        <f>(F180+P180-O180-D180-K180+J180-2*C180)*27.211324570273</f>
        <v>-10.148986672494996</v>
      </c>
      <c r="AA180" s="21">
        <f>(S180+F180-I180+P180-O180-Q180-D180+G180-K180+J180-2*C180)*27.211324570273</f>
        <v>-10.14998053075727</v>
      </c>
      <c r="AB180" s="21">
        <f>(E180+N180-M180-D180-L180+J180)*27.211324570273</f>
        <v>-3.6917552179654343</v>
      </c>
      <c r="AC180" s="21">
        <f>(R180+E180-H180+N180-M180-Q180-D180+G180-L180+J180)*27.211324570273</f>
        <v>-3.7378772321492062</v>
      </c>
      <c r="AD180" s="20">
        <v>4.84</v>
      </c>
      <c r="AE180" s="20">
        <v>4.4400000000000004</v>
      </c>
      <c r="AF180" s="21">
        <f>-Z180/2-AE180</f>
        <v>0.63449333624749737</v>
      </c>
      <c r="AG180" s="21">
        <f>-AA180/2-AE180</f>
        <v>0.63499026537863479</v>
      </c>
      <c r="AH180" s="21">
        <f>-AB180-AD180</f>
        <v>-1.1482447820345656</v>
      </c>
      <c r="AI180" s="21">
        <f>-AC180-AD180</f>
        <v>-1.1021227678507937</v>
      </c>
      <c r="AJ180" s="22">
        <v>0.57999999999999996</v>
      </c>
      <c r="AK180" s="21">
        <v>-0.92149999999999999</v>
      </c>
      <c r="AL180" s="21">
        <f>AF180+(0.69-AF$9)</f>
        <v>0.65006604103746701</v>
      </c>
      <c r="AM180" s="21">
        <f>AG180+(0.69-AG$9)</f>
        <v>0.65261740612600638</v>
      </c>
      <c r="AN180" s="21">
        <f>AH180+(-0.8815-AH$9)</f>
        <v>-1.0221416684592204</v>
      </c>
      <c r="AO180" s="21">
        <f>AI180+(-0.8815-AI$9)</f>
        <v>-1.0242069236312723</v>
      </c>
      <c r="AP180" s="20">
        <f t="shared" si="11"/>
        <v>7.0066041037467053E-2</v>
      </c>
      <c r="AQ180" s="20">
        <f t="shared" si="12"/>
        <v>7.2617406126006423E-2</v>
      </c>
      <c r="AR180" s="20">
        <f t="shared" si="13"/>
        <v>0.1006416684592204</v>
      </c>
      <c r="AS180" s="20">
        <f t="shared" si="14"/>
        <v>0.10270692363127232</v>
      </c>
    </row>
    <row r="181" spans="1:45" ht="15" customHeight="1" x14ac:dyDescent="0.2">
      <c r="A181" s="26" t="s">
        <v>139</v>
      </c>
      <c r="B181" s="19" t="s">
        <v>43</v>
      </c>
      <c r="C181" s="20">
        <f t="shared" si="10"/>
        <v>-0.42068146923305594</v>
      </c>
      <c r="D181" s="20">
        <v>-695.42463999999995</v>
      </c>
      <c r="E181" s="20">
        <v>-695.49895000000004</v>
      </c>
      <c r="F181" s="20">
        <v>-696.64841999999999</v>
      </c>
      <c r="G181" s="20">
        <v>-695.69212604209997</v>
      </c>
      <c r="H181" s="20">
        <v>-695.76421014369998</v>
      </c>
      <c r="I181" s="20">
        <v>-696.94055217439995</v>
      </c>
      <c r="J181" s="20">
        <v>-695.6357835302</v>
      </c>
      <c r="K181" s="20">
        <v>-695.64247733579998</v>
      </c>
      <c r="L181" s="20">
        <v>-695.65281499269997</v>
      </c>
      <c r="M181" s="20">
        <v>-695.69433297750004</v>
      </c>
      <c r="N181" s="20">
        <v>-695.77794412089997</v>
      </c>
      <c r="O181" s="20">
        <v>-696.87118598289999</v>
      </c>
      <c r="P181" s="20">
        <v>-696.87890601499998</v>
      </c>
      <c r="Q181" s="20">
        <v>-695.00422538665305</v>
      </c>
      <c r="R181" s="20">
        <v>-695.069728152538</v>
      </c>
      <c r="S181" s="20">
        <v>-696.25260174838502</v>
      </c>
      <c r="T181" s="20">
        <f>(S181-Q181)/2*27.211324570273</f>
        <v>-16.984987182472597</v>
      </c>
      <c r="U181" s="20">
        <f>(R181-Q181)*27.211324570273</f>
        <v>-1.7824170227461875</v>
      </c>
      <c r="V181" s="20">
        <f>(F181-I181-D181+G181)/2*27.211324570273</f>
        <v>0.33532695270790586</v>
      </c>
      <c r="W181" s="20">
        <f>(E181-H181-D181+G181)*27.211324570273</f>
        <v>-6.0569643824757144E-2</v>
      </c>
      <c r="X181" s="20">
        <f>(P181-O181-K181+J181)/2*27.211324570273</f>
        <v>-1.3962491187282012E-2</v>
      </c>
      <c r="Y181" s="20">
        <f>(N181-M181-L181+J181)*27.211324570273</f>
        <v>-1.8117213067540998</v>
      </c>
      <c r="Z181" s="21">
        <f>(F181+P181-O181-D181-K181+J181-2*C181)*27.211324570273</f>
        <v>-10.433999764984165</v>
      </c>
      <c r="AA181" s="21">
        <f>(S181+F181-I181+P181-O181-Q181-D181+G181-K181+J181-2*C181)*27.211324570273</f>
        <v>-10.432645441907042</v>
      </c>
      <c r="AB181" s="21">
        <f>(E181+N181-M181-D181-L181+J181)*27.211324570273</f>
        <v>-3.833794835576418</v>
      </c>
      <c r="AC181" s="21">
        <f>(R181+E181-H181+N181-M181-Q181-D181+G181-L181+J181)*27.211324570273</f>
        <v>-3.6547079733250443</v>
      </c>
      <c r="AD181" s="20">
        <v>4.84</v>
      </c>
      <c r="AE181" s="20">
        <v>4.4400000000000004</v>
      </c>
      <c r="AF181" s="21">
        <f>-Z181/2-AE181</f>
        <v>0.77699988249208207</v>
      </c>
      <c r="AG181" s="21">
        <f>-AA181/2-AE181</f>
        <v>0.7763227209535204</v>
      </c>
      <c r="AH181" s="21">
        <f>-AB181-AD181</f>
        <v>-1.0062051644235819</v>
      </c>
      <c r="AI181" s="21">
        <f>-AC181-AD181</f>
        <v>-1.1852920266749556</v>
      </c>
      <c r="AJ181" s="22">
        <v>0.57999999999999996</v>
      </c>
      <c r="AK181" s="21">
        <v>-0.92149999999999999</v>
      </c>
      <c r="AL181" s="21">
        <f>AF181+(0.69-AF$10)</f>
        <v>0.66119441154286873</v>
      </c>
      <c r="AM181" s="21">
        <f>AG181+(0.69-AG$10)</f>
        <v>0.66966035396145207</v>
      </c>
      <c r="AN181" s="21">
        <f>AH181+(-0.8815-AH$10)</f>
        <v>-1.0596555678564155</v>
      </c>
      <c r="AO181" s="21">
        <f>AI181+(-0.8815-AI$10)</f>
        <v>-1.0027739150475812</v>
      </c>
      <c r="AP181" s="20">
        <f t="shared" si="11"/>
        <v>8.1194411542868772E-2</v>
      </c>
      <c r="AQ181" s="20">
        <f t="shared" si="12"/>
        <v>8.9660353961452111E-2</v>
      </c>
      <c r="AR181" s="20">
        <f t="shared" si="13"/>
        <v>0.13815556785641547</v>
      </c>
      <c r="AS181" s="20">
        <f t="shared" si="14"/>
        <v>8.1273915047581191E-2</v>
      </c>
    </row>
    <row r="182" spans="1:45" x14ac:dyDescent="0.2">
      <c r="A182" s="26" t="s">
        <v>140</v>
      </c>
      <c r="B182" s="19" t="s">
        <v>27</v>
      </c>
      <c r="C182" s="20">
        <f t="shared" si="10"/>
        <v>-0.42068146923305594</v>
      </c>
      <c r="D182" s="20">
        <v>-538.22841000000005</v>
      </c>
      <c r="E182" s="20">
        <v>-538.30867999999998</v>
      </c>
      <c r="F182" s="20">
        <v>-539.46141</v>
      </c>
      <c r="G182" s="20">
        <v>-538.38808561940004</v>
      </c>
      <c r="H182" s="20">
        <v>-538.46587865419997</v>
      </c>
      <c r="I182" s="20">
        <v>-539.64535200559999</v>
      </c>
      <c r="J182" s="20">
        <v>-538.45553448090004</v>
      </c>
      <c r="K182" s="20">
        <v>-538.46596868309996</v>
      </c>
      <c r="L182" s="20">
        <v>-538.47323693550004</v>
      </c>
      <c r="M182" s="20">
        <v>-538.5130071584</v>
      </c>
      <c r="N182" s="20">
        <v>-538.60113299720001</v>
      </c>
      <c r="O182" s="20">
        <v>-539.6952764271</v>
      </c>
      <c r="P182" s="20">
        <v>-539.70710714100005</v>
      </c>
      <c r="Q182" s="20">
        <v>-538.95566990730003</v>
      </c>
      <c r="R182" s="20">
        <v>-539.03100571230004</v>
      </c>
      <c r="S182" s="20">
        <v>-540.21064942550004</v>
      </c>
      <c r="T182" s="20">
        <f>(S182-Q182)/2*27.211324570273</f>
        <v>-17.074827499392551</v>
      </c>
      <c r="U182" s="20">
        <f>(R182-Q182)*27.211324570273</f>
        <v>-2.049987041618035</v>
      </c>
      <c r="V182" s="20">
        <f>(F182-I182-D182+G182)/2*27.211324570273</f>
        <v>0.33016025551785894</v>
      </c>
      <c r="W182" s="20">
        <f>(E182-H182-D182+G182)*27.211324570273</f>
        <v>-6.7401504006557658E-2</v>
      </c>
      <c r="X182" s="20">
        <f>(P182-O182-K182+J182)/2*27.211324570273</f>
        <v>-1.9000466569295167E-2</v>
      </c>
      <c r="Y182" s="20">
        <f>(N182-M182-L182+J182)*27.211324570273</f>
        <v>-1.9163135648035661</v>
      </c>
      <c r="Z182" s="21">
        <f>(F182+P182-O182-D182-K182+J182-2*C182)*27.211324570273</f>
        <v>-10.69496412828067</v>
      </c>
      <c r="AA182" s="21">
        <f>(S182+F182-I182+P182-O182-Q182-D182+G182-K182+J182-2*C182)*27.211324570273</f>
        <v>-10.632735420887972</v>
      </c>
      <c r="AB182" s="21">
        <f>(E182+N182-M182-D182-L182+J182)*27.211324570273</f>
        <v>-4.1005665880543178</v>
      </c>
      <c r="AC182" s="21">
        <f>(R182+E182-H182+N182-M182-Q182-D182+G182-L182+J182)*27.211324570273</f>
        <v>-4.033702110428159</v>
      </c>
      <c r="AD182" s="20">
        <v>4.84</v>
      </c>
      <c r="AE182" s="20">
        <v>4.4400000000000004</v>
      </c>
      <c r="AF182" s="21">
        <f>-Z182/2-AE182</f>
        <v>0.90748206414033472</v>
      </c>
      <c r="AG182" s="21">
        <f>-AA182/2-AE182</f>
        <v>0.87636771044398554</v>
      </c>
      <c r="AH182" s="21">
        <f>-AB182-AD182</f>
        <v>-0.73943341194568202</v>
      </c>
      <c r="AI182" s="21">
        <f>-AC182-AD182</f>
        <v>-0.8062978895718409</v>
      </c>
      <c r="AJ182" s="22">
        <v>0.69399999999999995</v>
      </c>
      <c r="AK182" s="21">
        <v>-0.82899999999999996</v>
      </c>
      <c r="AL182" s="27">
        <f>AF182+(0.69-AF$2)</f>
        <v>0.72467555416627549</v>
      </c>
      <c r="AM182" s="27">
        <f>AG182+(0.69-AG$2)</f>
        <v>0.71909773468104943</v>
      </c>
      <c r="AN182" s="27">
        <f>AH182+(-0.8815-AH$2)</f>
        <v>-0.91395435905660882</v>
      </c>
      <c r="AO182" s="27">
        <f>AI182+(-0.8815-AI$2)</f>
        <v>-0.91215952185197136</v>
      </c>
      <c r="AP182" s="20">
        <f t="shared" si="11"/>
        <v>3.0675554166275543E-2</v>
      </c>
      <c r="AQ182" s="20">
        <f t="shared" si="12"/>
        <v>2.5097734681049477E-2</v>
      </c>
      <c r="AR182" s="20">
        <f t="shared" si="13"/>
        <v>8.4954359056608864E-2</v>
      </c>
      <c r="AS182" s="20">
        <f t="shared" si="14"/>
        <v>8.3159521851971396E-2</v>
      </c>
    </row>
    <row r="183" spans="1:45" ht="15" customHeight="1" x14ac:dyDescent="0.2">
      <c r="A183" s="26" t="s">
        <v>140</v>
      </c>
      <c r="B183" s="19" t="s">
        <v>145</v>
      </c>
      <c r="C183" s="20">
        <f t="shared" si="10"/>
        <v>-0.42068146923305594</v>
      </c>
      <c r="D183" s="20">
        <v>-537.93164999999999</v>
      </c>
      <c r="E183" s="20">
        <v>-538.00894000000005</v>
      </c>
      <c r="F183" s="20">
        <v>-539.16281000000004</v>
      </c>
      <c r="G183" s="20">
        <v>-538.09316045840001</v>
      </c>
      <c r="H183" s="20">
        <v>-538.16817463660004</v>
      </c>
      <c r="I183" s="20">
        <v>-539.34876678729995</v>
      </c>
      <c r="J183" s="20">
        <v>-538.45578631670003</v>
      </c>
      <c r="K183" s="20">
        <v>-538.4658418798</v>
      </c>
      <c r="L183" s="20">
        <v>-538.4732576737</v>
      </c>
      <c r="M183" s="20">
        <v>-538.51325149879995</v>
      </c>
      <c r="N183" s="20">
        <v>-538.60114494770005</v>
      </c>
      <c r="O183" s="20">
        <v>-539.69546047250003</v>
      </c>
      <c r="P183" s="20">
        <v>-539.70709350669995</v>
      </c>
      <c r="Q183" s="20">
        <v>-538.6729694055</v>
      </c>
      <c r="R183" s="20">
        <v>-538.74664341640005</v>
      </c>
      <c r="S183" s="20">
        <v>-539.92760279189997</v>
      </c>
      <c r="T183" s="20">
        <f>(S183-Q183)/2*27.211324570273</f>
        <v>-17.070118147015208</v>
      </c>
      <c r="U183" s="20">
        <f>(R183-Q183)*27.211324570273</f>
        <v>-2.0047674229950729</v>
      </c>
      <c r="V183" s="20">
        <f>(F183-I183-D183+G183)/2*27.211324570273</f>
        <v>0.33260849512339308</v>
      </c>
      <c r="W183" s="20">
        <f>(E183-H183-D183+G183)*27.211324570273</f>
        <v>-6.1928125664618E-2</v>
      </c>
      <c r="X183" s="20">
        <f>(P183-O183-K183+J183)/2*27.211324570273</f>
        <v>-2.1462539050474811E-2</v>
      </c>
      <c r="Y183" s="20">
        <f>(N183-M183-L183+J183)*27.211324570273</f>
        <v>-1.9162783996119563</v>
      </c>
      <c r="Z183" s="21">
        <f>(F183+P183-O183-D183-K183+J183-2*C183)*27.211324570273</f>
        <v>-10.64981943603949</v>
      </c>
      <c r="AA183" s="21">
        <f>(S183+F183-I183+P183-O183-Q183-D183+G183-K183+J183-2*C183)*27.211324570273</f>
        <v>-10.623344381887673</v>
      </c>
      <c r="AB183" s="21">
        <f>(E183+N183-M183-D183-L183+J183)*27.211324570273</f>
        <v>-4.0194416756531322</v>
      </c>
      <c r="AC183" s="21">
        <f>(R183+E183-H183+N183-M183-Q183-D183+G183-L183+J183)*27.211324570273</f>
        <v>-3.9829739482685538</v>
      </c>
      <c r="AD183" s="20">
        <v>4.84</v>
      </c>
      <c r="AE183" s="20">
        <v>4.4400000000000004</v>
      </c>
      <c r="AF183" s="21">
        <f>-Z183/2-AE183</f>
        <v>0.8849097180197445</v>
      </c>
      <c r="AG183" s="21">
        <f>-AA183/2-AE183</f>
        <v>0.87167219094383608</v>
      </c>
      <c r="AH183" s="21">
        <f>-AB183-AD183</f>
        <v>-0.82055832434686771</v>
      </c>
      <c r="AI183" s="21">
        <f>-AC183-AD183</f>
        <v>-0.85702605173144608</v>
      </c>
      <c r="AJ183" s="22">
        <v>0.69399999999999995</v>
      </c>
      <c r="AK183" s="21">
        <v>-0.82899999999999996</v>
      </c>
      <c r="AL183" s="27">
        <f>AF183+(0.69-AF$3)</f>
        <v>0.72562787705696996</v>
      </c>
      <c r="AM183" s="27">
        <f>AG183+(0.69-AG$3)</f>
        <v>0.7229920044842264</v>
      </c>
      <c r="AN183" s="27">
        <f>AH183+(-0.8815-AH$3)</f>
        <v>-0.89215308117633629</v>
      </c>
      <c r="AO183" s="27">
        <f>AI183+(-0.8815-AI$3)</f>
        <v>-0.89472059482419208</v>
      </c>
      <c r="AP183" s="20">
        <f t="shared" si="11"/>
        <v>3.1627877056970011E-2</v>
      </c>
      <c r="AQ183" s="20">
        <f t="shared" si="12"/>
        <v>2.8992004484226452E-2</v>
      </c>
      <c r="AR183" s="20">
        <f t="shared" si="13"/>
        <v>6.3153081176336334E-2</v>
      </c>
      <c r="AS183" s="20">
        <f t="shared" si="14"/>
        <v>6.5720594824192125E-2</v>
      </c>
    </row>
    <row r="184" spans="1:45" ht="15" customHeight="1" x14ac:dyDescent="0.2">
      <c r="A184" s="26" t="s">
        <v>140</v>
      </c>
      <c r="B184" s="19" t="s">
        <v>29</v>
      </c>
      <c r="C184" s="20">
        <f t="shared" si="10"/>
        <v>-0.42068146923305594</v>
      </c>
      <c r="D184" s="20">
        <v>-538.41022999999996</v>
      </c>
      <c r="E184" s="20">
        <v>-538.48632999999995</v>
      </c>
      <c r="F184" s="20">
        <v>-539.64742000000001</v>
      </c>
      <c r="G184" s="20">
        <v>-538.57237095419998</v>
      </c>
      <c r="H184" s="20">
        <v>-538.64611384479997</v>
      </c>
      <c r="I184" s="20">
        <v>-539.83381590249996</v>
      </c>
      <c r="J184" s="20">
        <v>-538.45572681340002</v>
      </c>
      <c r="K184" s="20">
        <v>-538.46584704060001</v>
      </c>
      <c r="L184" s="20">
        <v>-538.47324692259997</v>
      </c>
      <c r="M184" s="20">
        <v>-538.51311189700004</v>
      </c>
      <c r="N184" s="20">
        <v>-538.60118658659997</v>
      </c>
      <c r="O184" s="20">
        <v>-539.69532424140004</v>
      </c>
      <c r="P184" s="20">
        <v>-539.7071093733</v>
      </c>
      <c r="Q184" s="20">
        <v>-539.13093975150002</v>
      </c>
      <c r="R184" s="20">
        <v>-539.20216951340001</v>
      </c>
      <c r="S184" s="20">
        <v>-540.39048167730004</v>
      </c>
      <c r="T184" s="20">
        <f>(S184-Q184)/2*27.211324570273</f>
        <v>-17.136902076405555</v>
      </c>
      <c r="U184" s="20">
        <f>(R184-Q184)*27.211324570273</f>
        <v>-1.9382561701237719</v>
      </c>
      <c r="V184" s="20">
        <f>(F184-I184-D184+G184)/2*27.211324570273</f>
        <v>0.33000463531224677</v>
      </c>
      <c r="W184" s="20">
        <f>(E184-H184-D184+G184)*27.211324570273</f>
        <v>-6.4140068931286195E-2</v>
      </c>
      <c r="X184" s="20">
        <f>(P184-O184-K184+J184)/2*27.211324570273</f>
        <v>-2.265213108465498E-2</v>
      </c>
      <c r="Y184" s="20">
        <f>(N184-M184-L184+J184)*27.211324570273</f>
        <v>-1.9198835871830382</v>
      </c>
      <c r="Z184" s="21">
        <f>(F184+P184-O184-D184-K184+J184-2*C184)*27.211324570273</f>
        <v>-10.816282907266862</v>
      </c>
      <c r="AA184" s="21">
        <f>(S184+F184-I184+P184-O184-Q184-D184+G184-K184+J184-2*C184)*27.211324570273</f>
        <v>-10.764499144352833</v>
      </c>
      <c r="AB184" s="21">
        <f>(E184+N184-M184-D184-L184+J184)*27.211324570273</f>
        <v>-3.9906653869838178</v>
      </c>
      <c r="AC184" s="21">
        <f>(R184+E184-H184+N184-M184-Q184-D184+G184-L184+J184)*27.211324570273</f>
        <v>-3.9222798262411898</v>
      </c>
      <c r="AD184" s="20">
        <v>4.84</v>
      </c>
      <c r="AE184" s="20">
        <v>4.4400000000000004</v>
      </c>
      <c r="AF184" s="21">
        <f>-Z184/2-AE184</f>
        <v>0.96814145363343052</v>
      </c>
      <c r="AG184" s="21">
        <f>-AA184/2-AE184</f>
        <v>0.94224957217641592</v>
      </c>
      <c r="AH184" s="21">
        <f>-AB184-AD184</f>
        <v>-0.84933461301618207</v>
      </c>
      <c r="AI184" s="21">
        <f>-AC184-AD184</f>
        <v>-0.9177201737588101</v>
      </c>
      <c r="AJ184" s="22">
        <v>0.69399999999999995</v>
      </c>
      <c r="AK184" s="21">
        <v>-0.82899999999999996</v>
      </c>
      <c r="AL184" s="21">
        <f>AF184+(0.69-AF$4)</f>
        <v>0.72382076210863167</v>
      </c>
      <c r="AM184" s="21">
        <f>AG184+(0.69-AG$4)</f>
        <v>0.71796332721186351</v>
      </c>
      <c r="AN184" s="21">
        <f>AH184+(-0.8815-AH$4)</f>
        <v>-0.92165860341231776</v>
      </c>
      <c r="AO184" s="21">
        <f>AI184+(-0.8815-AI$4)</f>
        <v>-0.91630767330984053</v>
      </c>
      <c r="AP184" s="20">
        <f t="shared" si="11"/>
        <v>2.9820762108631715E-2</v>
      </c>
      <c r="AQ184" s="20">
        <f t="shared" si="12"/>
        <v>2.3963327211863561E-2</v>
      </c>
      <c r="AR184" s="20">
        <f t="shared" si="13"/>
        <v>9.2658603412317797E-2</v>
      </c>
      <c r="AS184" s="20">
        <f t="shared" si="14"/>
        <v>8.7307673309840572E-2</v>
      </c>
    </row>
    <row r="185" spans="1:45" ht="15" customHeight="1" x14ac:dyDescent="0.2">
      <c r="A185" s="26" t="s">
        <v>140</v>
      </c>
      <c r="B185" s="19" t="s">
        <v>30</v>
      </c>
      <c r="C185" s="20">
        <f t="shared" si="10"/>
        <v>-0.42068146923305594</v>
      </c>
      <c r="D185" s="20">
        <v>-538.33069</v>
      </c>
      <c r="E185" s="20">
        <v>-538.40630999999996</v>
      </c>
      <c r="F185" s="20">
        <v>-539.55847000000006</v>
      </c>
      <c r="G185" s="20">
        <v>-538.4916202329</v>
      </c>
      <c r="H185" s="20">
        <v>-538.5648932931</v>
      </c>
      <c r="I185" s="20">
        <v>-539.74361387739998</v>
      </c>
      <c r="J185" s="20">
        <v>-538.45590233969995</v>
      </c>
      <c r="K185" s="20">
        <v>-538.4660395075</v>
      </c>
      <c r="L185" s="20">
        <v>-538.47341513779998</v>
      </c>
      <c r="M185" s="20">
        <v>-538.51331812240005</v>
      </c>
      <c r="N185" s="20">
        <v>-538.60135778020003</v>
      </c>
      <c r="O185" s="20">
        <v>-539.6955498195</v>
      </c>
      <c r="P185" s="20">
        <v>-539.70727058809996</v>
      </c>
      <c r="Q185" s="20">
        <v>-539.06595493060001</v>
      </c>
      <c r="R185" s="20">
        <v>-539.13638463819996</v>
      </c>
      <c r="S185" s="20">
        <v>-540.31548258409998</v>
      </c>
      <c r="T185" s="20">
        <f>(S185-Q185)/2*27.211324570273</f>
        <v>-17.000651269459617</v>
      </c>
      <c r="U185" s="20">
        <f>(R185-Q185)*27.211324570273</f>
        <v>-1.9164856328914461</v>
      </c>
      <c r="V185" s="20">
        <f>(F185-I185-D185+G185)/2*27.211324570273</f>
        <v>0.3294426697583086</v>
      </c>
      <c r="W185" s="20">
        <f>(E185-H185-D185+G185)*27.211324570273</f>
        <v>-6.3863340643694727E-2</v>
      </c>
      <c r="X185" s="20">
        <f>(P185-O185-K185+J185)/2*27.211324570273</f>
        <v>-2.154593767796804E-2</v>
      </c>
      <c r="Y185" s="20">
        <f>(N185-M185-L185+J185)*27.211324570273</f>
        <v>-1.9191292702175302</v>
      </c>
      <c r="Z185" s="21">
        <f>(F185+P185-O185-D185-K185+J185-2*C185)*27.211324570273</f>
        <v>-10.558011956247148</v>
      </c>
      <c r="AA185" s="21">
        <f>(S185+F185-I185+P185-O185-Q185-D185+G185-K185+J185-2*C185)*27.211324570273</f>
        <v>-10.490909074761646</v>
      </c>
      <c r="AB185" s="21">
        <f>(E185+N185-M185-D185-L185+J185)*27.211324570273</f>
        <v>-3.9768496342173396</v>
      </c>
      <c r="AC185" s="21">
        <f>(R185+E185-H185+N185-M185-Q185-D185+G185-L185+J185)*27.211324570273</f>
        <v>-3.8994782437557647</v>
      </c>
      <c r="AD185" s="20">
        <v>4.84</v>
      </c>
      <c r="AE185" s="20">
        <v>4.4400000000000004</v>
      </c>
      <c r="AF185" s="21">
        <f>-Z185/2-AE185</f>
        <v>0.83900597812357347</v>
      </c>
      <c r="AG185" s="21">
        <f>-AA185/2-AE185</f>
        <v>0.80545453738082262</v>
      </c>
      <c r="AH185" s="21">
        <f>-AB185-AD185</f>
        <v>-0.86315036578266024</v>
      </c>
      <c r="AI185" s="21">
        <f>-AC185-AD185</f>
        <v>-0.94052175624423517</v>
      </c>
      <c r="AJ185" s="22">
        <v>0.69399999999999995</v>
      </c>
      <c r="AK185" s="21">
        <v>-0.82899999999999996</v>
      </c>
      <c r="AL185" s="21">
        <f>AF185+(0.69-AF$5)</f>
        <v>0.72320050717436013</v>
      </c>
      <c r="AM185" s="21">
        <f>AG185+(0.69-AG$5)</f>
        <v>0.71679812332772785</v>
      </c>
      <c r="AN185" s="21">
        <f>AH185+(-0.8815-AH$5)</f>
        <v>-0.91660076921549383</v>
      </c>
      <c r="AO185" s="21">
        <f>AI185+(-0.8815-AI$5)</f>
        <v>-0.90857212776223006</v>
      </c>
      <c r="AP185" s="20">
        <f t="shared" si="11"/>
        <v>2.920050717436018E-2</v>
      </c>
      <c r="AQ185" s="20">
        <f t="shared" si="12"/>
        <v>2.2798123327727904E-2</v>
      </c>
      <c r="AR185" s="20">
        <f t="shared" si="13"/>
        <v>8.7600769215493868E-2</v>
      </c>
      <c r="AS185" s="20">
        <f t="shared" si="14"/>
        <v>7.9572127762230105E-2</v>
      </c>
    </row>
    <row r="186" spans="1:45" ht="15" customHeight="1" x14ac:dyDescent="0.2">
      <c r="A186" s="26" t="s">
        <v>140</v>
      </c>
      <c r="B186" s="19" t="s">
        <v>31</v>
      </c>
      <c r="C186" s="20">
        <f t="shared" si="10"/>
        <v>-0.42068146923305594</v>
      </c>
      <c r="D186" s="20">
        <v>-538.41022999999996</v>
      </c>
      <c r="E186" s="20">
        <v>-538.48632999999995</v>
      </c>
      <c r="F186" s="20">
        <v>-539.64742000000001</v>
      </c>
      <c r="G186" s="20">
        <v>-538.57237095419998</v>
      </c>
      <c r="H186" s="20">
        <v>-538.64611384479997</v>
      </c>
      <c r="I186" s="20">
        <v>-539.83381590249996</v>
      </c>
      <c r="J186" s="20">
        <v>-538.45572681340002</v>
      </c>
      <c r="K186" s="20">
        <v>-538.46584704060001</v>
      </c>
      <c r="L186" s="20">
        <v>-538.47324692259997</v>
      </c>
      <c r="M186" s="20">
        <v>-538.51311189700004</v>
      </c>
      <c r="N186" s="20">
        <v>-538.60118658659997</v>
      </c>
      <c r="O186" s="20">
        <v>-539.69532424140004</v>
      </c>
      <c r="P186" s="20">
        <v>-539.7071093733</v>
      </c>
      <c r="Q186" s="20">
        <v>-538.74974424080006</v>
      </c>
      <c r="R186" s="20">
        <v>-538.81964794049998</v>
      </c>
      <c r="S186" s="20">
        <v>-540.00167286880003</v>
      </c>
      <c r="T186" s="20">
        <f>(S186-Q186)/2*27.211324570273</f>
        <v>-17.033318117661921</v>
      </c>
      <c r="U186" s="20">
        <f>(R186-Q186)*27.211324570273</f>
        <v>-1.9021722611974501</v>
      </c>
      <c r="V186" s="20">
        <f>(F186-I186-D186+G186)/2*27.211324570273</f>
        <v>0.33000463531224677</v>
      </c>
      <c r="W186" s="20">
        <f>(E186-H186-D186+G186)*27.211324570273</f>
        <v>-6.4140068931286195E-2</v>
      </c>
      <c r="X186" s="20">
        <f>(P186-O186-K186+J186)/2*27.211324570273</f>
        <v>-2.265213108465498E-2</v>
      </c>
      <c r="Y186" s="20">
        <f>(N186-M186-L186+J186)*27.211324570273</f>
        <v>-1.9198835871830382</v>
      </c>
      <c r="Z186" s="21">
        <f>(F186+P186-O186-D186-K186+J186-2*C186)*27.211324570273</f>
        <v>-10.816282907266862</v>
      </c>
      <c r="AA186" s="21">
        <f>(S186+F186-I186+P186-O186-Q186-D186+G186-K186+J186-2*C186)*27.211324570273</f>
        <v>-10.557331226865562</v>
      </c>
      <c r="AB186" s="21">
        <f>(E186+N186-M186-D186-L186+J186)*27.211324570273</f>
        <v>-3.9906653869838178</v>
      </c>
      <c r="AC186" s="21">
        <f>(R186+E186-H186+N186-M186-Q186-D186+G186-L186+J186)*27.211324570273</f>
        <v>-3.8861959173086809</v>
      </c>
      <c r="AD186" s="20">
        <v>4.84</v>
      </c>
      <c r="AE186" s="20">
        <v>4.4400000000000004</v>
      </c>
      <c r="AF186" s="21">
        <f>-Z186/2-AE186</f>
        <v>0.96814145363343052</v>
      </c>
      <c r="AG186" s="21">
        <f>-AA186/2-AE186</f>
        <v>0.83866561343278079</v>
      </c>
      <c r="AH186" s="21">
        <f>-AB186-AD186</f>
        <v>-0.84933461301618207</v>
      </c>
      <c r="AI186" s="21">
        <f>-AC186-AD186</f>
        <v>-0.953804082691319</v>
      </c>
      <c r="AJ186" s="22">
        <v>0.69399999999999995</v>
      </c>
      <c r="AK186" s="21">
        <v>-0.82899999999999996</v>
      </c>
      <c r="AL186" s="21">
        <f>AF186+(0.69-AF$6)</f>
        <v>0.72382076210863167</v>
      </c>
      <c r="AM186" s="21">
        <f>AG186+(0.69-AG$6)</f>
        <v>0.72227855212246572</v>
      </c>
      <c r="AN186" s="21">
        <f>AH186+(-0.8815-AH$6)</f>
        <v>-0.92165860341231776</v>
      </c>
      <c r="AO186" s="21">
        <f>AI186+(-0.8815-AI$6)</f>
        <v>-0.90218156995871768</v>
      </c>
      <c r="AP186" s="20">
        <f t="shared" si="11"/>
        <v>2.9820762108631715E-2</v>
      </c>
      <c r="AQ186" s="20">
        <f t="shared" si="12"/>
        <v>2.8278552122465772E-2</v>
      </c>
      <c r="AR186" s="20">
        <f t="shared" si="13"/>
        <v>9.2658603412317797E-2</v>
      </c>
      <c r="AS186" s="20">
        <f t="shared" si="14"/>
        <v>7.3181569958717718E-2</v>
      </c>
    </row>
    <row r="187" spans="1:45" ht="15" customHeight="1" x14ac:dyDescent="0.2">
      <c r="A187" s="26" t="s">
        <v>140</v>
      </c>
      <c r="B187" s="19" t="s">
        <v>32</v>
      </c>
      <c r="C187" s="20">
        <f t="shared" si="10"/>
        <v>-0.42068146923305594</v>
      </c>
      <c r="D187" s="20">
        <v>-538.33069</v>
      </c>
      <c r="E187" s="20">
        <v>-538.40630999999996</v>
      </c>
      <c r="F187" s="20">
        <v>-539.55847000000006</v>
      </c>
      <c r="G187" s="20">
        <v>-538.4916202329</v>
      </c>
      <c r="H187" s="20">
        <v>-538.5648932931</v>
      </c>
      <c r="I187" s="20">
        <v>-539.74361387739998</v>
      </c>
      <c r="J187" s="20">
        <v>-538.45590233969995</v>
      </c>
      <c r="K187" s="20">
        <v>-538.4660395075</v>
      </c>
      <c r="L187" s="20">
        <v>-538.47341513779998</v>
      </c>
      <c r="M187" s="20">
        <v>-538.51331812240005</v>
      </c>
      <c r="N187" s="20">
        <v>-538.60135778020003</v>
      </c>
      <c r="O187" s="20">
        <v>-539.6955498195</v>
      </c>
      <c r="P187" s="20">
        <v>-539.70727058809996</v>
      </c>
      <c r="Q187" s="20">
        <v>-538.69478585649995</v>
      </c>
      <c r="R187" s="20">
        <v>-538.7639791611</v>
      </c>
      <c r="S187" s="20">
        <v>-539.9366294637</v>
      </c>
      <c r="T187" s="20">
        <f>(S187-Q187)/2*27.211324570273</f>
        <v>-16.896104730519628</v>
      </c>
      <c r="U187" s="20">
        <f>(R187-Q187)*27.211324570273</f>
        <v>-1.8828414695616857</v>
      </c>
      <c r="V187" s="20">
        <f>(F187-I187-D187+G187)/2*27.211324570273</f>
        <v>0.3294426697583086</v>
      </c>
      <c r="W187" s="20">
        <f>(E187-H187-D187+G187)*27.211324570273</f>
        <v>-6.3863340643694727E-2</v>
      </c>
      <c r="X187" s="20">
        <f>(P187-O187-K187+J187)/2*27.211324570273</f>
        <v>-2.154593767796804E-2</v>
      </c>
      <c r="Y187" s="20">
        <f>(N187-M187-L187+J187)*27.211324570273</f>
        <v>-1.9191292702175302</v>
      </c>
      <c r="Z187" s="21">
        <f>(F187+P187-O187-D187-K187+J187-2*C187)*27.211324570273</f>
        <v>-10.558011956247148</v>
      </c>
      <c r="AA187" s="21">
        <f>(S187+F187-I187+P187-O187-Q187-D187+G187-K187+J187-2*C187)*27.211324570273</f>
        <v>-10.28181599688167</v>
      </c>
      <c r="AB187" s="21">
        <f>(E187+N187-M187-D187-L187+J187)*27.211324570273</f>
        <v>-3.9768496342173396</v>
      </c>
      <c r="AC187" s="21">
        <f>(R187+E187-H187+N187-M187-Q187-D187+G187-L187+J187)*27.211324570273</f>
        <v>-3.8658340804229105</v>
      </c>
      <c r="AD187" s="20">
        <v>4.84</v>
      </c>
      <c r="AE187" s="20">
        <v>4.4400000000000004</v>
      </c>
      <c r="AF187" s="21">
        <f>-Z187/2-AE187</f>
        <v>0.83900597812357347</v>
      </c>
      <c r="AG187" s="21">
        <f>-AA187/2-AE187</f>
        <v>0.70090799844083485</v>
      </c>
      <c r="AH187" s="21">
        <f>-AB187-AD187</f>
        <v>-0.86315036578266024</v>
      </c>
      <c r="AI187" s="21">
        <f>-AC187-AD187</f>
        <v>-0.97416591957708931</v>
      </c>
      <c r="AJ187" s="22">
        <v>0.69399999999999995</v>
      </c>
      <c r="AK187" s="21">
        <v>-0.82899999999999996</v>
      </c>
      <c r="AL187" s="21">
        <f>AF187+(0.69-AF$7)</f>
        <v>0.72320050717436013</v>
      </c>
      <c r="AM187" s="21">
        <f>AG187+(0.69-AG$7)</f>
        <v>0.72148665768187792</v>
      </c>
      <c r="AN187" s="21">
        <f>AH187+(-0.8815-AH$7)</f>
        <v>-0.91660076921549383</v>
      </c>
      <c r="AO187" s="21">
        <f>AI187+(-0.8815-AI$7)</f>
        <v>-0.89466247688638401</v>
      </c>
      <c r="AP187" s="20">
        <f t="shared" si="11"/>
        <v>2.920050717436018E-2</v>
      </c>
      <c r="AQ187" s="20">
        <f t="shared" si="12"/>
        <v>2.7486657681877968E-2</v>
      </c>
      <c r="AR187" s="20">
        <f t="shared" si="13"/>
        <v>8.7600769215493868E-2</v>
      </c>
      <c r="AS187" s="20">
        <f t="shared" si="14"/>
        <v>6.5662476886384047E-2</v>
      </c>
    </row>
    <row r="188" spans="1:45" ht="15" customHeight="1" x14ac:dyDescent="0.2">
      <c r="A188" s="26" t="s">
        <v>140</v>
      </c>
      <c r="B188" s="19" t="s">
        <v>33</v>
      </c>
      <c r="C188" s="20">
        <f t="shared" si="10"/>
        <v>-0.42068146923305594</v>
      </c>
      <c r="D188" s="20">
        <v>-538.53499999999997</v>
      </c>
      <c r="E188" s="20">
        <v>-538.60383000000002</v>
      </c>
      <c r="F188" s="20">
        <v>-539.75296000000003</v>
      </c>
      <c r="G188" s="20">
        <v>-538.69542518289995</v>
      </c>
      <c r="H188" s="20">
        <v>-538.76172309549997</v>
      </c>
      <c r="I188" s="20">
        <v>-539.93729641710001</v>
      </c>
      <c r="J188" s="20">
        <v>-538.45564533380002</v>
      </c>
      <c r="K188" s="20">
        <v>-538.46571977669998</v>
      </c>
      <c r="L188" s="20">
        <v>-538.47307702310002</v>
      </c>
      <c r="M188" s="20">
        <v>-538.51300087990001</v>
      </c>
      <c r="N188" s="20">
        <v>-538.60098012890001</v>
      </c>
      <c r="O188" s="20">
        <v>-539.69535789940005</v>
      </c>
      <c r="P188" s="20">
        <v>-539.70702720899999</v>
      </c>
      <c r="Q188" s="20">
        <v>-538.69524698559997</v>
      </c>
      <c r="R188" s="20">
        <v>-538.76438107490003</v>
      </c>
      <c r="S188" s="20">
        <v>-539.93715517930002</v>
      </c>
      <c r="T188" s="20">
        <f>(S188-Q188)/2*27.211324570273</f>
        <v>-16.89698347262684</v>
      </c>
      <c r="U188" s="20">
        <f>(R188-Q188)*27.211324570273</f>
        <v>-1.8812301428142864</v>
      </c>
      <c r="V188" s="20">
        <f>(F188-I188-D188+G188)/2*27.211324570273</f>
        <v>0.32532817734600405</v>
      </c>
      <c r="W188" s="20">
        <f>(E188-H188-D188+G188)*27.211324570273</f>
        <v>-6.8901452082438669E-2</v>
      </c>
      <c r="X188" s="20">
        <f>(P188-O188-K188+J188)/2*27.211324570273</f>
        <v>-2.1699217709666877E-2</v>
      </c>
      <c r="Y188" s="20">
        <f>(N188-M188-L188+J188)*27.211324570273</f>
        <v>-1.9196925446374971</v>
      </c>
      <c r="Z188" s="21">
        <f>(F188+P188-O188-D188-K188+J188-2*C188)*27.211324570273</f>
        <v>-10.291103309030721</v>
      </c>
      <c r="AA188" s="21">
        <f>(S188+F188-I188+P188-O188-Q188-D188+G188-K188+J188-2*C188)*27.211324570273</f>
        <v>-10.292109025977913</v>
      </c>
      <c r="AB188" s="21">
        <f>(E188+N188-M188-D188-L188+J188)*27.211324570273</f>
        <v>-3.7926480148137909</v>
      </c>
      <c r="AC188" s="21">
        <f>(R188+E188-H188+N188-M188-Q188-D188+G188-L188+J188)*27.211324570273</f>
        <v>-3.8698241395311284</v>
      </c>
      <c r="AD188" s="20">
        <v>4.84</v>
      </c>
      <c r="AE188" s="20">
        <v>4.4400000000000004</v>
      </c>
      <c r="AF188" s="21">
        <f>-Z188/2-AE188</f>
        <v>0.70555165451535995</v>
      </c>
      <c r="AG188" s="21">
        <f>-AA188/2-AE188</f>
        <v>0.70605451298895616</v>
      </c>
      <c r="AH188" s="21">
        <f>-AB188-AD188</f>
        <v>-1.047351985186209</v>
      </c>
      <c r="AI188" s="21">
        <f>-AC188-AD188</f>
        <v>-0.9701758604688715</v>
      </c>
      <c r="AJ188" s="22">
        <v>0.69399999999999995</v>
      </c>
      <c r="AK188" s="21">
        <v>-0.82899999999999996</v>
      </c>
      <c r="AL188" s="21">
        <f>AF188+(0.69-AF$8)</f>
        <v>0.72611363185488775</v>
      </c>
      <c r="AM188" s="21">
        <f>AG188+(0.69-AG$8)</f>
        <v>0.72442409567823107</v>
      </c>
      <c r="AN188" s="21">
        <f>AH188+(-0.8815-AH$8)</f>
        <v>-0.54167811606416727</v>
      </c>
      <c r="AO188" s="21">
        <f>AI188+(-0.8815-AI$8)</f>
        <v>-0.93275912857776166</v>
      </c>
      <c r="AP188" s="20">
        <f t="shared" si="11"/>
        <v>3.2113631854887803E-2</v>
      </c>
      <c r="AQ188" s="20">
        <f t="shared" si="12"/>
        <v>3.0424095678231122E-2</v>
      </c>
      <c r="AR188" s="20">
        <f t="shared" si="13"/>
        <v>0.28732188393583269</v>
      </c>
      <c r="AS188" s="20">
        <f t="shared" si="14"/>
        <v>0.10375912857776171</v>
      </c>
    </row>
    <row r="189" spans="1:45" ht="15" customHeight="1" x14ac:dyDescent="0.2">
      <c r="A189" s="26" t="s">
        <v>140</v>
      </c>
      <c r="B189" s="19" t="s">
        <v>174</v>
      </c>
      <c r="C189" s="20">
        <f t="shared" si="10"/>
        <v>-0.42068146923305594</v>
      </c>
      <c r="D189" s="20">
        <v>-538.53506000000004</v>
      </c>
      <c r="E189" s="20">
        <v>-538.60558000000003</v>
      </c>
      <c r="F189" s="20">
        <v>-539.75293999999997</v>
      </c>
      <c r="G189" s="20">
        <v>-538.69561016329999</v>
      </c>
      <c r="H189" s="20">
        <v>-538.76360917440002</v>
      </c>
      <c r="I189" s="20">
        <v>-539.93744925030001</v>
      </c>
      <c r="J189" s="20">
        <v>-538.45562911210004</v>
      </c>
      <c r="K189" s="20">
        <v>-538.46573340270004</v>
      </c>
      <c r="L189" s="20">
        <v>-538.47307714919998</v>
      </c>
      <c r="M189" s="20">
        <v>-538.51311691369995</v>
      </c>
      <c r="N189" s="20">
        <v>-538.60113519020001</v>
      </c>
      <c r="O189" s="20">
        <v>-539.69536025469995</v>
      </c>
      <c r="P189" s="20">
        <v>-539.70702766449995</v>
      </c>
      <c r="Q189" s="20">
        <v>-538.69524752519999</v>
      </c>
      <c r="R189" s="20">
        <v>-538.76439542130004</v>
      </c>
      <c r="S189" s="20">
        <v>-539.9371549942</v>
      </c>
      <c r="T189" s="20">
        <f>(S189-Q189)/2*27.211324570273</f>
        <v>-16.896973612602785</v>
      </c>
      <c r="U189" s="20">
        <f>(R189-Q189)*27.211324570273</f>
        <v>-1.881605844129933</v>
      </c>
      <c r="V189" s="20">
        <f>(F189-I189-D189+G189)/2*27.211324570273</f>
        <v>0.32597924638348125</v>
      </c>
      <c r="W189" s="20">
        <f>(E189-H189-D189+G189)*27.211324570273</f>
        <v>-6.8599447194860927E-2</v>
      </c>
      <c r="X189" s="20">
        <f>(P189-O189-K189+J189)/2*27.211324570273</f>
        <v>-2.126727194661374E-2</v>
      </c>
      <c r="Y189" s="20">
        <f>(N189-M189-L189+J189)*27.211324570273</f>
        <v>-1.9203096893187075</v>
      </c>
      <c r="Z189" s="21">
        <f>(F189+P189-O189-D189-K189+J189-2*C189)*27.211324570273</f>
        <v>-10.288062511532114</v>
      </c>
      <c r="AA189" s="21">
        <f>(S189+F189-I189+P189-O189-Q189-D189+G189-K189+J189-2*C189)*27.211324570273</f>
        <v>-10.289923276334928</v>
      </c>
      <c r="AB189" s="21">
        <f>(E189+N189-M189-D189-L189+J189)*27.211324570273</f>
        <v>-3.8392522980171186</v>
      </c>
      <c r="AC189" s="21">
        <f>(R189+E189-H189+N189-M189-Q189-D189+G189-L189+J189)*27.211324570273</f>
        <v>-3.8705149806435015</v>
      </c>
      <c r="AD189" s="20">
        <v>4.84</v>
      </c>
      <c r="AE189" s="20">
        <v>4.4400000000000004</v>
      </c>
      <c r="AF189" s="21">
        <f>-Z189/2-AE189</f>
        <v>0.70403125576605685</v>
      </c>
      <c r="AG189" s="21">
        <f>-AA189/2-AE189</f>
        <v>0.70496163816746371</v>
      </c>
      <c r="AH189" s="21">
        <f>-AB189-AD189</f>
        <v>-1.0007477019828812</v>
      </c>
      <c r="AI189" s="21">
        <f>-AC189-AD189</f>
        <v>-0.96948501935649833</v>
      </c>
      <c r="AJ189" s="22">
        <v>0.69399999999999995</v>
      </c>
      <c r="AK189" s="21">
        <v>-0.82899999999999996</v>
      </c>
      <c r="AL189" s="21">
        <f>AF189+(0.69-AF$9)</f>
        <v>0.71960396055602649</v>
      </c>
      <c r="AM189" s="21">
        <f>AG189+(0.69-AG$9)</f>
        <v>0.72258877891483531</v>
      </c>
      <c r="AN189" s="21">
        <f>AH189+(-0.8815-AH$9)</f>
        <v>-0.87464458840753601</v>
      </c>
      <c r="AO189" s="21">
        <f>AI189+(-0.8815-AI$9)</f>
        <v>-0.89156917513697698</v>
      </c>
      <c r="AP189" s="20">
        <f t="shared" si="11"/>
        <v>2.5603960556026539E-2</v>
      </c>
      <c r="AQ189" s="20">
        <f t="shared" si="12"/>
        <v>2.8588778914835355E-2</v>
      </c>
      <c r="AR189" s="20">
        <f t="shared" si="13"/>
        <v>4.5644588407536046E-2</v>
      </c>
      <c r="AS189" s="20">
        <f t="shared" si="14"/>
        <v>6.2569175136977018E-2</v>
      </c>
    </row>
    <row r="190" spans="1:45" ht="15" customHeight="1" x14ac:dyDescent="0.2">
      <c r="A190" s="26" t="s">
        <v>140</v>
      </c>
      <c r="B190" s="19" t="s">
        <v>43</v>
      </c>
      <c r="C190" s="20">
        <f t="shared" si="10"/>
        <v>-0.42068146923305594</v>
      </c>
      <c r="D190" s="20">
        <v>-538.33069</v>
      </c>
      <c r="E190" s="20">
        <v>-538.40630999999996</v>
      </c>
      <c r="F190" s="20">
        <v>-539.55847000000006</v>
      </c>
      <c r="G190" s="20">
        <v>-538.4916202329</v>
      </c>
      <c r="H190" s="20">
        <v>-538.5648932931</v>
      </c>
      <c r="I190" s="20">
        <v>-539.74361387739998</v>
      </c>
      <c r="J190" s="20">
        <v>-538.45590233969995</v>
      </c>
      <c r="K190" s="20">
        <v>-538.4660395075</v>
      </c>
      <c r="L190" s="20">
        <v>-538.47341513779998</v>
      </c>
      <c r="M190" s="20">
        <v>-538.51331812240005</v>
      </c>
      <c r="N190" s="20">
        <v>-538.60135778020003</v>
      </c>
      <c r="O190" s="20">
        <v>-539.6955498195</v>
      </c>
      <c r="P190" s="20">
        <v>-539.70727058809996</v>
      </c>
      <c r="Q190" s="20">
        <v>-537.97980153878996</v>
      </c>
      <c r="R190" s="20">
        <v>-538.04602859434704</v>
      </c>
      <c r="S190" s="20">
        <v>-539.23201938575301</v>
      </c>
      <c r="T190" s="20">
        <f>(S190-Q190)/2*27.211324570273</f>
        <v>-17.037253133199986</v>
      </c>
      <c r="U190" s="20">
        <f>(R190-Q190)*27.211324570273</f>
        <v>-1.802125904097166</v>
      </c>
      <c r="V190" s="20">
        <f>(F190-I190-D190+G190)/2*27.211324570273</f>
        <v>0.3294426697583086</v>
      </c>
      <c r="W190" s="20">
        <f>(E190-H190-D190+G190)*27.211324570273</f>
        <v>-6.3863340643694727E-2</v>
      </c>
      <c r="X190" s="20">
        <f>(P190-O190-K190+J190)/2*27.211324570273</f>
        <v>-2.154593767796804E-2</v>
      </c>
      <c r="Y190" s="20">
        <f>(N190-M190-L190+J190)*27.211324570273</f>
        <v>-1.9191292702175302</v>
      </c>
      <c r="Z190" s="21">
        <f>(F190+P190-O190-D190-K190+J190-2*C190)*27.211324570273</f>
        <v>-10.558011956247148</v>
      </c>
      <c r="AA190" s="21">
        <f>(S190+F190-I190+P190-O190-Q190-D190+G190-K190+J190-2*C190)*27.211324570273</f>
        <v>-10.564112802239288</v>
      </c>
      <c r="AB190" s="21">
        <f>(E190+N190-M190-D190-L190+J190)*27.211324570273</f>
        <v>-3.9768496342173396</v>
      </c>
      <c r="AC190" s="21">
        <f>(R190+E190-H190+N190-M190-Q190-D190+G190-L190+J190)*27.211324570273</f>
        <v>-3.7851185149645783</v>
      </c>
      <c r="AD190" s="20">
        <v>4.84</v>
      </c>
      <c r="AE190" s="20">
        <v>4.4400000000000004</v>
      </c>
      <c r="AF190" s="21">
        <f>-Z190/2-AE190</f>
        <v>0.83900597812357347</v>
      </c>
      <c r="AG190" s="21">
        <f>-AA190/2-AE190</f>
        <v>0.84205640111964364</v>
      </c>
      <c r="AH190" s="21">
        <f>-AB190-AD190</f>
        <v>-0.86315036578266024</v>
      </c>
      <c r="AI190" s="21">
        <f>-AC190-AD190</f>
        <v>-1.0548814850354216</v>
      </c>
      <c r="AJ190" s="22">
        <v>0.69399999999999995</v>
      </c>
      <c r="AK190" s="21">
        <v>-0.82899999999999996</v>
      </c>
      <c r="AL190" s="21">
        <f>AF190+(0.69-AF$10)</f>
        <v>0.72320050717436013</v>
      </c>
      <c r="AM190" s="21">
        <f>AG190+(0.69-AG$10)</f>
        <v>0.73539403412757531</v>
      </c>
      <c r="AN190" s="21">
        <f>AH190+(-0.8815-AH$10)</f>
        <v>-0.91660076921549383</v>
      </c>
      <c r="AO190" s="21">
        <f>AI190+(-0.8815-AI$10)</f>
        <v>-0.87236337340804715</v>
      </c>
      <c r="AP190" s="20">
        <f t="shared" si="11"/>
        <v>2.920050717436018E-2</v>
      </c>
      <c r="AQ190" s="20">
        <f t="shared" si="12"/>
        <v>4.1394034127575363E-2</v>
      </c>
      <c r="AR190" s="20">
        <f t="shared" si="13"/>
        <v>8.7600769215493868E-2</v>
      </c>
      <c r="AS190" s="20">
        <f t="shared" si="14"/>
        <v>4.336337340804719E-2</v>
      </c>
    </row>
    <row r="191" spans="1:45" x14ac:dyDescent="0.2">
      <c r="A191" s="26" t="s">
        <v>107</v>
      </c>
      <c r="B191" s="19" t="s">
        <v>27</v>
      </c>
      <c r="C191" s="20">
        <f t="shared" si="10"/>
        <v>-0.42068146923305594</v>
      </c>
      <c r="D191" s="20">
        <v>-688.20962999999995</v>
      </c>
      <c r="E191" s="20">
        <v>-688.28494000000001</v>
      </c>
      <c r="F191" s="20">
        <v>-689.41837999999996</v>
      </c>
      <c r="G191" s="20">
        <v>-688.35421955029994</v>
      </c>
      <c r="H191" s="20">
        <v>-688.42707795010006</v>
      </c>
      <c r="I191" s="20">
        <v>-689.58633360960005</v>
      </c>
      <c r="J191" s="20">
        <v>-688.47286318149997</v>
      </c>
      <c r="K191" s="20">
        <v>-688.48566226729997</v>
      </c>
      <c r="L191" s="20">
        <v>-688.4951922171</v>
      </c>
      <c r="M191" s="20">
        <v>-688.52518967280002</v>
      </c>
      <c r="N191" s="20">
        <v>-688.61383660419995</v>
      </c>
      <c r="O191" s="20">
        <v>-689.68169517909996</v>
      </c>
      <c r="P191" s="20">
        <v>-689.69752302510005</v>
      </c>
      <c r="Q191" s="20">
        <v>-689.07318260520003</v>
      </c>
      <c r="R191" s="20">
        <v>-689.14389410039996</v>
      </c>
      <c r="S191" s="20">
        <v>-690.30277427349995</v>
      </c>
      <c r="T191" s="20">
        <f>(S191-Q191)/2*27.211324570273</f>
        <v>-16.729408987506261</v>
      </c>
      <c r="U191" s="20">
        <f>(R191-Q191)*27.211324570273</f>
        <v>-1.9241534467346004</v>
      </c>
      <c r="V191" s="20">
        <f>(F191-I191-D191+G191)/2*27.211324570273</f>
        <v>0.31788350044696495</v>
      </c>
      <c r="W191" s="20">
        <f>(E191-H191-D191+G191)*27.211324570273</f>
        <v>-6.6711288757311596E-2</v>
      </c>
      <c r="X191" s="20">
        <f>(P191-O191-K191+J191)/2*27.211324570273</f>
        <v>-4.1208288425159757E-2</v>
      </c>
      <c r="Y191" s="20">
        <f>(N191-M191-L191+J191)*27.211324570273</f>
        <v>-1.804597787428569</v>
      </c>
      <c r="Z191" s="21">
        <f>(F191+P191-O191-D191-K191+J191-2*C191)*27.211324570273</f>
        <v>-10.07950515117115</v>
      </c>
      <c r="AA191" s="21">
        <f>(S191+F191-I191+P191-O191-Q191-D191+G191-K191+J191-2*C191)*27.211324570273</f>
        <v>-10.010867550972003</v>
      </c>
      <c r="AB191" s="21">
        <f>(E191+N191-M191-D191-L191+J191)*27.211324570273</f>
        <v>-3.8538826408205171</v>
      </c>
      <c r="AC191" s="21">
        <f>(R191+E191-H191+N191-M191-Q191-D191+G191-L191+J191)*27.211324570273</f>
        <v>-3.7954625229142938</v>
      </c>
      <c r="AD191" s="20">
        <v>4.84</v>
      </c>
      <c r="AE191" s="20">
        <v>4.4400000000000004</v>
      </c>
      <c r="AF191" s="21">
        <f>-Z191/2-AE191</f>
        <v>0.59975257558557438</v>
      </c>
      <c r="AG191" s="21">
        <f>-AA191/2-AE191</f>
        <v>0.56543377548600127</v>
      </c>
      <c r="AH191" s="21">
        <f>-AB191-AD191</f>
        <v>-0.98611735917948273</v>
      </c>
      <c r="AI191" s="21">
        <f>-AC191-AD191</f>
        <v>-1.0445374770857061</v>
      </c>
      <c r="AJ191" s="22">
        <v>0.40550000000000003</v>
      </c>
      <c r="AK191" s="21">
        <v>-1.0389999999999999</v>
      </c>
      <c r="AL191" s="27">
        <f>AF191+(0.69-AF$2)</f>
        <v>0.41694606561151515</v>
      </c>
      <c r="AM191" s="27">
        <f>AG191+(0.69-AG$2)</f>
        <v>0.40816379972306516</v>
      </c>
      <c r="AN191" s="27">
        <f>AH191+(-0.8815-AH$2)</f>
        <v>-1.1606383062904095</v>
      </c>
      <c r="AO191" s="27">
        <f>AI191+(-0.8815-AI$2)</f>
        <v>-1.1503991093658366</v>
      </c>
      <c r="AP191" s="20">
        <f t="shared" si="11"/>
        <v>1.1446065611515122E-2</v>
      </c>
      <c r="AQ191" s="20">
        <f t="shared" si="12"/>
        <v>2.66379972306513E-3</v>
      </c>
      <c r="AR191" s="20">
        <f t="shared" si="13"/>
        <v>0.12163830629040961</v>
      </c>
      <c r="AS191" s="20">
        <f t="shared" si="14"/>
        <v>0.11139910936583663</v>
      </c>
    </row>
    <row r="192" spans="1:45" ht="15" customHeight="1" x14ac:dyDescent="0.2">
      <c r="A192" s="25" t="s">
        <v>105</v>
      </c>
      <c r="B192" s="19" t="s">
        <v>145</v>
      </c>
      <c r="C192" s="20">
        <f t="shared" si="10"/>
        <v>-0.42068146923305594</v>
      </c>
      <c r="D192" s="20">
        <v>-687.86167</v>
      </c>
      <c r="E192" s="20">
        <v>-687.93343000000004</v>
      </c>
      <c r="F192" s="20">
        <v>-689.06655000000001</v>
      </c>
      <c r="G192" s="20">
        <v>-688.00675334719995</v>
      </c>
      <c r="H192" s="20">
        <v>-688.07665605349996</v>
      </c>
      <c r="I192" s="20">
        <v>-689.23513449109998</v>
      </c>
      <c r="J192" s="20">
        <v>-688.47320053329997</v>
      </c>
      <c r="K192" s="20">
        <v>-688.48547758660004</v>
      </c>
      <c r="L192" s="20">
        <v>-688.49521903820005</v>
      </c>
      <c r="M192" s="20">
        <v>-688.52556530460004</v>
      </c>
      <c r="N192" s="20">
        <v>-688.61395778200006</v>
      </c>
      <c r="O192" s="20">
        <v>-689.68356593329997</v>
      </c>
      <c r="P192" s="20">
        <v>-689.6988472557</v>
      </c>
      <c r="Q192" s="20">
        <v>-688.73887590540005</v>
      </c>
      <c r="R192" s="20">
        <v>-688.80753608179998</v>
      </c>
      <c r="S192" s="20">
        <v>-689.96648438529996</v>
      </c>
      <c r="T192" s="20">
        <f>(S192-Q192)/2*27.211324570273</f>
        <v>-16.702426395888004</v>
      </c>
      <c r="U192" s="20">
        <f>(R192-Q192)*27.211324570273</f>
        <v>-1.8683343450707099</v>
      </c>
      <c r="V192" s="20">
        <f>(F192-I192-D192+G192)/2*27.211324570273</f>
        <v>0.3197486272182658</v>
      </c>
      <c r="W192" s="20">
        <f>(E192-H192-D192+G192)*27.211324570273</f>
        <v>-5.0539421693762986E-2</v>
      </c>
      <c r="X192" s="20">
        <f>(P192-O192-K192+J192)/2*27.211324570273</f>
        <v>-4.0875070787737167E-2</v>
      </c>
      <c r="Y192" s="20">
        <f>(N192-M192-L192+J192)*27.211324570273</f>
        <v>-1.8061237087144029</v>
      </c>
      <c r="Z192" s="21">
        <f>(F192+P192-O192-D192-K192+J192-2*C192)*27.211324570273</f>
        <v>-9.9735308898060833</v>
      </c>
      <c r="AA192" s="21">
        <f>(S192+F192-I192+P192-O192-Q192-D192+G192-K192+J192-2*C192)*27.211324570273</f>
        <v>-9.9525056789118569</v>
      </c>
      <c r="AB192" s="21">
        <f>(E192+N192-M192-D192-L192+J192)*27.211324570273</f>
        <v>-3.7588083598751947</v>
      </c>
      <c r="AC192" s="21">
        <f>(R192+E192-H192+N192-M192-Q192-D192+G192-L192+J192)*27.211324570273</f>
        <v>-3.7249974754788759</v>
      </c>
      <c r="AD192" s="20">
        <v>4.84</v>
      </c>
      <c r="AE192" s="20">
        <v>4.4400000000000004</v>
      </c>
      <c r="AF192" s="21">
        <f>-Z192/2-AE192</f>
        <v>0.54676544490304124</v>
      </c>
      <c r="AG192" s="21">
        <f>-AA192/2-AE192</f>
        <v>0.53625283945592805</v>
      </c>
      <c r="AH192" s="21">
        <f>-AB192-AD192</f>
        <v>-1.0811916401248052</v>
      </c>
      <c r="AI192" s="21">
        <f>-AC192-AD192</f>
        <v>-1.1150025245211239</v>
      </c>
      <c r="AJ192" s="22">
        <v>0.40550000000000003</v>
      </c>
      <c r="AK192" s="21">
        <v>-1.0389999999999999</v>
      </c>
      <c r="AL192" s="27">
        <f>AF192+(0.69-AF$3)</f>
        <v>0.38748360394026671</v>
      </c>
      <c r="AM192" s="27">
        <f>AG192+(0.69-AG$3)</f>
        <v>0.38757265299631838</v>
      </c>
      <c r="AN192" s="27">
        <f>AH192+(-0.8815-AH$3)</f>
        <v>-1.1527863969542738</v>
      </c>
      <c r="AO192" s="27">
        <f>AI192+(-0.8815-AI$3)</f>
        <v>-1.1526970676138699</v>
      </c>
      <c r="AP192" s="20">
        <f t="shared" si="11"/>
        <v>1.8016396059733319E-2</v>
      </c>
      <c r="AQ192" s="20">
        <f t="shared" si="12"/>
        <v>1.7927347003681648E-2</v>
      </c>
      <c r="AR192" s="20">
        <f t="shared" si="13"/>
        <v>0.11378639695427384</v>
      </c>
      <c r="AS192" s="20">
        <f t="shared" si="14"/>
        <v>0.11369706761387</v>
      </c>
    </row>
    <row r="193" spans="1:45" ht="15" customHeight="1" x14ac:dyDescent="0.2">
      <c r="A193" s="25" t="s">
        <v>105</v>
      </c>
      <c r="B193" s="19" t="s">
        <v>29</v>
      </c>
      <c r="C193" s="20">
        <f t="shared" si="10"/>
        <v>-0.42068146923305594</v>
      </c>
      <c r="D193" s="20">
        <v>-688.42949999999996</v>
      </c>
      <c r="E193" s="20">
        <v>-688.49805000000003</v>
      </c>
      <c r="F193" s="20">
        <v>-689.63933999999995</v>
      </c>
      <c r="G193" s="20">
        <v>-688.57415052149997</v>
      </c>
      <c r="H193" s="20">
        <v>-688.6413290895</v>
      </c>
      <c r="I193" s="20">
        <v>-689.80831248899995</v>
      </c>
      <c r="J193" s="20">
        <v>-688.47303819659999</v>
      </c>
      <c r="K193" s="20">
        <v>-688.48549364979999</v>
      </c>
      <c r="L193" s="20">
        <v>-688.49517794899998</v>
      </c>
      <c r="M193" s="20">
        <v>-688.52530982650001</v>
      </c>
      <c r="N193" s="20">
        <v>-688.6139662329</v>
      </c>
      <c r="O193" s="20">
        <v>-689.68344860859997</v>
      </c>
      <c r="P193" s="20">
        <v>-689.69887458000005</v>
      </c>
      <c r="Q193" s="20">
        <v>-689.28353405730002</v>
      </c>
      <c r="R193" s="20">
        <v>-689.34848794300001</v>
      </c>
      <c r="S193" s="20">
        <v>-690.51541038100004</v>
      </c>
      <c r="T193" s="20">
        <f>(S193-Q193)/2*27.211324570273</f>
        <v>-16.760493237317981</v>
      </c>
      <c r="U193" s="20">
        <f>(R193-Q193)*27.211324570273</f>
        <v>-1.76748126588291</v>
      </c>
      <c r="V193" s="20">
        <f>(F193-I193-D193+G193)/2*27.211324570273</f>
        <v>0.33091647591488044</v>
      </c>
      <c r="W193" s="20">
        <f>(E193-H193-D193+G193)*27.211324570273</f>
        <v>-3.7318481279194717E-2</v>
      </c>
      <c r="X193" s="20">
        <f>(P193-O193-K193+J193)/2*27.211324570273</f>
        <v>-4.0415867442038615E-2</v>
      </c>
      <c r="Y193" s="20">
        <f>(N193-M193-L193+J193)*27.211324570273</f>
        <v>-1.8100062613224741</v>
      </c>
      <c r="Z193" s="21">
        <f>(F193+P193-O193-D193-K193+J193-2*C193)*27.211324570273</f>
        <v>-10.107580652985865</v>
      </c>
      <c r="AA193" s="21">
        <f>(S193+F193-I193+P193-O193-Q193-D193+G193-K193+J193-2*C193)*27.211324570273</f>
        <v>-10.045385257693372</v>
      </c>
      <c r="AB193" s="21">
        <f>(E193+N193-M193-D193-L193+J193)*27.211324570273</f>
        <v>-3.6753425606166732</v>
      </c>
      <c r="AC193" s="21">
        <f>(R193+E193-H193+N193-M193-Q193-D193+G193-L193+J193)*27.211324570273</f>
        <v>-3.6148060084783915</v>
      </c>
      <c r="AD193" s="20">
        <v>4.84</v>
      </c>
      <c r="AE193" s="20">
        <v>4.4400000000000004</v>
      </c>
      <c r="AF193" s="21">
        <f>-Z193/2-AE193</f>
        <v>0.61379032649293208</v>
      </c>
      <c r="AG193" s="21">
        <f>-AA193/2-AE193</f>
        <v>0.5826926288466856</v>
      </c>
      <c r="AH193" s="21">
        <f>-AB193-AD193</f>
        <v>-1.1646574393833267</v>
      </c>
      <c r="AI193" s="21">
        <f>-AC193-AD193</f>
        <v>-1.2251939915216083</v>
      </c>
      <c r="AJ193" s="22">
        <v>0.40550000000000003</v>
      </c>
      <c r="AK193" s="21">
        <v>-1.0389999999999999</v>
      </c>
      <c r="AL193" s="21">
        <f>AF193+(0.69-AF$4)</f>
        <v>0.36946963496813323</v>
      </c>
      <c r="AM193" s="21">
        <f>AG193+(0.69-AG$4)</f>
        <v>0.35840638388213319</v>
      </c>
      <c r="AN193" s="21">
        <f>AH193+(-0.8815-AH$4)</f>
        <v>-1.2369814297794623</v>
      </c>
      <c r="AO193" s="21">
        <f>AI193+(-0.8815-AI$4)</f>
        <v>-1.2237814910726388</v>
      </c>
      <c r="AP193" s="20">
        <f t="shared" si="11"/>
        <v>3.6030365031866796E-2</v>
      </c>
      <c r="AQ193" s="20">
        <f t="shared" si="12"/>
        <v>4.7093616117866832E-2</v>
      </c>
      <c r="AR193" s="20">
        <f t="shared" si="13"/>
        <v>0.19798142977946243</v>
      </c>
      <c r="AS193" s="20">
        <f t="shared" si="14"/>
        <v>0.18478149107263886</v>
      </c>
    </row>
    <row r="194" spans="1:45" ht="15" customHeight="1" x14ac:dyDescent="0.2">
      <c r="A194" s="25" t="s">
        <v>105</v>
      </c>
      <c r="B194" s="19" t="s">
        <v>30</v>
      </c>
      <c r="C194" s="20">
        <f t="shared" ref="C194:C226" si="15">-11.4473/27.211324570273</f>
        <v>-0.42068146923305594</v>
      </c>
      <c r="D194" s="20">
        <v>-688.36671999999999</v>
      </c>
      <c r="E194" s="20">
        <v>-688.43515000000002</v>
      </c>
      <c r="F194" s="20">
        <v>-689.56695000000002</v>
      </c>
      <c r="G194" s="20">
        <v>-688.5110632377</v>
      </c>
      <c r="H194" s="20">
        <v>-688.57773610940001</v>
      </c>
      <c r="I194" s="20">
        <v>-689.73532566790004</v>
      </c>
      <c r="J194" s="20">
        <v>-688.47329384</v>
      </c>
      <c r="K194" s="20">
        <v>-688.48570030250005</v>
      </c>
      <c r="L194" s="20">
        <v>-688.49537308979995</v>
      </c>
      <c r="M194" s="20">
        <v>-688.52560379850001</v>
      </c>
      <c r="N194" s="20">
        <v>-688.61418353110002</v>
      </c>
      <c r="O194" s="20">
        <v>-689.6837698388</v>
      </c>
      <c r="P194" s="20">
        <v>-689.69909701860001</v>
      </c>
      <c r="Q194" s="20">
        <v>-689.23859159589995</v>
      </c>
      <c r="R194" s="20">
        <v>-689.30268156969998</v>
      </c>
      <c r="S194" s="20">
        <v>-690.46043470450002</v>
      </c>
      <c r="T194" s="20">
        <f>(S194-Q194)/2*27.211324570273</f>
        <v>-16.623984701033901</v>
      </c>
      <c r="U194" s="20">
        <f>(R194-Q194)*27.211324570273</f>
        <v>-1.7439730787731027</v>
      </c>
      <c r="V194" s="20">
        <f>(F194-I194-D194+G194)/2*27.211324570273</f>
        <v>0.32697712919243793</v>
      </c>
      <c r="W194" s="20">
        <f>(E194-H194-D194+G194)*27.211324570273</f>
        <v>-4.7813788483672411E-2</v>
      </c>
      <c r="X194" s="20">
        <f>(P194-O194-K194+J194)/2*27.211324570273</f>
        <v>-3.9738293213580009E-2</v>
      </c>
      <c r="Y194" s="20">
        <f>(N194-M194-L194+J194)*27.211324570273</f>
        <v>-1.8095662215520705</v>
      </c>
      <c r="Z194" s="21">
        <f>(F194+P194-O194-D194-K194+J194-2*C194)*27.211324570273</f>
        <v>-9.8447246754099194</v>
      </c>
      <c r="AA194" s="21">
        <f>(S194+F194-I194+P194-O194-Q194-D194+G194-K194+J194-2*C194)*27.211324570273</f>
        <v>-9.7788917301100877</v>
      </c>
      <c r="AB194" s="21">
        <f>(E194+N194-M194-D194-L194+J194)*27.211324570273</f>
        <v>-3.6716371618968</v>
      </c>
      <c r="AC194" s="21">
        <f>(R194+E194-H194+N194-M194-Q194-D194+G194-L194+J194)*27.211324570273</f>
        <v>-3.6013530888088456</v>
      </c>
      <c r="AD194" s="20">
        <v>4.84</v>
      </c>
      <c r="AE194" s="20">
        <v>4.4400000000000004</v>
      </c>
      <c r="AF194" s="21">
        <f>-Z194/2-AE194</f>
        <v>0.48236233770495929</v>
      </c>
      <c r="AG194" s="21">
        <f>-AA194/2-AE194</f>
        <v>0.44944586505504347</v>
      </c>
      <c r="AH194" s="21">
        <f>-AB194-AD194</f>
        <v>-1.1683628381031999</v>
      </c>
      <c r="AI194" s="21">
        <f>-AC194-AD194</f>
        <v>-1.2386469111911542</v>
      </c>
      <c r="AJ194" s="22">
        <v>0.40550000000000003</v>
      </c>
      <c r="AK194" s="21">
        <v>-1.0389999999999999</v>
      </c>
      <c r="AL194" s="21">
        <f>AF194+(0.69-AF$5)</f>
        <v>0.36655686675574595</v>
      </c>
      <c r="AM194" s="21">
        <f>AG194+(0.69-AG$5)</f>
        <v>0.3607894510019487</v>
      </c>
      <c r="AN194" s="21">
        <f>AH194+(-0.8815-AH$5)</f>
        <v>-1.2218132415360334</v>
      </c>
      <c r="AO194" s="21">
        <f>AI194+(-0.8815-AI$5)</f>
        <v>-1.2066972827091491</v>
      </c>
      <c r="AP194" s="20">
        <f t="shared" si="11"/>
        <v>3.894313324425408E-2</v>
      </c>
      <c r="AQ194" s="20">
        <f t="shared" si="12"/>
        <v>4.4710548998051325E-2</v>
      </c>
      <c r="AR194" s="20">
        <f t="shared" si="13"/>
        <v>0.18281324153603351</v>
      </c>
      <c r="AS194" s="20">
        <f t="shared" si="14"/>
        <v>0.16769728270914919</v>
      </c>
    </row>
    <row r="195" spans="1:45" ht="15" customHeight="1" x14ac:dyDescent="0.2">
      <c r="A195" s="25" t="s">
        <v>105</v>
      </c>
      <c r="B195" s="19" t="s">
        <v>31</v>
      </c>
      <c r="C195" s="20">
        <f t="shared" si="15"/>
        <v>-0.42068146923305594</v>
      </c>
      <c r="D195" s="20">
        <v>-688.42949999999996</v>
      </c>
      <c r="E195" s="20">
        <v>-688.49805000000003</v>
      </c>
      <c r="F195" s="20">
        <v>-689.63933999999995</v>
      </c>
      <c r="G195" s="20">
        <v>-688.57415052149997</v>
      </c>
      <c r="H195" s="20">
        <v>-688.6413290895</v>
      </c>
      <c r="I195" s="20">
        <v>-689.80831248899995</v>
      </c>
      <c r="J195" s="20">
        <v>-688.47303819659999</v>
      </c>
      <c r="K195" s="20">
        <v>-688.48549364979999</v>
      </c>
      <c r="L195" s="20">
        <v>-688.49517794899998</v>
      </c>
      <c r="M195" s="20">
        <v>-688.52530982650001</v>
      </c>
      <c r="N195" s="20">
        <v>-688.6139662329</v>
      </c>
      <c r="O195" s="20">
        <v>-689.68344860859997</v>
      </c>
      <c r="P195" s="20">
        <v>-689.69887458000005</v>
      </c>
      <c r="Q195" s="20">
        <v>-688.81315950689998</v>
      </c>
      <c r="R195" s="20">
        <v>-688.87685439840004</v>
      </c>
      <c r="S195" s="20">
        <v>-690.03727561990002</v>
      </c>
      <c r="T195" s="20">
        <f>(S195-Q195)/2*27.211324570273</f>
        <v>-16.654910431272487</v>
      </c>
      <c r="U195" s="20">
        <f>(R195-Q195)*27.211324570273</f>
        <v>-1.7332223660765378</v>
      </c>
      <c r="V195" s="20">
        <f>(F195-I195-D195+G195)/2*27.211324570273</f>
        <v>0.33091647591488044</v>
      </c>
      <c r="W195" s="20">
        <f>(E195-H195-D195+G195)*27.211324570273</f>
        <v>-3.7318481279194717E-2</v>
      </c>
      <c r="X195" s="20">
        <f>(P195-O195-K195+J195)/2*27.211324570273</f>
        <v>-4.0415867442038615E-2</v>
      </c>
      <c r="Y195" s="20">
        <f>(N195-M195-L195+J195)*27.211324570273</f>
        <v>-1.8100062613224741</v>
      </c>
      <c r="Z195" s="21">
        <f>(F195+P195-O195-D195-K195+J195-2*C195)*27.211324570273</f>
        <v>-10.107580652985865</v>
      </c>
      <c r="AA195" s="21">
        <f>(S195+F195-I195+P195-O195-Q195-D195+G195-K195+J195-2*C195)*27.211324570273</f>
        <v>-9.834219645599287</v>
      </c>
      <c r="AB195" s="21">
        <f>(E195+N195-M195-D195-L195+J195)*27.211324570273</f>
        <v>-3.6753425606166732</v>
      </c>
      <c r="AC195" s="21">
        <f>(R195+E195-H195+N195-M195-Q195-D195+G195-L195+J195)*27.211324570273</f>
        <v>-3.5805471086813001</v>
      </c>
      <c r="AD195" s="20">
        <v>4.84</v>
      </c>
      <c r="AE195" s="20">
        <v>4.4400000000000004</v>
      </c>
      <c r="AF195" s="21">
        <f>-Z195/2-AE195</f>
        <v>0.61379032649293208</v>
      </c>
      <c r="AG195" s="21">
        <f>-AA195/2-AE195</f>
        <v>0.47710982279964309</v>
      </c>
      <c r="AH195" s="21">
        <f>-AB195-AD195</f>
        <v>-1.1646574393833267</v>
      </c>
      <c r="AI195" s="21">
        <f>-AC195-AD195</f>
        <v>-1.2594528913186998</v>
      </c>
      <c r="AJ195" s="22">
        <v>0.40550000000000003</v>
      </c>
      <c r="AK195" s="21">
        <v>-1.0389999999999999</v>
      </c>
      <c r="AL195" s="21">
        <f>AF195+(0.69-AF$6)</f>
        <v>0.36946963496813323</v>
      </c>
      <c r="AM195" s="21">
        <f>AG195+(0.69-AG$6)</f>
        <v>0.36072276148932803</v>
      </c>
      <c r="AN195" s="21">
        <f>AH195+(-0.8815-AH$6)</f>
        <v>-1.2369814297794623</v>
      </c>
      <c r="AO195" s="21">
        <f>AI195+(-0.8815-AI$6)</f>
        <v>-1.2078303785860984</v>
      </c>
      <c r="AP195" s="20">
        <f t="shared" ref="AP195:AP226" si="16">ABS(AL195-AJ195)</f>
        <v>3.6030365031866796E-2</v>
      </c>
      <c r="AQ195" s="20">
        <f t="shared" ref="AQ195:AQ226" si="17">ABS(AM195-AJ195)</f>
        <v>4.4777238510672002E-2</v>
      </c>
      <c r="AR195" s="20">
        <f t="shared" ref="AR195:AR226" si="18">ABS(AN195-AK195)</f>
        <v>0.19798142977946243</v>
      </c>
      <c r="AS195" s="20">
        <f t="shared" ref="AS195:AS226" si="19">ABS(AO195-AK195)</f>
        <v>0.16883037858609851</v>
      </c>
    </row>
    <row r="196" spans="1:45" ht="15" customHeight="1" x14ac:dyDescent="0.2">
      <c r="A196" s="25" t="s">
        <v>105</v>
      </c>
      <c r="B196" s="19" t="s">
        <v>32</v>
      </c>
      <c r="C196" s="20">
        <f t="shared" si="15"/>
        <v>-0.42068146923305594</v>
      </c>
      <c r="D196" s="20">
        <v>-688.36671999999999</v>
      </c>
      <c r="E196" s="20">
        <v>-688.43515000000002</v>
      </c>
      <c r="F196" s="20">
        <v>-689.56695000000002</v>
      </c>
      <c r="G196" s="20">
        <v>-688.5110632377</v>
      </c>
      <c r="H196" s="20">
        <v>-688.57773610940001</v>
      </c>
      <c r="I196" s="20">
        <v>-689.73532566790004</v>
      </c>
      <c r="J196" s="20">
        <v>-688.47329384</v>
      </c>
      <c r="K196" s="20">
        <v>-688.48570030250005</v>
      </c>
      <c r="L196" s="20">
        <v>-688.49537308979995</v>
      </c>
      <c r="M196" s="20">
        <v>-688.52560379850001</v>
      </c>
      <c r="N196" s="20">
        <v>-688.61418353110002</v>
      </c>
      <c r="O196" s="20">
        <v>-689.6837698388</v>
      </c>
      <c r="P196" s="20">
        <v>-689.69909701860001</v>
      </c>
      <c r="Q196" s="20">
        <v>-688.78769936909998</v>
      </c>
      <c r="R196" s="20">
        <v>-688.85061646279996</v>
      </c>
      <c r="S196" s="20">
        <v>-690.00162061169999</v>
      </c>
      <c r="T196" s="20">
        <f>(S196-Q196)/2*27.211324570273</f>
        <v>-16.516202467568974</v>
      </c>
      <c r="U196" s="20">
        <f>(R196-Q196)*27.211324570273</f>
        <v>-1.7120574576884313</v>
      </c>
      <c r="V196" s="20">
        <f>(F196-I196-D196+G196)/2*27.211324570273</f>
        <v>0.32697712919243793</v>
      </c>
      <c r="W196" s="20">
        <f>(E196-H196-D196+G196)*27.211324570273</f>
        <v>-4.7813788483672411E-2</v>
      </c>
      <c r="X196" s="20">
        <f>(P196-O196-K196+J196)/2*27.211324570273</f>
        <v>-3.9738293213580009E-2</v>
      </c>
      <c r="Y196" s="20">
        <f>(N196-M196-L196+J196)*27.211324570273</f>
        <v>-1.8095662215520705</v>
      </c>
      <c r="Z196" s="21">
        <f>(F196+P196-O196-D196-K196+J196-2*C196)*27.211324570273</f>
        <v>-9.8447246754099194</v>
      </c>
      <c r="AA196" s="21">
        <f>(S196+F196-I196+P196-O196-Q196-D196+G196-K196+J196-2*C196)*27.211324570273</f>
        <v>-9.5633272631833215</v>
      </c>
      <c r="AB196" s="21">
        <f>(E196+N196-M196-D196-L196+J196)*27.211324570273</f>
        <v>-3.6716371618968</v>
      </c>
      <c r="AC196" s="21">
        <f>(R196+E196-H196+N196-M196-Q196-D196+G196-L196+J196)*27.211324570273</f>
        <v>-3.5694374677210803</v>
      </c>
      <c r="AD196" s="20">
        <v>4.84</v>
      </c>
      <c r="AE196" s="20">
        <v>4.4400000000000004</v>
      </c>
      <c r="AF196" s="21">
        <f>-Z196/2-AE196</f>
        <v>0.48236233770495929</v>
      </c>
      <c r="AG196" s="21">
        <f>-AA196/2-AE196</f>
        <v>0.34166363159166036</v>
      </c>
      <c r="AH196" s="21">
        <f>-AB196-AD196</f>
        <v>-1.1683628381031999</v>
      </c>
      <c r="AI196" s="21">
        <f>-AC196-AD196</f>
        <v>-1.2705625322789196</v>
      </c>
      <c r="AJ196" s="22">
        <v>0.40550000000000003</v>
      </c>
      <c r="AK196" s="21">
        <v>-1.0389999999999999</v>
      </c>
      <c r="AL196" s="21">
        <f>AF196+(0.69-AF$7)</f>
        <v>0.36655686675574595</v>
      </c>
      <c r="AM196" s="21">
        <f>AG196+(0.69-AG$7)</f>
        <v>0.36224229083270343</v>
      </c>
      <c r="AN196" s="21">
        <f>AH196+(-0.8815-AH$7)</f>
        <v>-1.2218132415360334</v>
      </c>
      <c r="AO196" s="21">
        <f>AI196+(-0.8815-AI$7)</f>
        <v>-1.1910590895882143</v>
      </c>
      <c r="AP196" s="20">
        <f t="shared" si="16"/>
        <v>3.894313324425408E-2</v>
      </c>
      <c r="AQ196" s="20">
        <f t="shared" si="17"/>
        <v>4.3257709167296599E-2</v>
      </c>
      <c r="AR196" s="20">
        <f t="shared" si="18"/>
        <v>0.18281324153603351</v>
      </c>
      <c r="AS196" s="20">
        <f t="shared" si="19"/>
        <v>0.15205908958821435</v>
      </c>
    </row>
    <row r="197" spans="1:45" ht="15" customHeight="1" x14ac:dyDescent="0.2">
      <c r="A197" s="25" t="s">
        <v>105</v>
      </c>
      <c r="B197" s="19" t="s">
        <v>33</v>
      </c>
      <c r="C197" s="20">
        <f t="shared" si="15"/>
        <v>-0.42068146923305594</v>
      </c>
      <c r="D197" s="20">
        <v>-688.64743999999996</v>
      </c>
      <c r="E197" s="20">
        <v>-688.70460000000003</v>
      </c>
      <c r="F197" s="20">
        <v>-689.83618000000001</v>
      </c>
      <c r="G197" s="20">
        <v>-688.78913284170005</v>
      </c>
      <c r="H197" s="20">
        <v>-688.84433162129994</v>
      </c>
      <c r="I197" s="20">
        <v>-690.00283196099997</v>
      </c>
      <c r="J197" s="20">
        <v>-688.4729413343</v>
      </c>
      <c r="K197" s="20">
        <v>-688.48525044660005</v>
      </c>
      <c r="L197" s="20">
        <v>-688.49486586340004</v>
      </c>
      <c r="M197" s="20">
        <v>-688.52520328759999</v>
      </c>
      <c r="N197" s="20">
        <v>-688.61365963460003</v>
      </c>
      <c r="O197" s="20">
        <v>-689.68348882570001</v>
      </c>
      <c r="P197" s="20">
        <v>-689.69858408499999</v>
      </c>
      <c r="Q197" s="20">
        <v>-688.78849855220005</v>
      </c>
      <c r="R197" s="20">
        <v>-688.8513296886</v>
      </c>
      <c r="S197" s="20">
        <v>-690.00249058930001</v>
      </c>
      <c r="T197" s="20">
        <f>(S197-Q197)/2*27.211324570273</f>
        <v>-16.517165673626906</v>
      </c>
      <c r="U197" s="20">
        <f>(R197-Q197)*27.211324570273</f>
        <v>-1.709718445698136</v>
      </c>
      <c r="V197" s="20">
        <f>(F197-I197-D197+G197)/2*27.211324570273</f>
        <v>0.33958534812839647</v>
      </c>
      <c r="W197" s="20">
        <f>(E197-H197-D197+G197)*27.211324570273</f>
        <v>-5.3367404863029537E-2</v>
      </c>
      <c r="X197" s="20">
        <f>(P197-O197-K197+J197)/2*27.211324570273</f>
        <v>-3.7907375157902039E-2</v>
      </c>
      <c r="Y197" s="20">
        <f>(N197-M197-L197+J197)*27.211324570273</f>
        <v>-1.8104188911271888</v>
      </c>
      <c r="Z197" s="21">
        <f>(F197+P197-O197-D197-K197+J197-2*C197)*27.211324570273</f>
        <v>-9.5284047199835591</v>
      </c>
      <c r="AA197" s="21">
        <f>(S197+F197-I197+P197-O197-Q197-D197+G197-K197+J197-2*C197)*27.211324570273</f>
        <v>-9.536375401312819</v>
      </c>
      <c r="AB197" s="21">
        <f>(E197+N197-M197-D197-L197+J197)*27.211324570273</f>
        <v>-3.3658182035658206</v>
      </c>
      <c r="AC197" s="21">
        <f>(R197+E197-H197+N197-M197-Q197-D197+G197-L197+J197)*27.211324570273</f>
        <v>-3.5735047416852606</v>
      </c>
      <c r="AD197" s="20">
        <v>4.84</v>
      </c>
      <c r="AE197" s="20">
        <v>4.4400000000000004</v>
      </c>
      <c r="AF197" s="21">
        <f>-Z197/2-AE197</f>
        <v>0.32420235999177915</v>
      </c>
      <c r="AG197" s="21">
        <f>-AA197/2-AE197</f>
        <v>0.32818770065640912</v>
      </c>
      <c r="AH197" s="21">
        <f>-AB197-AD197</f>
        <v>-1.4741817964341792</v>
      </c>
      <c r="AI197" s="21">
        <f>-AC197-AD197</f>
        <v>-1.2664952583147393</v>
      </c>
      <c r="AJ197" s="22">
        <v>0.40550000000000003</v>
      </c>
      <c r="AK197" s="21">
        <v>-1.0389999999999999</v>
      </c>
      <c r="AL197" s="21">
        <f>AF197+(0.69-AF$8)</f>
        <v>0.34476433733130696</v>
      </c>
      <c r="AM197" s="21">
        <f>AG197+(0.69-AG$8)</f>
        <v>0.34655728334568403</v>
      </c>
      <c r="AN197" s="21">
        <f>AH197+(-0.8815-AH$8)</f>
        <v>-0.96850792731213753</v>
      </c>
      <c r="AO197" s="21">
        <f>AI197+(-0.8815-AI$8)</f>
        <v>-1.2290785264236295</v>
      </c>
      <c r="AP197" s="20">
        <f t="shared" si="16"/>
        <v>6.0735662668693069E-2</v>
      </c>
      <c r="AQ197" s="20">
        <f t="shared" si="17"/>
        <v>5.8942716654315996E-2</v>
      </c>
      <c r="AR197" s="20">
        <f t="shared" si="18"/>
        <v>7.0492072687862395E-2</v>
      </c>
      <c r="AS197" s="20">
        <f t="shared" si="19"/>
        <v>0.19007852642362955</v>
      </c>
    </row>
    <row r="198" spans="1:45" ht="15" customHeight="1" x14ac:dyDescent="0.2">
      <c r="A198" s="25" t="s">
        <v>105</v>
      </c>
      <c r="B198" s="19" t="s">
        <v>174</v>
      </c>
      <c r="C198" s="20">
        <f t="shared" si="15"/>
        <v>-0.42068146923305594</v>
      </c>
      <c r="D198" s="20">
        <v>-688.64583000000005</v>
      </c>
      <c r="E198" s="20">
        <v>-688.71082999999999</v>
      </c>
      <c r="F198" s="20">
        <v>-689.83618000000001</v>
      </c>
      <c r="G198" s="20">
        <v>-688.78873062729997</v>
      </c>
      <c r="H198" s="20">
        <v>-688.85149019749997</v>
      </c>
      <c r="I198" s="20">
        <v>-690.00295678450004</v>
      </c>
      <c r="J198" s="20">
        <v>-688.47279314859998</v>
      </c>
      <c r="K198" s="20">
        <v>-688.48508852350005</v>
      </c>
      <c r="L198" s="20">
        <v>-688.4947306752</v>
      </c>
      <c r="M198" s="20">
        <v>-688.52531212120005</v>
      </c>
      <c r="N198" s="20">
        <v>-688.61371459789996</v>
      </c>
      <c r="O198" s="20">
        <v>-689.68348977699998</v>
      </c>
      <c r="P198" s="20">
        <v>-689.69859115919996</v>
      </c>
      <c r="Q198" s="20">
        <v>-688.78848878409997</v>
      </c>
      <c r="R198" s="20">
        <v>-688.85136891469995</v>
      </c>
      <c r="S198" s="20">
        <v>-690.0024908355</v>
      </c>
      <c r="T198" s="20">
        <f>(S198-Q198)/2*27.211324570273</f>
        <v>-16.517301924811729</v>
      </c>
      <c r="U198" s="20">
        <f>(R198-Q198)*27.211324570273</f>
        <v>-1.7110516427771743</v>
      </c>
      <c r="V198" s="20">
        <f>(F198-I198-D198+G198)/2*27.211324570273</f>
        <v>0.32485093153148226</v>
      </c>
      <c r="W198" s="20">
        <f>(E198-H198-D198+G198)*27.211324570273</f>
        <v>-6.0965062463081927E-2</v>
      </c>
      <c r="X198" s="20">
        <f>(P198-O198-K198+J198)/2*27.211324570273</f>
        <v>-3.8177587692198457E-2</v>
      </c>
      <c r="Y198" s="20">
        <f>(N198-M198-L198+J198)*27.211324570273</f>
        <v>-1.8085993297149654</v>
      </c>
      <c r="Z198" s="21">
        <f>(F198+P198-O198-D198-K198+J198-2*C198)*27.211324570273</f>
        <v>-9.5727553776048619</v>
      </c>
      <c r="AA198" s="21">
        <f>(S198+F198-I198+P198-O198-Q198-D198+G198-K198+J198-2*C198)*27.211324570273</f>
        <v>-9.5666571619479814</v>
      </c>
      <c r="AB198" s="21">
        <f>(E198+N198-M198-D198-L198+J198)*27.211324570273</f>
        <v>-3.5773354267841952</v>
      </c>
      <c r="AC198" s="21">
        <f>(R198+E198-H198+N198-M198-Q198-D198+G198-L198+J198)*27.211324570273</f>
        <v>-3.5806160349552214</v>
      </c>
      <c r="AD198" s="20">
        <v>4.84</v>
      </c>
      <c r="AE198" s="20">
        <v>4.4400000000000004</v>
      </c>
      <c r="AF198" s="21">
        <f>-Z198/2-AE198</f>
        <v>0.34637768880243058</v>
      </c>
      <c r="AG198" s="21">
        <f>-AA198/2-AE198</f>
        <v>0.34332858097399033</v>
      </c>
      <c r="AH198" s="21">
        <f>-AB198-AD198</f>
        <v>-1.2626645732158046</v>
      </c>
      <c r="AI198" s="21">
        <f>-AC198-AD198</f>
        <v>-1.2593839650447785</v>
      </c>
      <c r="AJ198" s="22">
        <v>0.40550000000000003</v>
      </c>
      <c r="AK198" s="21">
        <v>-1.0389999999999999</v>
      </c>
      <c r="AL198" s="21">
        <f>AF198+(0.69-AF$9)</f>
        <v>0.36195039359240022</v>
      </c>
      <c r="AM198" s="21">
        <f>AG198+(0.69-AG$9)</f>
        <v>0.36095572172136192</v>
      </c>
      <c r="AN198" s="21">
        <f>AH198+(-0.8815-AH$9)</f>
        <v>-1.1365614596404594</v>
      </c>
      <c r="AO198" s="21">
        <f>AI198+(-0.8815-AI$9)</f>
        <v>-1.1814681208252571</v>
      </c>
      <c r="AP198" s="20">
        <f t="shared" si="16"/>
        <v>4.3549606407599806E-2</v>
      </c>
      <c r="AQ198" s="20">
        <f t="shared" si="17"/>
        <v>4.4544278278638105E-2</v>
      </c>
      <c r="AR198" s="20">
        <f t="shared" si="18"/>
        <v>9.756145964045948E-2</v>
      </c>
      <c r="AS198" s="20">
        <f t="shared" si="19"/>
        <v>0.14246812082525717</v>
      </c>
    </row>
    <row r="199" spans="1:45" ht="15" customHeight="1" x14ac:dyDescent="0.2">
      <c r="A199" s="25" t="s">
        <v>105</v>
      </c>
      <c r="B199" s="19" t="s">
        <v>43</v>
      </c>
      <c r="C199" s="20">
        <f t="shared" si="15"/>
        <v>-0.42068146923305594</v>
      </c>
      <c r="D199" s="20">
        <v>-688.36671999999999</v>
      </c>
      <c r="E199" s="20">
        <v>-688.43515000000002</v>
      </c>
      <c r="F199" s="20">
        <v>-689.56695000000002</v>
      </c>
      <c r="G199" s="20">
        <v>-688.5110632377</v>
      </c>
      <c r="H199" s="20">
        <v>-688.57773610940001</v>
      </c>
      <c r="I199" s="20">
        <v>-689.73532566790004</v>
      </c>
      <c r="J199" s="20">
        <v>-688.47329384</v>
      </c>
      <c r="K199" s="20">
        <v>-688.48570030250005</v>
      </c>
      <c r="L199" s="20">
        <v>-688.49537308979995</v>
      </c>
      <c r="M199" s="20">
        <v>-688.52560379850001</v>
      </c>
      <c r="N199" s="20">
        <v>-688.61418353110002</v>
      </c>
      <c r="O199" s="20">
        <v>-689.6837698388</v>
      </c>
      <c r="P199" s="20">
        <v>-689.69909701860001</v>
      </c>
      <c r="Q199" s="20">
        <v>-687.79472889361102</v>
      </c>
      <c r="R199" s="20">
        <v>-687.85743658842398</v>
      </c>
      <c r="S199" s="20">
        <v>-689.02258384807101</v>
      </c>
      <c r="T199" s="20">
        <f>(S199-Q199)/2*27.211324570273</f>
        <v>-16.705779845514218</v>
      </c>
      <c r="U199" s="20">
        <f>(R199-Q199)*27.211324570273</f>
        <v>-1.706359436608998</v>
      </c>
      <c r="V199" s="20">
        <f>(F199-I199-D199+G199)/2*27.211324570273</f>
        <v>0.32697712919243793</v>
      </c>
      <c r="W199" s="20">
        <f>(E199-H199-D199+G199)*27.211324570273</f>
        <v>-4.7813788483672411E-2</v>
      </c>
      <c r="X199" s="20">
        <f>(P199-O199-K199+J199)/2*27.211324570273</f>
        <v>-3.9738293213580009E-2</v>
      </c>
      <c r="Y199" s="20">
        <f>(N199-M199-L199+J199)*27.211324570273</f>
        <v>-1.8095662215520705</v>
      </c>
      <c r="Z199" s="21">
        <f>(F199+P199-O199-D199-K199+J199-2*C199)*27.211324570273</f>
        <v>-9.8447246754099194</v>
      </c>
      <c r="AA199" s="21">
        <f>(S199+F199-I199+P199-O199-Q199-D199+G199-K199+J199-2*C199)*27.211324570273</f>
        <v>-9.9424820190676293</v>
      </c>
      <c r="AB199" s="21">
        <f>(E199+N199-M199-D199-L199+J199)*27.211324570273</f>
        <v>-3.6716371618968</v>
      </c>
      <c r="AC199" s="21">
        <f>(R199+E199-H199+N199-M199-Q199-D199+G199-L199+J199)*27.211324570273</f>
        <v>-3.5637394466416472</v>
      </c>
      <c r="AD199" s="20">
        <v>4.84</v>
      </c>
      <c r="AE199" s="20">
        <v>4.4400000000000004</v>
      </c>
      <c r="AF199" s="21">
        <f>-Z199/2-AE199</f>
        <v>0.48236233770495929</v>
      </c>
      <c r="AG199" s="21">
        <f>-AA199/2-AE199</f>
        <v>0.53124100953381426</v>
      </c>
      <c r="AH199" s="21">
        <f>-AB199-AD199</f>
        <v>-1.1683628381031999</v>
      </c>
      <c r="AI199" s="21">
        <f>-AC199-AD199</f>
        <v>-1.2762605533583526</v>
      </c>
      <c r="AJ199" s="22">
        <v>0.40550000000000003</v>
      </c>
      <c r="AK199" s="21">
        <v>-1.0389999999999999</v>
      </c>
      <c r="AL199" s="21">
        <f>AF199+(0.69-AF$10)</f>
        <v>0.36655686675574595</v>
      </c>
      <c r="AM199" s="21">
        <f>AG199+(0.69-AG$10)</f>
        <v>0.42457864254174593</v>
      </c>
      <c r="AN199" s="21">
        <f>AH199+(-0.8815-AH$10)</f>
        <v>-1.2218132415360334</v>
      </c>
      <c r="AO199" s="21">
        <f>AI199+(-0.8815-AI$10)</f>
        <v>-1.0937424417309782</v>
      </c>
      <c r="AP199" s="20">
        <f t="shared" si="16"/>
        <v>3.894313324425408E-2</v>
      </c>
      <c r="AQ199" s="20">
        <f t="shared" si="17"/>
        <v>1.9078642541745905E-2</v>
      </c>
      <c r="AR199" s="20">
        <f t="shared" si="18"/>
        <v>0.18281324153603351</v>
      </c>
      <c r="AS199" s="20">
        <f t="shared" si="19"/>
        <v>5.4742441730978308E-2</v>
      </c>
    </row>
    <row r="200" spans="1:45" x14ac:dyDescent="0.2">
      <c r="A200" s="26" t="s">
        <v>141</v>
      </c>
      <c r="B200" s="19" t="s">
        <v>27</v>
      </c>
      <c r="C200" s="20">
        <f t="shared" si="15"/>
        <v>-0.42068146923305594</v>
      </c>
      <c r="D200" s="20">
        <v>-534.68483000000003</v>
      </c>
      <c r="E200" s="20">
        <v>-534.7627</v>
      </c>
      <c r="F200" s="20">
        <v>-535.90246000000002</v>
      </c>
      <c r="G200" s="20">
        <v>-534.78395161380001</v>
      </c>
      <c r="H200" s="20">
        <v>-534.85939298840003</v>
      </c>
      <c r="I200" s="20">
        <v>-536.02603219720004</v>
      </c>
      <c r="J200" s="20">
        <v>-534.87771756990003</v>
      </c>
      <c r="K200" s="20">
        <v>-534.89025070030004</v>
      </c>
      <c r="L200" s="20">
        <v>-534.89708447769999</v>
      </c>
      <c r="M200" s="20">
        <v>-534.93225098769994</v>
      </c>
      <c r="N200" s="20">
        <v>-535.01977990449996</v>
      </c>
      <c r="O200" s="20">
        <v>-536.09944786129995</v>
      </c>
      <c r="P200" s="20">
        <v>-536.11452315680003</v>
      </c>
      <c r="Q200" s="20">
        <v>-535.34805826449997</v>
      </c>
      <c r="R200" s="20">
        <v>-535.42122245719997</v>
      </c>
      <c r="S200" s="20">
        <v>-536.5876703143</v>
      </c>
      <c r="T200" s="20">
        <f>(S200-Q200)/2*27.211324570273</f>
        <v>-16.865742914165018</v>
      </c>
      <c r="U200" s="20">
        <f>(R200-Q200)*27.211324570273</f>
        <v>-1.9908945944818486</v>
      </c>
      <c r="V200" s="20">
        <f>(F200-I200-D200+G200)/2*27.211324570273</f>
        <v>0.33266638041549856</v>
      </c>
      <c r="W200" s="20">
        <f>(E200-H200-D200+G200)*27.211324570273</f>
        <v>-6.6086114017471234E-2</v>
      </c>
      <c r="X200" s="20">
        <f>(P200-O200-K200+J200)/2*27.211324570273</f>
        <v>-3.4587839824571774E-2</v>
      </c>
      <c r="Y200" s="20">
        <f>(N200-M200-L200+J200)*27.211324570273</f>
        <v>-1.8547785502621721</v>
      </c>
      <c r="Z200" s="21">
        <f>(F200+P200-O200-D200-K200+J200-2*C200)*27.211324570273</f>
        <v>-10.307900816150264</v>
      </c>
      <c r="AA200" s="21">
        <f>(S200+F200-I200+P200-O200-Q200-D200+G200-K200+J200-2*C200)*27.211324570273</f>
        <v>-10.240728747151275</v>
      </c>
      <c r="AB200" s="21">
        <f>(E200+N200-M200-D200-L200+J200)*27.211324570273</f>
        <v>-3.9737243945482881</v>
      </c>
      <c r="AC200" s="21">
        <f>(R200+E200-H200+N200-M200-Q200-D200+G200-L200+J200)*27.211324570273</f>
        <v>-3.9117592587614918</v>
      </c>
      <c r="AD200" s="20">
        <v>4.84</v>
      </c>
      <c r="AE200" s="20">
        <v>4.4400000000000004</v>
      </c>
      <c r="AF200" s="21">
        <f>-Z200/2-AE200</f>
        <v>0.71395040807513155</v>
      </c>
      <c r="AG200" s="21">
        <f>-AA200/2-AE200</f>
        <v>0.68036437357563706</v>
      </c>
      <c r="AH200" s="21">
        <f>-AB200-AD200</f>
        <v>-0.86627560545171178</v>
      </c>
      <c r="AI200" s="21">
        <f>-AC200-AD200</f>
        <v>-0.92824074123850808</v>
      </c>
      <c r="AJ200" s="22">
        <v>0.52200000000000002</v>
      </c>
      <c r="AK200" s="21">
        <v>-0.96199999999999997</v>
      </c>
      <c r="AL200" s="27">
        <f>AF200+(0.69-AF$2)</f>
        <v>0.53114389810107232</v>
      </c>
      <c r="AM200" s="27">
        <f>AG200+(0.69-AG$2)</f>
        <v>0.52309439781270095</v>
      </c>
      <c r="AN200" s="27">
        <f>AH200+(-0.8815-AH$2)</f>
        <v>-1.0407965525626386</v>
      </c>
      <c r="AO200" s="27">
        <f>AI200+(-0.8815-AI$2)</f>
        <v>-1.0341023735186385</v>
      </c>
      <c r="AP200" s="20">
        <f t="shared" si="16"/>
        <v>9.1438981010723008E-3</v>
      </c>
      <c r="AQ200" s="20">
        <f t="shared" si="17"/>
        <v>1.0943978127009313E-3</v>
      </c>
      <c r="AR200" s="20">
        <f t="shared" si="18"/>
        <v>7.8796552562638622E-2</v>
      </c>
      <c r="AS200" s="20">
        <f t="shared" si="19"/>
        <v>7.2102373518638574E-2</v>
      </c>
    </row>
    <row r="201" spans="1:45" ht="15" customHeight="1" x14ac:dyDescent="0.2">
      <c r="A201" s="26" t="s">
        <v>141</v>
      </c>
      <c r="B201" s="19" t="s">
        <v>145</v>
      </c>
      <c r="C201" s="20">
        <f t="shared" si="15"/>
        <v>-0.42068146923305594</v>
      </c>
      <c r="D201" s="20">
        <v>-534.41641000000004</v>
      </c>
      <c r="E201" s="20">
        <v>-534.49086999999997</v>
      </c>
      <c r="F201" s="20">
        <v>-535.63104999999996</v>
      </c>
      <c r="G201" s="20">
        <v>-534.51605827009996</v>
      </c>
      <c r="H201" s="20">
        <v>-534.58859278130001</v>
      </c>
      <c r="I201" s="20">
        <v>-535.7553632396</v>
      </c>
      <c r="J201" s="20">
        <v>-534.87801375610002</v>
      </c>
      <c r="K201" s="20">
        <v>-534.89003554270005</v>
      </c>
      <c r="L201" s="20">
        <v>-534.89707263460002</v>
      </c>
      <c r="M201" s="20">
        <v>-534.932538314</v>
      </c>
      <c r="N201" s="20">
        <v>-535.01987667310004</v>
      </c>
      <c r="O201" s="20">
        <v>-536.09971949830003</v>
      </c>
      <c r="P201" s="20">
        <v>-536.11457507470004</v>
      </c>
      <c r="Q201" s="20">
        <v>-535.08997319749994</v>
      </c>
      <c r="R201" s="20">
        <v>-535.16113044890005</v>
      </c>
      <c r="S201" s="20">
        <v>-536.32815916000004</v>
      </c>
      <c r="T201" s="20">
        <f>(S201-Q201)/2*27.211324570273</f>
        <v>-16.846340051973009</v>
      </c>
      <c r="U201" s="20">
        <f>(R201-Q201)*27.211324570273</f>
        <v>-1.9362830633768813</v>
      </c>
      <c r="V201" s="20">
        <f>(F201-I201-D201+G201)/2*27.211324570273</f>
        <v>0.33558324529185773</v>
      </c>
      <c r="W201" s="20">
        <f>(E201-H201-D201+G201)*27.211324570273</f>
        <v>-5.2395100690071097E-2</v>
      </c>
      <c r="X201" s="20">
        <f>(P201-O201-K201+J201)/2*27.211324570273</f>
        <v>-3.8555587005579581E-2</v>
      </c>
      <c r="Y201" s="20">
        <f>(N201-M201-L201+J201)*27.211324570273</f>
        <v>-1.8579751080973521</v>
      </c>
      <c r="Z201" s="21">
        <f>(F201+P201-O201-D201-K201+J201-2*C201)*27.211324570273</f>
        <v>-10.234474450045312</v>
      </c>
      <c r="AA201" s="21">
        <f>(S201+F201-I201+P201-O201-Q201-D201+G201-K201+J201-2*C201)*27.211324570273</f>
        <v>-10.204024787373458</v>
      </c>
      <c r="AB201" s="21">
        <f>(E201+N201-M201-D201-L201+J201)*27.211324570273</f>
        <v>-3.8841303356010934</v>
      </c>
      <c r="AC201" s="21">
        <f>(R201+E201-H201+N201-M201-Q201-D201+G201-L201+J201)*27.211324570273</f>
        <v>-3.8466532721673983</v>
      </c>
      <c r="AD201" s="20">
        <v>4.84</v>
      </c>
      <c r="AE201" s="20">
        <v>4.4400000000000004</v>
      </c>
      <c r="AF201" s="21">
        <f>-Z201/2-AE201</f>
        <v>0.67723722502265549</v>
      </c>
      <c r="AG201" s="21">
        <f>-AA201/2-AE201</f>
        <v>0.66201239368672837</v>
      </c>
      <c r="AH201" s="21">
        <f>-AB201-AD201</f>
        <v>-0.95586966439890642</v>
      </c>
      <c r="AI201" s="21">
        <f>-AC201-AD201</f>
        <v>-0.99334672783260158</v>
      </c>
      <c r="AJ201" s="22">
        <v>0.52200000000000002</v>
      </c>
      <c r="AK201" s="21">
        <v>-0.96199999999999997</v>
      </c>
      <c r="AL201" s="27">
        <f>AF201+(0.69-AF$3)</f>
        <v>0.51795538405988095</v>
      </c>
      <c r="AM201" s="27">
        <f>AG201+(0.69-AG$3)</f>
        <v>0.5133322072271187</v>
      </c>
      <c r="AN201" s="27">
        <f>AH201+(-0.8815-AH$3)</f>
        <v>-1.027464421228375</v>
      </c>
      <c r="AO201" s="27">
        <f>AI201+(-0.8815-AI$3)</f>
        <v>-1.0310412709253476</v>
      </c>
      <c r="AP201" s="20">
        <f t="shared" si="16"/>
        <v>4.0446159401190673E-3</v>
      </c>
      <c r="AQ201" s="20">
        <f t="shared" si="17"/>
        <v>8.667792772881322E-3</v>
      </c>
      <c r="AR201" s="20">
        <f t="shared" si="18"/>
        <v>6.5464421228375036E-2</v>
      </c>
      <c r="AS201" s="20">
        <f t="shared" si="19"/>
        <v>6.904127092534762E-2</v>
      </c>
    </row>
    <row r="202" spans="1:45" ht="15" customHeight="1" x14ac:dyDescent="0.2">
      <c r="A202" s="26" t="s">
        <v>141</v>
      </c>
      <c r="B202" s="19" t="s">
        <v>29</v>
      </c>
      <c r="C202" s="20">
        <f t="shared" si="15"/>
        <v>-0.42068146923305594</v>
      </c>
      <c r="D202" s="20">
        <v>-534.84545000000003</v>
      </c>
      <c r="E202" s="20">
        <v>-534.91809999999998</v>
      </c>
      <c r="F202" s="20">
        <v>-536.06575999999995</v>
      </c>
      <c r="G202" s="20">
        <v>-534.94550596140004</v>
      </c>
      <c r="H202" s="20">
        <v>-535.01604256780001</v>
      </c>
      <c r="I202" s="20">
        <v>-536.1902378735</v>
      </c>
      <c r="J202" s="20">
        <v>-534.87791602469997</v>
      </c>
      <c r="K202" s="20">
        <v>-534.89007437119994</v>
      </c>
      <c r="L202" s="20">
        <v>-534.89706481049996</v>
      </c>
      <c r="M202" s="20">
        <v>-534.93236605849995</v>
      </c>
      <c r="N202" s="20">
        <v>-535.0199054377</v>
      </c>
      <c r="O202" s="20">
        <v>-536.0995276379</v>
      </c>
      <c r="P202" s="20">
        <v>-536.11454213069999</v>
      </c>
      <c r="Q202" s="20">
        <v>-535.50209611419996</v>
      </c>
      <c r="R202" s="20">
        <v>-535.57024568520001</v>
      </c>
      <c r="S202" s="20">
        <v>-536.74481774119999</v>
      </c>
      <c r="T202" s="20">
        <f>(S202-Q202)/2*27.211324570273</f>
        <v>-16.908050771397875</v>
      </c>
      <c r="U202" s="20">
        <f>(R202-Q202)*27.211324570273</f>
        <v>-1.8544400958071987</v>
      </c>
      <c r="V202" s="20">
        <f>(F202-I202-D202+G202)/2*27.211324570273</f>
        <v>0.332276288390218</v>
      </c>
      <c r="W202" s="20">
        <f>(E202-H202-D202+G202)*27.211324570273</f>
        <v>-5.7508239193907559E-2</v>
      </c>
      <c r="X202" s="20">
        <f>(P202-O202-K202+J202)/2*27.211324570273</f>
        <v>-3.885976199499707E-2</v>
      </c>
      <c r="Y202" s="20">
        <f>(N202-M202-L202+J202)*27.211324570273</f>
        <v>-1.8609986345628127</v>
      </c>
      <c r="Z202" s="21">
        <f>(F202+P202-O202-D202-K202+J202-2*C202)*27.211324570273</f>
        <v>-10.389371010340938</v>
      </c>
      <c r="AA202" s="21">
        <f>(S202+F202-I202+P202-O202-Q202-D202+G202-K202+J202-2*C202)*27.211324570273</f>
        <v>-10.334668490005308</v>
      </c>
      <c r="AB202" s="21">
        <f>(E202+N202-M202-D202-L202+J202)*27.211324570273</f>
        <v>-3.837901364591874</v>
      </c>
      <c r="AC202" s="21">
        <f>(R202+E202-H202+N202-M202-Q202-D202+G202-L202+J202)*27.211324570273</f>
        <v>-3.7729469695577316</v>
      </c>
      <c r="AD202" s="20">
        <v>4.84</v>
      </c>
      <c r="AE202" s="20">
        <v>4.4400000000000004</v>
      </c>
      <c r="AF202" s="21">
        <f>-Z202/2-AE202</f>
        <v>0.7546855051704684</v>
      </c>
      <c r="AG202" s="21">
        <f>-AA202/2-AE202</f>
        <v>0.72733424500265365</v>
      </c>
      <c r="AH202" s="21">
        <f>-AB202-AD202</f>
        <v>-1.0020986354081258</v>
      </c>
      <c r="AI202" s="21">
        <f>-AC202-AD202</f>
        <v>-1.0670530304422683</v>
      </c>
      <c r="AJ202" s="22">
        <v>0.52200000000000002</v>
      </c>
      <c r="AK202" s="21">
        <v>-0.96199999999999997</v>
      </c>
      <c r="AL202" s="21">
        <f>AF202+(0.69-AF$4)</f>
        <v>0.51036481364566955</v>
      </c>
      <c r="AM202" s="21">
        <f>AG202+(0.69-AG$4)</f>
        <v>0.50304800003810124</v>
      </c>
      <c r="AN202" s="21">
        <f>AH202+(-0.8815-AH$4)</f>
        <v>-1.0744226258042615</v>
      </c>
      <c r="AO202" s="21">
        <f>AI202+(-0.8815-AI$4)</f>
        <v>-1.0656405299932987</v>
      </c>
      <c r="AP202" s="20">
        <f t="shared" si="16"/>
        <v>1.1635186354330473E-2</v>
      </c>
      <c r="AQ202" s="20">
        <f t="shared" si="17"/>
        <v>1.895199996189878E-2</v>
      </c>
      <c r="AR202" s="20">
        <f t="shared" si="18"/>
        <v>0.11242262580426154</v>
      </c>
      <c r="AS202" s="20">
        <f t="shared" si="19"/>
        <v>0.10364052999329876</v>
      </c>
    </row>
    <row r="203" spans="1:45" ht="15" customHeight="1" x14ac:dyDescent="0.2">
      <c r="A203" s="26" t="s">
        <v>141</v>
      </c>
      <c r="B203" s="19" t="s">
        <v>30</v>
      </c>
      <c r="C203" s="20">
        <f t="shared" si="15"/>
        <v>-0.42068146923305594</v>
      </c>
      <c r="D203" s="20">
        <v>-534.80402000000004</v>
      </c>
      <c r="E203" s="20">
        <v>-534.87617999999998</v>
      </c>
      <c r="F203" s="20">
        <v>-536.01487999999995</v>
      </c>
      <c r="G203" s="20">
        <v>-534.903489831</v>
      </c>
      <c r="H203" s="20">
        <v>-534.9735001391</v>
      </c>
      <c r="I203" s="20">
        <v>-536.13877573449997</v>
      </c>
      <c r="J203" s="20">
        <v>-534.87809990630001</v>
      </c>
      <c r="K203" s="20">
        <v>-534.89023485480004</v>
      </c>
      <c r="L203" s="20">
        <v>-534.89721634199998</v>
      </c>
      <c r="M203" s="20">
        <v>-534.93257790869995</v>
      </c>
      <c r="N203" s="20">
        <v>-535.02006465210002</v>
      </c>
      <c r="O203" s="20">
        <v>-536.09976776539997</v>
      </c>
      <c r="P203" s="20">
        <v>-536.11469758429996</v>
      </c>
      <c r="Q203" s="20">
        <v>-535.47399410369997</v>
      </c>
      <c r="R203" s="20">
        <v>-535.54125024079997</v>
      </c>
      <c r="S203" s="20">
        <v>-536.70662378550003</v>
      </c>
      <c r="T203" s="20">
        <f>(S203-Q203)/2*27.211324570273</f>
        <v>-16.77074317320692</v>
      </c>
      <c r="U203" s="20">
        <f>(R203-Q203)*27.211324570273</f>
        <v>-1.830128575970958</v>
      </c>
      <c r="V203" s="20">
        <f>(F203-I203-D203+G203)/2*27.211324570273</f>
        <v>0.33233059403114418</v>
      </c>
      <c r="W203" s="20">
        <f>(E203-H203-D203+G203)*27.211324570273</f>
        <v>-5.8495964015480101E-2</v>
      </c>
      <c r="X203" s="20">
        <f>(P203-O203-K203+J203)/2*27.211324570273</f>
        <v>-3.8026062792481392E-2</v>
      </c>
      <c r="Y203" s="20">
        <f>(N203-M203-L203+J203)*27.211324570273</f>
        <v>-1.8604466337966599</v>
      </c>
      <c r="Z203" s="21">
        <f>(F203+P203-O203-D203-K203+J203-2*C203)*27.211324570273</f>
        <v>-10.130556594746411</v>
      </c>
      <c r="AA203" s="21">
        <f>(S203+F203-I203+P203-O203-Q203-D203+G203-K203+J203-2*C203)*27.211324570273</f>
        <v>-10.058277283933419</v>
      </c>
      <c r="AB203" s="21">
        <f>(E203+N203-M203-D203-L203+J203)*27.211324570273</f>
        <v>-3.8240158147859225</v>
      </c>
      <c r="AC203" s="21">
        <f>(R203+E203-H203+N203-M203-Q203-D203+G203-L203+J203)*27.211324570273</f>
        <v>-3.7490711737861915</v>
      </c>
      <c r="AD203" s="20">
        <v>4.84</v>
      </c>
      <c r="AE203" s="20">
        <v>4.4400000000000004</v>
      </c>
      <c r="AF203" s="21">
        <f>-Z203/2-AE203</f>
        <v>0.62527829737320495</v>
      </c>
      <c r="AG203" s="21">
        <f>-AA203/2-AE203</f>
        <v>0.58913864196670929</v>
      </c>
      <c r="AH203" s="21">
        <f>-AB203-AD203</f>
        <v>-1.0159841852140774</v>
      </c>
      <c r="AI203" s="21">
        <f>-AC203-AD203</f>
        <v>-1.0909288262138084</v>
      </c>
      <c r="AJ203" s="22">
        <v>0.52200000000000002</v>
      </c>
      <c r="AK203" s="21">
        <v>-0.96199999999999997</v>
      </c>
      <c r="AL203" s="21">
        <f>AF203+(0.69-AF$5)</f>
        <v>0.50947282642399161</v>
      </c>
      <c r="AM203" s="21">
        <f>AG203+(0.69-AG$5)</f>
        <v>0.50048222791361452</v>
      </c>
      <c r="AN203" s="21">
        <f>AH203+(-0.8815-AH$5)</f>
        <v>-1.069434588646911</v>
      </c>
      <c r="AO203" s="21">
        <f>AI203+(-0.8815-AI$5)</f>
        <v>-1.0589791977318033</v>
      </c>
      <c r="AP203" s="20">
        <f t="shared" si="16"/>
        <v>1.252717357600841E-2</v>
      </c>
      <c r="AQ203" s="20">
        <f t="shared" si="17"/>
        <v>2.15177720863855E-2</v>
      </c>
      <c r="AR203" s="20">
        <f t="shared" si="18"/>
        <v>0.10743458864691102</v>
      </c>
      <c r="AS203" s="20">
        <f t="shared" si="19"/>
        <v>9.6979197731803302E-2</v>
      </c>
    </row>
    <row r="204" spans="1:45" ht="15" customHeight="1" x14ac:dyDescent="0.2">
      <c r="A204" s="26" t="s">
        <v>141</v>
      </c>
      <c r="B204" s="19" t="s">
        <v>31</v>
      </c>
      <c r="C204" s="20">
        <f t="shared" si="15"/>
        <v>-0.42068146923305594</v>
      </c>
      <c r="D204" s="20">
        <v>-534.84545000000003</v>
      </c>
      <c r="E204" s="20">
        <v>-534.91809999999998</v>
      </c>
      <c r="F204" s="20">
        <v>-536.06575999999995</v>
      </c>
      <c r="G204" s="20">
        <v>-534.94550596140004</v>
      </c>
      <c r="H204" s="20">
        <v>-535.01604256780001</v>
      </c>
      <c r="I204" s="20">
        <v>-536.1902378735</v>
      </c>
      <c r="J204" s="20">
        <v>-534.87791602469997</v>
      </c>
      <c r="K204" s="20">
        <v>-534.89007437119994</v>
      </c>
      <c r="L204" s="20">
        <v>-534.89706481049996</v>
      </c>
      <c r="M204" s="20">
        <v>-534.93236605849995</v>
      </c>
      <c r="N204" s="20">
        <v>-535.0199054377</v>
      </c>
      <c r="O204" s="20">
        <v>-536.0995276379</v>
      </c>
      <c r="P204" s="20">
        <v>-536.11454213069999</v>
      </c>
      <c r="Q204" s="20">
        <v>-535.14584562790003</v>
      </c>
      <c r="R204" s="20">
        <v>-535.2125351318</v>
      </c>
      <c r="S204" s="20">
        <v>-536.38087367369997</v>
      </c>
      <c r="T204" s="20">
        <f>(S204-Q204)/2*27.211324570273</f>
        <v>-16.803374503826024</v>
      </c>
      <c r="U204" s="20">
        <f>(R204-Q204)*27.211324570273</f>
        <v>-1.8147097360524491</v>
      </c>
      <c r="V204" s="20">
        <f>(F204-I204-D204+G204)/2*27.211324570273</f>
        <v>0.332276288390218</v>
      </c>
      <c r="W204" s="20">
        <f>(E204-H204-D204+G204)*27.211324570273</f>
        <v>-5.7508239193907559E-2</v>
      </c>
      <c r="X204" s="20">
        <f>(P204-O204-K204+J204)/2*27.211324570273</f>
        <v>-3.885976199499707E-2</v>
      </c>
      <c r="Y204" s="20">
        <f>(N204-M204-L204+J204)*27.211324570273</f>
        <v>-1.8609986345628127</v>
      </c>
      <c r="Z204" s="21">
        <f>(F204+P204-O204-D204-K204+J204-2*C204)*27.211324570273</f>
        <v>-10.389371010340938</v>
      </c>
      <c r="AA204" s="21">
        <f>(S204+F204-I204+P204-O204-Q204-D204+G204-K204+J204-2*C204)*27.211324570273</f>
        <v>-10.1253159548647</v>
      </c>
      <c r="AB204" s="21">
        <f>(E204+N204-M204-D204-L204+J204)*27.211324570273</f>
        <v>-3.837901364591874</v>
      </c>
      <c r="AC204" s="21">
        <f>(R204+E204-H204+N204-M204-Q204-D204+G204-L204+J204)*27.211324570273</f>
        <v>-3.733216609802982</v>
      </c>
      <c r="AD204" s="20">
        <v>4.84</v>
      </c>
      <c r="AE204" s="20">
        <v>4.4400000000000004</v>
      </c>
      <c r="AF204" s="21">
        <f>-Z204/2-AE204</f>
        <v>0.7546855051704684</v>
      </c>
      <c r="AG204" s="21">
        <f>-AA204/2-AE204</f>
        <v>0.62265797743234952</v>
      </c>
      <c r="AH204" s="21">
        <f>-AB204-AD204</f>
        <v>-1.0020986354081258</v>
      </c>
      <c r="AI204" s="21">
        <f>-AC204-AD204</f>
        <v>-1.1067833901970179</v>
      </c>
      <c r="AJ204" s="22">
        <v>0.52200000000000002</v>
      </c>
      <c r="AK204" s="21">
        <v>-0.96199999999999997</v>
      </c>
      <c r="AL204" s="21">
        <f>AF204+(0.69-AF$6)</f>
        <v>0.51036481364566955</v>
      </c>
      <c r="AM204" s="21">
        <f>AG204+(0.69-AG$6)</f>
        <v>0.50627091612203445</v>
      </c>
      <c r="AN204" s="21">
        <f>AH204+(-0.8815-AH$6)</f>
        <v>-1.0744226258042615</v>
      </c>
      <c r="AO204" s="21">
        <f>AI204+(-0.8815-AI$6)</f>
        <v>-1.0551608774644166</v>
      </c>
      <c r="AP204" s="20">
        <f t="shared" si="16"/>
        <v>1.1635186354330473E-2</v>
      </c>
      <c r="AQ204" s="20">
        <f t="shared" si="17"/>
        <v>1.5729083877965566E-2</v>
      </c>
      <c r="AR204" s="20">
        <f t="shared" si="18"/>
        <v>0.11242262580426154</v>
      </c>
      <c r="AS204" s="20">
        <f t="shared" si="19"/>
        <v>9.3160877464416592E-2</v>
      </c>
    </row>
    <row r="205" spans="1:45" ht="15" customHeight="1" x14ac:dyDescent="0.2">
      <c r="A205" s="26" t="s">
        <v>141</v>
      </c>
      <c r="B205" s="19" t="s">
        <v>32</v>
      </c>
      <c r="C205" s="20">
        <f t="shared" si="15"/>
        <v>-0.42068146923305594</v>
      </c>
      <c r="D205" s="20">
        <v>-534.80402000000004</v>
      </c>
      <c r="E205" s="20">
        <v>-534.87617999999998</v>
      </c>
      <c r="F205" s="20">
        <v>-536.01487999999995</v>
      </c>
      <c r="G205" s="20">
        <v>-534.903489831</v>
      </c>
      <c r="H205" s="20">
        <v>-534.9735001391</v>
      </c>
      <c r="I205" s="20">
        <v>-536.13877573449997</v>
      </c>
      <c r="J205" s="20">
        <v>-534.87809990630001</v>
      </c>
      <c r="K205" s="20">
        <v>-534.89023485480004</v>
      </c>
      <c r="L205" s="20">
        <v>-534.89721634199998</v>
      </c>
      <c r="M205" s="20">
        <v>-534.93257790869995</v>
      </c>
      <c r="N205" s="20">
        <v>-535.02006465210002</v>
      </c>
      <c r="O205" s="20">
        <v>-536.09976776539997</v>
      </c>
      <c r="P205" s="20">
        <v>-536.11469758429996</v>
      </c>
      <c r="Q205" s="20">
        <v>-535.13090763829996</v>
      </c>
      <c r="R205" s="20">
        <v>-535.19679916840005</v>
      </c>
      <c r="S205" s="20">
        <v>-536.3557628305</v>
      </c>
      <c r="T205" s="20">
        <f>(S205-Q205)/2*27.211324570273</f>
        <v>-16.664966093269687</v>
      </c>
      <c r="U205" s="20">
        <f>(R205-Q205)*27.211324570273</f>
        <v>-1.7929958119854308</v>
      </c>
      <c r="V205" s="20">
        <f>(F205-I205-D205+G205)/2*27.211324570273</f>
        <v>0.33233059403114418</v>
      </c>
      <c r="W205" s="20">
        <f>(E205-H205-D205+G205)*27.211324570273</f>
        <v>-5.8495964015480101E-2</v>
      </c>
      <c r="X205" s="20">
        <f>(P205-O205-K205+J205)/2*27.211324570273</f>
        <v>-3.8026062792481392E-2</v>
      </c>
      <c r="Y205" s="20">
        <f>(N205-M205-L205+J205)*27.211324570273</f>
        <v>-1.8604466337966599</v>
      </c>
      <c r="Z205" s="21">
        <f>(F205+P205-O205-D205-K205+J205-2*C205)*27.211324570273</f>
        <v>-10.130556594746411</v>
      </c>
      <c r="AA205" s="21">
        <f>(S205+F205-I205+P205-O205-Q205-D205+G205-K205+J205-2*C205)*27.211324570273</f>
        <v>-9.8467231240620485</v>
      </c>
      <c r="AB205" s="21">
        <f>(E205+N205-M205-D205-L205+J205)*27.211324570273</f>
        <v>-3.8240158147859225</v>
      </c>
      <c r="AC205" s="21">
        <f>(R205+E205-H205+N205-M205-Q205-D205+G205-L205+J205)*27.211324570273</f>
        <v>-3.7119384097975709</v>
      </c>
      <c r="AD205" s="20">
        <v>4.84</v>
      </c>
      <c r="AE205" s="20">
        <v>4.4400000000000004</v>
      </c>
      <c r="AF205" s="21">
        <f>-Z205/2-AE205</f>
        <v>0.62527829737320495</v>
      </c>
      <c r="AG205" s="21">
        <f>-AA205/2-AE205</f>
        <v>0.48336156203102387</v>
      </c>
      <c r="AH205" s="21">
        <f>-AB205-AD205</f>
        <v>-1.0159841852140774</v>
      </c>
      <c r="AI205" s="21">
        <f>-AC205-AD205</f>
        <v>-1.1280615902024289</v>
      </c>
      <c r="AJ205" s="22">
        <v>0.52200000000000002</v>
      </c>
      <c r="AK205" s="21">
        <v>-0.96199999999999997</v>
      </c>
      <c r="AL205" s="21">
        <f>AF205+(0.69-AF$7)</f>
        <v>0.50947282642399161</v>
      </c>
      <c r="AM205" s="21">
        <f>AG205+(0.69-AG$7)</f>
        <v>0.50394022127206695</v>
      </c>
      <c r="AN205" s="21">
        <f>AH205+(-0.8815-AH$7)</f>
        <v>-1.069434588646911</v>
      </c>
      <c r="AO205" s="21">
        <f>AI205+(-0.8815-AI$7)</f>
        <v>-1.0485581475117236</v>
      </c>
      <c r="AP205" s="20">
        <f t="shared" si="16"/>
        <v>1.252717357600841E-2</v>
      </c>
      <c r="AQ205" s="20">
        <f t="shared" si="17"/>
        <v>1.8059778727933073E-2</v>
      </c>
      <c r="AR205" s="20">
        <f t="shared" si="18"/>
        <v>0.10743458864691102</v>
      </c>
      <c r="AS205" s="20">
        <f t="shared" si="19"/>
        <v>8.6558147511723638E-2</v>
      </c>
    </row>
    <row r="206" spans="1:45" ht="15" customHeight="1" x14ac:dyDescent="0.2">
      <c r="A206" s="26" t="s">
        <v>141</v>
      </c>
      <c r="B206" s="19" t="s">
        <v>33</v>
      </c>
      <c r="C206" s="20">
        <f t="shared" si="15"/>
        <v>-0.42068146923305594</v>
      </c>
      <c r="D206" s="20">
        <v>-535.03331000000003</v>
      </c>
      <c r="E206" s="20">
        <v>-535.09654999999998</v>
      </c>
      <c r="F206" s="20">
        <v>-536.23447999999996</v>
      </c>
      <c r="G206" s="20">
        <v>-535.13215631510002</v>
      </c>
      <c r="H206" s="20">
        <v>-535.19210024879999</v>
      </c>
      <c r="I206" s="20">
        <v>-536.35679520029998</v>
      </c>
      <c r="J206" s="20">
        <v>-534.87783887850003</v>
      </c>
      <c r="K206" s="20">
        <v>-534.88991168209998</v>
      </c>
      <c r="L206" s="20">
        <v>-534.89686198430002</v>
      </c>
      <c r="M206" s="20">
        <v>-534.93222352220005</v>
      </c>
      <c r="N206" s="20">
        <v>-535.01974444020004</v>
      </c>
      <c r="O206" s="20">
        <v>-536.09958185829998</v>
      </c>
      <c r="P206" s="20">
        <v>-536.11440612210004</v>
      </c>
      <c r="Q206" s="20">
        <v>-535.1314978552</v>
      </c>
      <c r="R206" s="20">
        <v>-535.19731072299999</v>
      </c>
      <c r="S206" s="20">
        <v>-536.35641948169996</v>
      </c>
      <c r="T206" s="20">
        <f>(S206-Q206)/2*27.211324570273</f>
        <v>-16.665869975918607</v>
      </c>
      <c r="U206" s="20">
        <f>(R206-Q206)*27.211324570273</f>
        <v>-1.7908553066060289</v>
      </c>
      <c r="V206" s="20">
        <f>(F206-I206-D206+G206)/2*27.211324570273</f>
        <v>0.31930972624027038</v>
      </c>
      <c r="W206" s="20">
        <f>(E206-H206-D206+G206)*27.211324570273</f>
        <v>-8.9690329893928555E-2</v>
      </c>
      <c r="X206" s="20">
        <f>(P206-O206-K206+J206)/2*27.211324570273</f>
        <v>-3.7435438273581555E-2</v>
      </c>
      <c r="Y206" s="20">
        <f>(N206-M206-L206+J206)*27.211324570273</f>
        <v>-1.8639162001280098</v>
      </c>
      <c r="Z206" s="21">
        <f>(F206+P206-O206-D206-K206+J206-2*C206)*27.211324570273</f>
        <v>-9.8656976106170831</v>
      </c>
      <c r="AA206" s="21">
        <f>(S206+F206-I206+P206-O206-Q206-D206+G206-K206+J206-2*C206)*27.211324570273</f>
        <v>-9.8733913759069303</v>
      </c>
      <c r="AB206" s="21">
        <f>(E206+N206-M206-D206-L206+J206)*27.211324570273</f>
        <v>-3.5847603659476381</v>
      </c>
      <c r="AC206" s="21">
        <f>(R206+E206-H206+N206-M206-Q206-D206+G206-L206+J206)*27.211324570273</f>
        <v>-3.7444618366217801</v>
      </c>
      <c r="AD206" s="20">
        <v>4.84</v>
      </c>
      <c r="AE206" s="20">
        <v>4.4400000000000004</v>
      </c>
      <c r="AF206" s="21">
        <f>-Z206/2-AE206</f>
        <v>0.49284880530854114</v>
      </c>
      <c r="AG206" s="21">
        <f>-AA206/2-AE206</f>
        <v>0.49669568795346475</v>
      </c>
      <c r="AH206" s="21">
        <f>-AB206-AD206</f>
        <v>-1.2552396340523617</v>
      </c>
      <c r="AI206" s="21">
        <f>-AC206-AD206</f>
        <v>-1.0955381633782197</v>
      </c>
      <c r="AJ206" s="22">
        <v>0.52200000000000002</v>
      </c>
      <c r="AK206" s="21">
        <v>-0.96199999999999997</v>
      </c>
      <c r="AL206" s="21">
        <f>AF206+(0.69-AF$8)</f>
        <v>0.51341078264806894</v>
      </c>
      <c r="AM206" s="21">
        <f>AG206+(0.69-AG$8)</f>
        <v>0.51506527064273966</v>
      </c>
      <c r="AN206" s="21">
        <f>AH206+(-0.8815-AH$8)</f>
        <v>-0.74956576493032001</v>
      </c>
      <c r="AO206" s="21">
        <f>AI206+(-0.8815-AI$8)</f>
        <v>-1.0581214314871099</v>
      </c>
      <c r="AP206" s="20">
        <f t="shared" si="16"/>
        <v>8.5892173519310777E-3</v>
      </c>
      <c r="AQ206" s="20">
        <f t="shared" si="17"/>
        <v>6.9347293572603608E-3</v>
      </c>
      <c r="AR206" s="20">
        <f t="shared" si="18"/>
        <v>0.21243423506967996</v>
      </c>
      <c r="AS206" s="20">
        <f t="shared" si="19"/>
        <v>9.6121431487109943E-2</v>
      </c>
    </row>
    <row r="207" spans="1:45" ht="15" customHeight="1" x14ac:dyDescent="0.2">
      <c r="A207" s="26" t="s">
        <v>141</v>
      </c>
      <c r="B207" s="19" t="s">
        <v>174</v>
      </c>
      <c r="C207" s="20">
        <f t="shared" si="15"/>
        <v>-0.42068146923305594</v>
      </c>
      <c r="D207" s="20">
        <v>-535.03300999999999</v>
      </c>
      <c r="E207" s="20">
        <v>-535.10118</v>
      </c>
      <c r="F207" s="20">
        <v>-536.23440000000005</v>
      </c>
      <c r="G207" s="20">
        <v>-535.13178845300001</v>
      </c>
      <c r="H207" s="20">
        <v>-535.19755359090004</v>
      </c>
      <c r="I207" s="20">
        <v>-536.3568016772</v>
      </c>
      <c r="J207" s="20">
        <v>-534.87782734029997</v>
      </c>
      <c r="K207" s="20">
        <v>-534.88991073839998</v>
      </c>
      <c r="L207" s="20">
        <v>-534.89685568959999</v>
      </c>
      <c r="M207" s="20">
        <v>-534.93235480520002</v>
      </c>
      <c r="N207" s="20">
        <v>-535.01978055209997</v>
      </c>
      <c r="O207" s="20">
        <v>-536.09958546550001</v>
      </c>
      <c r="P207" s="20">
        <v>-536.11440315940001</v>
      </c>
      <c r="Q207" s="20">
        <v>-535.13149886789995</v>
      </c>
      <c r="R207" s="20">
        <v>-535.19733716270002</v>
      </c>
      <c r="S207" s="20">
        <v>-536.35641956129996</v>
      </c>
      <c r="T207" s="20">
        <f>(S207-Q207)/2*27.211324570273</f>
        <v>-16.665857280475745</v>
      </c>
      <c r="U207" s="20">
        <f>(R207-Q207)*27.211324570273</f>
        <v>-1.7915472089581179</v>
      </c>
      <c r="V207" s="20">
        <f>(F207-I207-D207+G207)/2*27.211324570273</f>
        <v>0.32140961055021955</v>
      </c>
      <c r="W207" s="20">
        <f>(E207-H207-D207+G207)*27.211324570273</f>
        <v>-6.5439483149283814E-2</v>
      </c>
      <c r="X207" s="20">
        <f>(P207-O207-K207+J207)/2*27.211324570273</f>
        <v>-3.7201905242416643E-2</v>
      </c>
      <c r="Y207" s="20">
        <f>(N207-M207-L207+J207)*27.211324570273</f>
        <v>-1.8611837858539217</v>
      </c>
      <c r="Z207" s="21">
        <f>(F207+P207-O207-D207-K207+J207-2*C207)*27.211324570273</f>
        <v>-9.871217035969849</v>
      </c>
      <c r="AA207" s="21">
        <f>(S207+F207-I207+P207-O207-Q207-D207+G207-K207+J207-2*C207)*27.211324570273</f>
        <v>-9.8686991503389798</v>
      </c>
      <c r="AB207" s="21">
        <f>(E207+N207-M207-D207-L207+J207)*27.211324570273</f>
        <v>-3.7161797818065883</v>
      </c>
      <c r="AC207" s="21">
        <f>(R207+E207-H207+N207-M207-Q207-D207+G207-L207+J207)*27.211324570273</f>
        <v>-3.7181704779644171</v>
      </c>
      <c r="AD207" s="20">
        <v>4.84</v>
      </c>
      <c r="AE207" s="20">
        <v>4.4400000000000004</v>
      </c>
      <c r="AF207" s="21">
        <f>-Z207/2-AE207</f>
        <v>0.49560851798492411</v>
      </c>
      <c r="AG207" s="21">
        <f>-AA207/2-AE207</f>
        <v>0.49434957516948952</v>
      </c>
      <c r="AH207" s="21">
        <f>-AB207-AD207</f>
        <v>-1.1238202181934116</v>
      </c>
      <c r="AI207" s="21">
        <f>-AC207-AD207</f>
        <v>-1.1218295220355827</v>
      </c>
      <c r="AJ207" s="22">
        <v>0.52200000000000002</v>
      </c>
      <c r="AK207" s="21">
        <v>-0.96199999999999997</v>
      </c>
      <c r="AL207" s="21">
        <f>AF207+(0.69-AF$9)</f>
        <v>0.51118122277489375</v>
      </c>
      <c r="AM207" s="21">
        <f>AG207+(0.69-AG$9)</f>
        <v>0.51197671591686111</v>
      </c>
      <c r="AN207" s="21">
        <f>AH207+(-0.8815-AH$9)</f>
        <v>-0.9977171046180664</v>
      </c>
      <c r="AO207" s="21">
        <f>AI207+(-0.8815-AI$9)</f>
        <v>-1.0439136778160614</v>
      </c>
      <c r="AP207" s="20">
        <f t="shared" si="16"/>
        <v>1.0818777225106269E-2</v>
      </c>
      <c r="AQ207" s="20">
        <f t="shared" si="17"/>
        <v>1.0023284083138906E-2</v>
      </c>
      <c r="AR207" s="20">
        <f t="shared" si="18"/>
        <v>3.5717104618066431E-2</v>
      </c>
      <c r="AS207" s="20">
        <f t="shared" si="19"/>
        <v>8.1913677816061403E-2</v>
      </c>
    </row>
    <row r="208" spans="1:45" ht="15" customHeight="1" x14ac:dyDescent="0.2">
      <c r="A208" s="26" t="s">
        <v>141</v>
      </c>
      <c r="B208" s="19" t="s">
        <v>43</v>
      </c>
      <c r="C208" s="20">
        <f t="shared" si="15"/>
        <v>-0.42068146923305594</v>
      </c>
      <c r="D208" s="20">
        <v>-534.80402000000004</v>
      </c>
      <c r="E208" s="20">
        <v>-534.87617999999998</v>
      </c>
      <c r="F208" s="20">
        <v>-536.01487999999995</v>
      </c>
      <c r="G208" s="20">
        <v>-534.903489831</v>
      </c>
      <c r="H208" s="20">
        <v>-534.9735001391</v>
      </c>
      <c r="I208" s="20">
        <v>-536.13877573449997</v>
      </c>
      <c r="J208" s="20">
        <v>-534.87809990630001</v>
      </c>
      <c r="K208" s="20">
        <v>-534.89023485480004</v>
      </c>
      <c r="L208" s="20">
        <v>-534.89721634199998</v>
      </c>
      <c r="M208" s="20">
        <v>-534.93257790869995</v>
      </c>
      <c r="N208" s="20">
        <v>-535.02006465210002</v>
      </c>
      <c r="O208" s="20">
        <v>-536.09976776539997</v>
      </c>
      <c r="P208" s="20">
        <v>-536.11469758429996</v>
      </c>
      <c r="Q208" s="20">
        <v>-534.37743903599505</v>
      </c>
      <c r="R208" s="20">
        <v>-534.44113457238302</v>
      </c>
      <c r="S208" s="20">
        <v>-535.61489025381502</v>
      </c>
      <c r="T208" s="20">
        <f>(S208-Q208)/2*27.211324570273</f>
        <v>-16.83634336398935</v>
      </c>
      <c r="U208" s="20">
        <f>(R208-Q208)*27.211324570273</f>
        <v>-1.7332399143306283</v>
      </c>
      <c r="V208" s="20">
        <f>(F208-I208-D208+G208)/2*27.211324570273</f>
        <v>0.33233059403114418</v>
      </c>
      <c r="W208" s="20">
        <f>(E208-H208-D208+G208)*27.211324570273</f>
        <v>-5.8495964015480101E-2</v>
      </c>
      <c r="X208" s="20">
        <f>(P208-O208-K208+J208)/2*27.211324570273</f>
        <v>-3.8026062792481392E-2</v>
      </c>
      <c r="Y208" s="20">
        <f>(N208-M208-L208+J208)*27.211324570273</f>
        <v>-1.8604466337966599</v>
      </c>
      <c r="Z208" s="21">
        <f>(F208+P208-O208-D208-K208+J208-2*C208)*27.211324570273</f>
        <v>-10.130556594746411</v>
      </c>
      <c r="AA208" s="21">
        <f>(S208+F208-I208+P208-O208-Q208-D208+G208-K208+J208-2*C208)*27.211324570273</f>
        <v>-10.189477665501377</v>
      </c>
      <c r="AB208" s="21">
        <f>(E208+N208-M208-D208-L208+J208)*27.211324570273</f>
        <v>-3.8240158147859225</v>
      </c>
      <c r="AC208" s="21">
        <f>(R208+E208-H208+N208-M208-Q208-D208+G208-L208+J208)*27.211324570273</f>
        <v>-3.652182512145862</v>
      </c>
      <c r="AD208" s="20">
        <v>4.84</v>
      </c>
      <c r="AE208" s="20">
        <v>4.4400000000000004</v>
      </c>
      <c r="AF208" s="21">
        <f>-Z208/2-AE208</f>
        <v>0.62527829737320495</v>
      </c>
      <c r="AG208" s="21">
        <f>-AA208/2-AE208</f>
        <v>0.654738832750688</v>
      </c>
      <c r="AH208" s="21">
        <f>-AB208-AD208</f>
        <v>-1.0159841852140774</v>
      </c>
      <c r="AI208" s="21">
        <f>-AC208-AD208</f>
        <v>-1.1878174878541379</v>
      </c>
      <c r="AJ208" s="22">
        <v>0.52200000000000002</v>
      </c>
      <c r="AK208" s="21">
        <v>-0.96199999999999997</v>
      </c>
      <c r="AL208" s="21">
        <f>AF208+(0.69-AF$10)</f>
        <v>0.50947282642399161</v>
      </c>
      <c r="AM208" s="21">
        <f>AG208+(0.69-AG$10)</f>
        <v>0.54807646575861968</v>
      </c>
      <c r="AN208" s="21">
        <f>AH208+(-0.8815-AH$10)</f>
        <v>-1.069434588646911</v>
      </c>
      <c r="AO208" s="21">
        <f>AI208+(-0.8815-AI$10)</f>
        <v>-1.0052993762267635</v>
      </c>
      <c r="AP208" s="20">
        <f t="shared" si="16"/>
        <v>1.252717357600841E-2</v>
      </c>
      <c r="AQ208" s="20">
        <f t="shared" si="17"/>
        <v>2.607646575861966E-2</v>
      </c>
      <c r="AR208" s="20">
        <f t="shared" si="18"/>
        <v>0.10743458864691102</v>
      </c>
      <c r="AS208" s="20">
        <f t="shared" si="19"/>
        <v>4.3299376226763497E-2</v>
      </c>
    </row>
    <row r="209" spans="1:45" x14ac:dyDescent="0.2">
      <c r="A209" s="26" t="s">
        <v>142</v>
      </c>
      <c r="B209" s="19" t="s">
        <v>27</v>
      </c>
      <c r="C209" s="20">
        <f t="shared" si="15"/>
        <v>-0.42068146923305594</v>
      </c>
      <c r="D209" s="20">
        <v>-720.27520000000004</v>
      </c>
      <c r="E209" s="20">
        <v>-720.36089000000004</v>
      </c>
      <c r="F209" s="20">
        <v>-721.48587999999995</v>
      </c>
      <c r="G209" s="20">
        <v>-720.39431705530001</v>
      </c>
      <c r="H209" s="20">
        <v>-720.4778657457</v>
      </c>
      <c r="I209" s="20">
        <v>-721.62730665590004</v>
      </c>
      <c r="J209" s="20">
        <v>-720.53997611559998</v>
      </c>
      <c r="K209" s="20">
        <v>-720.56040144029998</v>
      </c>
      <c r="L209" s="20">
        <v>-720.56460593459997</v>
      </c>
      <c r="M209" s="20">
        <v>-720.60315655600004</v>
      </c>
      <c r="N209" s="20">
        <v>-720.69089307529998</v>
      </c>
      <c r="O209" s="20">
        <v>-721.74982369439999</v>
      </c>
      <c r="P209" s="20">
        <v>-721.77658910490004</v>
      </c>
      <c r="Q209" s="20">
        <v>-721.15020623459998</v>
      </c>
      <c r="R209" s="20">
        <v>-721.23128323150002</v>
      </c>
      <c r="S209" s="20">
        <v>-722.38061315050004</v>
      </c>
      <c r="T209" s="20">
        <f>(S209-Q209)/2*27.211324570273</f>
        <v>-16.740500971032588</v>
      </c>
      <c r="U209" s="20">
        <f>(R209-Q209)*27.211324570273</f>
        <v>-2.2062124778299399</v>
      </c>
      <c r="V209" s="20">
        <f>(F209-I209-D209+G209)/2*27.211324570273</f>
        <v>0.30353689148156865</v>
      </c>
      <c r="W209" s="20">
        <f>(E209-H209-D209+G209)*27.211324570273</f>
        <v>-5.8267870531205398E-2</v>
      </c>
      <c r="X209" s="20">
        <f>(P209-O209-K209+J209)/2*27.211324570273</f>
        <v>-8.6261066254239085E-2</v>
      </c>
      <c r="Y209" s="20">
        <f>(N209-M209-L209+J209)*27.211324570273</f>
        <v>-1.7172169044210024</v>
      </c>
      <c r="Z209" s="21">
        <f>(F209+P209-O209-D209-K209+J209-2*C209)*27.211324570273</f>
        <v>-10.222128563244176</v>
      </c>
      <c r="AA209" s="21">
        <f>(S209+F209-I209+P209-O209-Q209-D209+G209-K209+J209-2*C209)*27.211324570273</f>
        <v>-10.151850291613613</v>
      </c>
      <c r="AB209" s="21">
        <f>(E209+N209-M209-D209-L209+J209)*27.211324570273</f>
        <v>-4.0489553068507789</v>
      </c>
      <c r="AC209" s="21">
        <f>(R209+E209-H209+N209-M209-Q209-D209+G209-L209+J209)*27.211324570273</f>
        <v>-3.9816972527821477</v>
      </c>
      <c r="AD209" s="20">
        <v>4.84</v>
      </c>
      <c r="AE209" s="20">
        <v>4.4400000000000004</v>
      </c>
      <c r="AF209" s="21">
        <f>-Z209/2-AE209</f>
        <v>0.67106428162208775</v>
      </c>
      <c r="AG209" s="21">
        <f>-AA209/2-AE209</f>
        <v>0.63592514580680604</v>
      </c>
      <c r="AH209" s="21">
        <f>-AB209-AD209</f>
        <v>-0.79104469314922099</v>
      </c>
      <c r="AI209" s="21">
        <f>-AC209-AD209</f>
        <v>-0.85830274721785216</v>
      </c>
      <c r="AJ209" s="22">
        <v>0.58399999999999996</v>
      </c>
      <c r="AK209" s="21">
        <v>-0.879</v>
      </c>
      <c r="AL209" s="27">
        <f>AF209+(0.69-AF$2)</f>
        <v>0.48825777164802853</v>
      </c>
      <c r="AM209" s="27">
        <f>AG209+(0.69-AG$2)</f>
        <v>0.47865517004386993</v>
      </c>
      <c r="AN209" s="27">
        <f>AH209+(-0.8815-AH$2)</f>
        <v>-0.9655656402601478</v>
      </c>
      <c r="AO209" s="27">
        <f>AI209+(-0.8815-AI$2)</f>
        <v>-0.96416437949798262</v>
      </c>
      <c r="AP209" s="20">
        <f t="shared" si="16"/>
        <v>9.5742228351971437E-2</v>
      </c>
      <c r="AQ209" s="20">
        <f t="shared" si="17"/>
        <v>0.10534482995613004</v>
      </c>
      <c r="AR209" s="20">
        <f t="shared" si="18"/>
        <v>8.6565640260147791E-2</v>
      </c>
      <c r="AS209" s="20">
        <f t="shared" si="19"/>
        <v>8.5164379497982612E-2</v>
      </c>
    </row>
    <row r="210" spans="1:45" ht="15" customHeight="1" x14ac:dyDescent="0.2">
      <c r="A210" s="26" t="s">
        <v>142</v>
      </c>
      <c r="B210" s="19" t="s">
        <v>145</v>
      </c>
      <c r="C210" s="20">
        <f t="shared" si="15"/>
        <v>-0.42068146923305594</v>
      </c>
      <c r="D210" s="20">
        <v>-719.92915000000005</v>
      </c>
      <c r="E210" s="20">
        <v>-720.01079000000004</v>
      </c>
      <c r="F210" s="20">
        <v>-721.13448000000005</v>
      </c>
      <c r="G210" s="20">
        <v>-720.04994153849998</v>
      </c>
      <c r="H210" s="20">
        <v>-720.1296419995</v>
      </c>
      <c r="I210" s="20">
        <v>-721.27862840149999</v>
      </c>
      <c r="J210" s="20">
        <v>-720.54025759069998</v>
      </c>
      <c r="K210" s="20">
        <v>-720.56027505329996</v>
      </c>
      <c r="L210" s="20">
        <v>-720.56464698280001</v>
      </c>
      <c r="M210" s="20">
        <v>-720.60350282670004</v>
      </c>
      <c r="N210" s="20">
        <v>-720.69099290500003</v>
      </c>
      <c r="O210" s="20">
        <v>-721.75178928579999</v>
      </c>
      <c r="P210" s="20">
        <v>-721.77786159480002</v>
      </c>
      <c r="Q210" s="20">
        <v>-720.81902197110003</v>
      </c>
      <c r="R210" s="20">
        <v>-720.89720825090001</v>
      </c>
      <c r="S210" s="20">
        <v>-722.04679255559995</v>
      </c>
      <c r="T210" s="20">
        <f>(S210-Q210)/2*27.211324570273</f>
        <v>-16.704631936330582</v>
      </c>
      <c r="U210" s="20">
        <f>(R210-Q210)*27.211324570273</f>
        <v>-2.1275522365794157</v>
      </c>
      <c r="V210" s="20">
        <f>(F210-I210-D210+G210)/2*27.211324570273</f>
        <v>0.31778559001824935</v>
      </c>
      <c r="W210" s="20">
        <f>(E210-H210-D210+G210)*27.211324570273</f>
        <v>-5.2777425245083137E-2</v>
      </c>
      <c r="X210" s="20">
        <f>(P210-O210-K210+J210)/2*27.211324570273</f>
        <v>-8.2380195307422258E-2</v>
      </c>
      <c r="Y210" s="20">
        <f>(N210-M210-L210+J210)*27.211324570273</f>
        <v>-1.7170532527940432</v>
      </c>
      <c r="Z210" s="21">
        <f>(F210+P210-O210-D210-K210+J210-2*C210)*27.211324570273</f>
        <v>-10.06878623490519</v>
      </c>
      <c r="AA210" s="21">
        <f>(S210+F210-I210+P210-O210-Q210-D210+G210-K210+J210-2*C210)*27.211324570273</f>
        <v>-10.04385308323951</v>
      </c>
      <c r="AB210" s="21">
        <f>(E210+N210-M210-D210-L210+J210)*27.211324570273</f>
        <v>-3.9385857907109418</v>
      </c>
      <c r="AC210" s="21">
        <f>(R210+E210-H210+N210-M210-Q210-D210+G210-L210+J210)*27.211324570273</f>
        <v>-3.8973829146247287</v>
      </c>
      <c r="AD210" s="20">
        <v>4.84</v>
      </c>
      <c r="AE210" s="20">
        <v>4.4400000000000004</v>
      </c>
      <c r="AF210" s="21">
        <f>-Z210/2-AE210</f>
        <v>0.59439311745259449</v>
      </c>
      <c r="AG210" s="21">
        <f>-AA210/2-AE210</f>
        <v>0.58192654161975454</v>
      </c>
      <c r="AH210" s="21">
        <f>-AB210-AD210</f>
        <v>-0.90141420928905802</v>
      </c>
      <c r="AI210" s="21">
        <f>-AC210-AD210</f>
        <v>-0.94261708537527111</v>
      </c>
      <c r="AJ210" s="22">
        <v>0.58399999999999996</v>
      </c>
      <c r="AK210" s="21">
        <v>-0.879</v>
      </c>
      <c r="AL210" s="27">
        <f>AF210+(0.69-AF$3)</f>
        <v>0.43511127648981995</v>
      </c>
      <c r="AM210" s="27">
        <f>AG210+(0.69-AG$3)</f>
        <v>0.43324635516014487</v>
      </c>
      <c r="AN210" s="27">
        <f>AH210+(-0.8815-AH$3)</f>
        <v>-0.97300896611852661</v>
      </c>
      <c r="AO210" s="27">
        <f>AI210+(-0.8815-AI$3)</f>
        <v>-0.98031162846801712</v>
      </c>
      <c r="AP210" s="20">
        <f t="shared" si="16"/>
        <v>0.14888872351018001</v>
      </c>
      <c r="AQ210" s="20">
        <f t="shared" si="17"/>
        <v>0.15075364483985509</v>
      </c>
      <c r="AR210" s="20">
        <f t="shared" si="18"/>
        <v>9.4008966118526605E-2</v>
      </c>
      <c r="AS210" s="20">
        <f t="shared" si="19"/>
        <v>0.10131162846801711</v>
      </c>
    </row>
    <row r="211" spans="1:45" ht="15" customHeight="1" x14ac:dyDescent="0.2">
      <c r="A211" s="26" t="s">
        <v>142</v>
      </c>
      <c r="B211" s="19" t="s">
        <v>29</v>
      </c>
      <c r="C211" s="20">
        <f t="shared" si="15"/>
        <v>-0.42068146923305594</v>
      </c>
      <c r="D211" s="20">
        <v>-720.48713999999995</v>
      </c>
      <c r="E211" s="20">
        <v>-720.56563000000006</v>
      </c>
      <c r="F211" s="20">
        <v>-721.697</v>
      </c>
      <c r="G211" s="20">
        <v>-720.60782656920003</v>
      </c>
      <c r="H211" s="20">
        <v>-720.68461957759996</v>
      </c>
      <c r="I211" s="20">
        <v>-721.84150929990005</v>
      </c>
      <c r="J211" s="20">
        <v>-720.54020163680002</v>
      </c>
      <c r="K211" s="20">
        <v>-720.5603982806</v>
      </c>
      <c r="L211" s="20">
        <v>-720.56470615379999</v>
      </c>
      <c r="M211" s="20">
        <v>-720.60334739109999</v>
      </c>
      <c r="N211" s="20">
        <v>-720.6910518482</v>
      </c>
      <c r="O211" s="20">
        <v>-721.7517551313</v>
      </c>
      <c r="P211" s="20">
        <v>-721.77793654000004</v>
      </c>
      <c r="Q211" s="20">
        <v>-721.35470015520002</v>
      </c>
      <c r="R211" s="20">
        <v>-721.42895299079998</v>
      </c>
      <c r="S211" s="20">
        <v>-722.58644095229999</v>
      </c>
      <c r="T211" s="20">
        <f>(S211-Q211)/2*27.211324570273</f>
        <v>-16.758649308167083</v>
      </c>
      <c r="U211" s="20">
        <f>(R211-Q211)*27.211324570273</f>
        <v>-2.0205180097737387</v>
      </c>
      <c r="V211" s="20">
        <f>(F211-I211-D211+G211)/2*27.211324570273</f>
        <v>0.32412402861362816</v>
      </c>
      <c r="W211" s="20">
        <f>(E211-H211-D211+G211)*27.211324570273</f>
        <v>-4.617738922524995E-2</v>
      </c>
      <c r="X211" s="20">
        <f>(P211-O211-K211+J211)/2*27.211324570273</f>
        <v>-8.1426690086196629E-2</v>
      </c>
      <c r="Y211" s="20">
        <f>(N211-M211-L211+J211)*27.211324570273</f>
        <v>-1.719754082884231</v>
      </c>
      <c r="Z211" s="21">
        <f>(F211+P211-O211-D211-K211+J211-2*C211)*27.211324570273</f>
        <v>-10.190146524764213</v>
      </c>
      <c r="AA211" s="21">
        <f>(S211+F211-I211+P211-O211-Q211-D211+G211-K211+J211-2*C211)*27.211324570273</f>
        <v>-10.137303939282399</v>
      </c>
      <c r="AB211" s="21">
        <f>(E211+N211-M211-D211-L211+J211)*27.211324570273</f>
        <v>-3.8555709484077245</v>
      </c>
      <c r="AC211" s="21">
        <f>(R211+E211-H211+N211-M211-Q211-D211+G211-L211+J211)*27.211324570273</f>
        <v>-3.7864494818863133</v>
      </c>
      <c r="AD211" s="20">
        <v>4.84</v>
      </c>
      <c r="AE211" s="20">
        <v>4.4400000000000004</v>
      </c>
      <c r="AF211" s="21">
        <f>-Z211/2-AE211</f>
        <v>0.65507326238210606</v>
      </c>
      <c r="AG211" s="21">
        <f>-AA211/2-AE211</f>
        <v>0.62865196964119896</v>
      </c>
      <c r="AH211" s="21">
        <f>-AB211-AD211</f>
        <v>-0.98442905159227534</v>
      </c>
      <c r="AI211" s="21">
        <f>-AC211-AD211</f>
        <v>-1.0535505181136866</v>
      </c>
      <c r="AJ211" s="22">
        <v>0.58399999999999996</v>
      </c>
      <c r="AK211" s="21">
        <v>-0.879</v>
      </c>
      <c r="AL211" s="21">
        <f>AF211+(0.69-AF$4)</f>
        <v>0.41075257085730721</v>
      </c>
      <c r="AM211" s="21">
        <f>AG211+(0.69-AG$4)</f>
        <v>0.40436572467664655</v>
      </c>
      <c r="AN211" s="21">
        <f>AH211+(-0.8815-AH$4)</f>
        <v>-1.056753041988411</v>
      </c>
      <c r="AO211" s="21">
        <f>AI211+(-0.8815-AI$4)</f>
        <v>-1.052138017664717</v>
      </c>
      <c r="AP211" s="20">
        <f t="shared" si="16"/>
        <v>0.17324742914269275</v>
      </c>
      <c r="AQ211" s="20">
        <f t="shared" si="17"/>
        <v>0.17963427532335341</v>
      </c>
      <c r="AR211" s="20">
        <f t="shared" si="18"/>
        <v>0.17775304198841102</v>
      </c>
      <c r="AS211" s="20">
        <f t="shared" si="19"/>
        <v>0.17313801766471704</v>
      </c>
    </row>
    <row r="212" spans="1:45" ht="15" customHeight="1" x14ac:dyDescent="0.2">
      <c r="A212" s="26" t="s">
        <v>142</v>
      </c>
      <c r="B212" s="19" t="s">
        <v>30</v>
      </c>
      <c r="C212" s="20">
        <f t="shared" si="15"/>
        <v>-0.42068146923305594</v>
      </c>
      <c r="D212" s="20">
        <v>-720.44802000000004</v>
      </c>
      <c r="E212" s="20">
        <v>-720.52607</v>
      </c>
      <c r="F212" s="20">
        <v>-721.64863000000003</v>
      </c>
      <c r="G212" s="20">
        <v>-720.5680581419</v>
      </c>
      <c r="H212" s="20">
        <v>-720.64430672100002</v>
      </c>
      <c r="I212" s="20">
        <v>-721.79234756139999</v>
      </c>
      <c r="J212" s="20">
        <v>-720.54039848859998</v>
      </c>
      <c r="K212" s="20">
        <v>-720.56057567990001</v>
      </c>
      <c r="L212" s="20">
        <v>-720.56487104630003</v>
      </c>
      <c r="M212" s="20">
        <v>-720.60357862119997</v>
      </c>
      <c r="N212" s="20">
        <v>-720.69123644640001</v>
      </c>
      <c r="O212" s="20">
        <v>-721.75201509040005</v>
      </c>
      <c r="P212" s="20">
        <v>-721.77814459030003</v>
      </c>
      <c r="Q212" s="20">
        <v>-721.33264209679999</v>
      </c>
      <c r="R212" s="20">
        <v>-721.40598490579998</v>
      </c>
      <c r="S212" s="20">
        <v>-722.55438056720004</v>
      </c>
      <c r="T212" s="20">
        <f>(S212-Q212)/2*27.211324570273</f>
        <v>-16.622561029022386</v>
      </c>
      <c r="U212" s="20">
        <f>(R212-Q212)*27.211324570273</f>
        <v>-1.9957549805944341</v>
      </c>
      <c r="V212" s="20">
        <f>(F212-I212-D212+G212)/2*27.211324570273</f>
        <v>0.32217418482525206</v>
      </c>
      <c r="W212" s="20">
        <f>(E212-H212-D212+G212)*27.211324570273</f>
        <v>-4.9019048795872905E-2</v>
      </c>
      <c r="X212" s="20">
        <f>(P212-O212-K212+J212)/2*27.211324570273</f>
        <v>-8.0985100627757781E-2</v>
      </c>
      <c r="Y212" s="20">
        <f>(N212-M212-L212+J212)*27.211324570273</f>
        <v>-1.7193548220017254</v>
      </c>
      <c r="Z212" s="21">
        <f>(F212+P212-O212-D212-K212+J212-2*C212)*27.211324570273</f>
        <v>-9.9375585935705271</v>
      </c>
      <c r="AA212" s="21">
        <f>(S212+F212-I212+P212-O212-Q212-D212+G212-K212+J212-2*C212)*27.211324570273</f>
        <v>-9.8681438896497831</v>
      </c>
      <c r="AB212" s="21">
        <f>(E212+N212-M212-D212-L212+J212)*27.211324570273</f>
        <v>-3.8431987047104985</v>
      </c>
      <c r="AC212" s="21">
        <f>(R212+E212-H212+N212-M212-Q212-D212+G212-L212+J212)*27.211324570273</f>
        <v>-3.7641288513951259</v>
      </c>
      <c r="AD212" s="20">
        <v>4.84</v>
      </c>
      <c r="AE212" s="20">
        <v>4.4400000000000004</v>
      </c>
      <c r="AF212" s="21">
        <f>-Z212/2-AE212</f>
        <v>0.52877929678526314</v>
      </c>
      <c r="AG212" s="21">
        <f>-AA212/2-AE212</f>
        <v>0.49407194482489114</v>
      </c>
      <c r="AH212" s="21">
        <f>-AB212-AD212</f>
        <v>-0.99680129528950134</v>
      </c>
      <c r="AI212" s="21">
        <f>-AC212-AD212</f>
        <v>-1.075871148604874</v>
      </c>
      <c r="AJ212" s="22">
        <v>0.58399999999999996</v>
      </c>
      <c r="AK212" s="21">
        <v>-0.879</v>
      </c>
      <c r="AL212" s="21">
        <f>AF212+(0.69-AF$5)</f>
        <v>0.4129738258360498</v>
      </c>
      <c r="AM212" s="21">
        <f>AG212+(0.69-AG$5)</f>
        <v>0.40541553077179637</v>
      </c>
      <c r="AN212" s="21">
        <f>AH212+(-0.8815-AH$5)</f>
        <v>-1.0502516987223349</v>
      </c>
      <c r="AO212" s="21">
        <f>AI212+(-0.8815-AI$5)</f>
        <v>-1.0439215201228689</v>
      </c>
      <c r="AP212" s="20">
        <f t="shared" si="16"/>
        <v>0.17102617416395016</v>
      </c>
      <c r="AQ212" s="20">
        <f t="shared" si="17"/>
        <v>0.17858446922820359</v>
      </c>
      <c r="AR212" s="20">
        <f t="shared" si="18"/>
        <v>0.17125169872233492</v>
      </c>
      <c r="AS212" s="20">
        <f t="shared" si="19"/>
        <v>0.16492152012286887</v>
      </c>
    </row>
    <row r="213" spans="1:45" ht="15" customHeight="1" x14ac:dyDescent="0.2">
      <c r="A213" s="26" t="s">
        <v>142</v>
      </c>
      <c r="B213" s="19" t="s">
        <v>31</v>
      </c>
      <c r="C213" s="20">
        <f t="shared" si="15"/>
        <v>-0.42068146923305594</v>
      </c>
      <c r="D213" s="20">
        <v>-720.48713999999995</v>
      </c>
      <c r="E213" s="20">
        <v>-720.56563000000006</v>
      </c>
      <c r="F213" s="20">
        <v>-721.697</v>
      </c>
      <c r="G213" s="20">
        <v>-720.60782656920003</v>
      </c>
      <c r="H213" s="20">
        <v>-720.68461957759996</v>
      </c>
      <c r="I213" s="20">
        <v>-721.84150929990005</v>
      </c>
      <c r="J213" s="20">
        <v>-720.54020163680002</v>
      </c>
      <c r="K213" s="20">
        <v>-720.5603982806</v>
      </c>
      <c r="L213" s="20">
        <v>-720.56470615379999</v>
      </c>
      <c r="M213" s="20">
        <v>-720.60334739109999</v>
      </c>
      <c r="N213" s="20">
        <v>-720.6910518482</v>
      </c>
      <c r="O213" s="20">
        <v>-721.7517551313</v>
      </c>
      <c r="P213" s="20">
        <v>-721.77793654000004</v>
      </c>
      <c r="Q213" s="20">
        <v>-720.88754261839995</v>
      </c>
      <c r="R213" s="20">
        <v>-720.96046303920002</v>
      </c>
      <c r="S213" s="20">
        <v>-722.11151699779998</v>
      </c>
      <c r="T213" s="20">
        <f>(S213-Q213)/2*27.211324570273</f>
        <v>-16.652982051776387</v>
      </c>
      <c r="U213" s="20">
        <f>(R213-Q213)*27.211324570273</f>
        <v>-1.9842612381916938</v>
      </c>
      <c r="V213" s="20">
        <f>(F213-I213-D213+G213)/2*27.211324570273</f>
        <v>0.32412402861362816</v>
      </c>
      <c r="W213" s="20">
        <f>(E213-H213-D213+G213)*27.211324570273</f>
        <v>-4.617738922524995E-2</v>
      </c>
      <c r="X213" s="20">
        <f>(P213-O213-K213+J213)/2*27.211324570273</f>
        <v>-8.1426690086196629E-2</v>
      </c>
      <c r="Y213" s="20">
        <f>(N213-M213-L213+J213)*27.211324570273</f>
        <v>-1.719754082884231</v>
      </c>
      <c r="Z213" s="21">
        <f>(F213+P213-O213-D213-K213+J213-2*C213)*27.211324570273</f>
        <v>-10.190146524764213</v>
      </c>
      <c r="AA213" s="21">
        <f>(S213+F213-I213+P213-O213-Q213-D213+G213-K213+J213-2*C213)*27.211324570273</f>
        <v>-9.9259694264917222</v>
      </c>
      <c r="AB213" s="21">
        <f>(E213+N213-M213-D213-L213+J213)*27.211324570273</f>
        <v>-3.8555709484077245</v>
      </c>
      <c r="AC213" s="21">
        <f>(R213+E213-H213+N213-M213-Q213-D213+G213-L213+J213)*27.211324570273</f>
        <v>-3.7501927103011745</v>
      </c>
      <c r="AD213" s="20">
        <v>4.84</v>
      </c>
      <c r="AE213" s="20">
        <v>4.4400000000000004</v>
      </c>
      <c r="AF213" s="21">
        <f>-Z213/2-AE213</f>
        <v>0.65507326238210606</v>
      </c>
      <c r="AG213" s="21">
        <f>-AA213/2-AE213</f>
        <v>0.52298471324586071</v>
      </c>
      <c r="AH213" s="21">
        <f>-AB213-AD213</f>
        <v>-0.98442905159227534</v>
      </c>
      <c r="AI213" s="21">
        <f>-AC213-AD213</f>
        <v>-1.0898072896988253</v>
      </c>
      <c r="AJ213" s="22">
        <v>0.58399999999999996</v>
      </c>
      <c r="AK213" s="21">
        <v>-0.879</v>
      </c>
      <c r="AL213" s="21">
        <f>AF213+(0.69-AF$6)</f>
        <v>0.41075257085730721</v>
      </c>
      <c r="AM213" s="21">
        <f>AG213+(0.69-AG$6)</f>
        <v>0.40659765193554565</v>
      </c>
      <c r="AN213" s="21">
        <f>AH213+(-0.8815-AH$6)</f>
        <v>-1.056753041988411</v>
      </c>
      <c r="AO213" s="21">
        <f>AI213+(-0.8815-AI$6)</f>
        <v>-1.038184776966224</v>
      </c>
      <c r="AP213" s="20">
        <f t="shared" si="16"/>
        <v>0.17324742914269275</v>
      </c>
      <c r="AQ213" s="20">
        <f t="shared" si="17"/>
        <v>0.17740234806445432</v>
      </c>
      <c r="AR213" s="20">
        <f t="shared" si="18"/>
        <v>0.17775304198841102</v>
      </c>
      <c r="AS213" s="20">
        <f t="shared" si="19"/>
        <v>0.15918477696622402</v>
      </c>
    </row>
    <row r="214" spans="1:45" ht="15" customHeight="1" x14ac:dyDescent="0.2">
      <c r="A214" s="26" t="s">
        <v>142</v>
      </c>
      <c r="B214" s="19" t="s">
        <v>32</v>
      </c>
      <c r="C214" s="20">
        <f t="shared" si="15"/>
        <v>-0.42068146923305594</v>
      </c>
      <c r="D214" s="20">
        <v>-720.44802000000004</v>
      </c>
      <c r="E214" s="20">
        <v>-720.52607</v>
      </c>
      <c r="F214" s="20">
        <v>-721.64863000000003</v>
      </c>
      <c r="G214" s="20">
        <v>-720.5680581419</v>
      </c>
      <c r="H214" s="20">
        <v>-720.64430672100002</v>
      </c>
      <c r="I214" s="20">
        <v>-721.79234756139999</v>
      </c>
      <c r="J214" s="20">
        <v>-720.54039848859998</v>
      </c>
      <c r="K214" s="20">
        <v>-720.56057567990001</v>
      </c>
      <c r="L214" s="20">
        <v>-720.56487104630003</v>
      </c>
      <c r="M214" s="20">
        <v>-720.60357862119997</v>
      </c>
      <c r="N214" s="20">
        <v>-720.69123644640001</v>
      </c>
      <c r="O214" s="20">
        <v>-721.75201509040005</v>
      </c>
      <c r="P214" s="20">
        <v>-721.77814459030003</v>
      </c>
      <c r="Q214" s="20">
        <v>-720.88335530979998</v>
      </c>
      <c r="R214" s="20">
        <v>-720.95546524079998</v>
      </c>
      <c r="S214" s="20">
        <v>-722.09717327240003</v>
      </c>
      <c r="T214" s="20">
        <f>(S214-Q214)/2*27.211324570273</f>
        <v>-16.514797274768679</v>
      </c>
      <c r="U214" s="20">
        <f>(R214-Q214)*27.211324570273</f>
        <v>-1.9622067371809895</v>
      </c>
      <c r="V214" s="20">
        <f>(F214-I214-D214+G214)/2*27.211324570273</f>
        <v>0.32217418482525206</v>
      </c>
      <c r="W214" s="20">
        <f>(E214-H214-D214+G214)*27.211324570273</f>
        <v>-4.9019048795872905E-2</v>
      </c>
      <c r="X214" s="20">
        <f>(P214-O214-K214+J214)/2*27.211324570273</f>
        <v>-8.0985100627757781E-2</v>
      </c>
      <c r="Y214" s="20">
        <f>(N214-M214-L214+J214)*27.211324570273</f>
        <v>-1.7193548220017254</v>
      </c>
      <c r="Z214" s="21">
        <f>(F214+P214-O214-D214-K214+J214-2*C214)*27.211324570273</f>
        <v>-9.9375585935705271</v>
      </c>
      <c r="AA214" s="21">
        <f>(S214+F214-I214+P214-O214-Q214-D214+G214-K214+J214-2*C214)*27.211324570273</f>
        <v>-9.6526163811454637</v>
      </c>
      <c r="AB214" s="21">
        <f>(E214+N214-M214-D214-L214+J214)*27.211324570273</f>
        <v>-3.8431987047104985</v>
      </c>
      <c r="AC214" s="21">
        <f>(R214+E214-H214+N214-M214-Q214-D214+G214-L214+J214)*27.211324570273</f>
        <v>-3.7305806079754942</v>
      </c>
      <c r="AD214" s="20">
        <v>4.84</v>
      </c>
      <c r="AE214" s="20">
        <v>4.4400000000000004</v>
      </c>
      <c r="AF214" s="21">
        <f>-Z214/2-AE214</f>
        <v>0.52877929678526314</v>
      </c>
      <c r="AG214" s="21">
        <f>-AA214/2-AE214</f>
        <v>0.38630819057273147</v>
      </c>
      <c r="AH214" s="21">
        <f>-AB214-AD214</f>
        <v>-0.99680129528950134</v>
      </c>
      <c r="AI214" s="21">
        <f>-AC214-AD214</f>
        <v>-1.1094193920245057</v>
      </c>
      <c r="AJ214" s="22">
        <v>0.58399999999999996</v>
      </c>
      <c r="AK214" s="21">
        <v>-0.879</v>
      </c>
      <c r="AL214" s="21">
        <f>AF214+(0.69-AF$7)</f>
        <v>0.4129738258360498</v>
      </c>
      <c r="AM214" s="21">
        <f>AG214+(0.69-AG$7)</f>
        <v>0.40688684981377454</v>
      </c>
      <c r="AN214" s="21">
        <f>AH214+(-0.8815-AH$7)</f>
        <v>-1.0502516987223349</v>
      </c>
      <c r="AO214" s="21">
        <f>AI214+(-0.8815-AI$7)</f>
        <v>-1.0299159493338004</v>
      </c>
      <c r="AP214" s="20">
        <f t="shared" si="16"/>
        <v>0.17102617416395016</v>
      </c>
      <c r="AQ214" s="20">
        <f t="shared" si="17"/>
        <v>0.17711315018622542</v>
      </c>
      <c r="AR214" s="20">
        <f t="shared" si="18"/>
        <v>0.17125169872233492</v>
      </c>
      <c r="AS214" s="20">
        <f t="shared" si="19"/>
        <v>0.15091594933380037</v>
      </c>
    </row>
    <row r="215" spans="1:45" ht="15" customHeight="1" x14ac:dyDescent="0.2">
      <c r="A215" s="26" t="s">
        <v>142</v>
      </c>
      <c r="B215" s="19" t="s">
        <v>33</v>
      </c>
      <c r="C215" s="20">
        <f t="shared" si="15"/>
        <v>-0.42068146923305594</v>
      </c>
      <c r="D215" s="20">
        <v>-720.76549999999997</v>
      </c>
      <c r="E215" s="20">
        <v>-720.83240000000001</v>
      </c>
      <c r="F215" s="20">
        <v>-721.95554000000004</v>
      </c>
      <c r="G215" s="20">
        <v>-720.88480075330006</v>
      </c>
      <c r="H215" s="20">
        <v>-720.94891475539998</v>
      </c>
      <c r="I215" s="20">
        <v>-722.09816905570005</v>
      </c>
      <c r="J215" s="20">
        <v>-720.54017189889998</v>
      </c>
      <c r="K215" s="20">
        <v>-720.56038947670004</v>
      </c>
      <c r="L215" s="20">
        <v>-720.56456614470005</v>
      </c>
      <c r="M215" s="20">
        <v>-720.60332228770005</v>
      </c>
      <c r="N215" s="20">
        <v>-720.69097414160001</v>
      </c>
      <c r="O215" s="20">
        <v>-721.75182724249999</v>
      </c>
      <c r="P215" s="20">
        <v>-721.77791129230002</v>
      </c>
      <c r="Q215" s="20">
        <v>-720.88408864789994</v>
      </c>
      <c r="R215" s="20">
        <v>-720.9560725389</v>
      </c>
      <c r="S215" s="20">
        <v>-722.09797662899996</v>
      </c>
      <c r="T215" s="20">
        <f>(S215-Q215)/2*27.211324570273</f>
        <v>-16.515749922832963</v>
      </c>
      <c r="U215" s="20">
        <f>(R215-Q215)*27.211324570273</f>
        <v>-1.9587770218337583</v>
      </c>
      <c r="V215" s="20">
        <f>(F215-I215-D215+G215)/2*27.211324570273</f>
        <v>0.31739700413901412</v>
      </c>
      <c r="W215" s="20">
        <f>(E215-H215-D215+G215)*27.211324570273</f>
        <v>-7.5810693111856994E-2</v>
      </c>
      <c r="X215" s="20">
        <f>(P215-O215-K215+J215)/2*27.211324570273</f>
        <v>-7.9817236836933023E-2</v>
      </c>
      <c r="Y215" s="20">
        <f>(N215-M215-L215+J215)*27.211324570273</f>
        <v>-1.721323305545204</v>
      </c>
      <c r="Z215" s="21">
        <f>(F215+P215-O215-D215-K215+J215-2*C215)*27.211324570273</f>
        <v>-9.6475991652833777</v>
      </c>
      <c r="AA215" s="21">
        <f>(S215+F215-I215+P215-O215-Q215-D215+G215-K215+J215-2*C215)*27.211324570273</f>
        <v>-9.6617403110617666</v>
      </c>
      <c r="AB215" s="21">
        <f>(E215+N215-M215-D215-L215+J215)*27.211324570273</f>
        <v>-3.5417609192973489</v>
      </c>
      <c r="AC215" s="21">
        <f>(R215+E215-H215+N215-M215-Q215-D215+G215-L215+J215)*27.211324570273</f>
        <v>-3.7559110204877255</v>
      </c>
      <c r="AD215" s="20">
        <v>4.84</v>
      </c>
      <c r="AE215" s="20">
        <v>4.4400000000000004</v>
      </c>
      <c r="AF215" s="21">
        <f>-Z215/2-AE215</f>
        <v>0.38379958264168845</v>
      </c>
      <c r="AG215" s="21">
        <f>-AA215/2-AE215</f>
        <v>0.39087015553088289</v>
      </c>
      <c r="AH215" s="21">
        <f>-AB215-AD215</f>
        <v>-1.2982390807026509</v>
      </c>
      <c r="AI215" s="21">
        <f>-AC215-AD215</f>
        <v>-1.0840889795122743</v>
      </c>
      <c r="AJ215" s="22">
        <v>0.58399999999999996</v>
      </c>
      <c r="AK215" s="21">
        <v>-0.879</v>
      </c>
      <c r="AL215" s="21">
        <f>AF215+(0.69-AF$8)</f>
        <v>0.40436155998121626</v>
      </c>
      <c r="AM215" s="21">
        <f>AG215+(0.69-AG$8)</f>
        <v>0.4092397382201578</v>
      </c>
      <c r="AN215" s="21">
        <f>AH215+(-0.8815-AH$8)</f>
        <v>-0.79256521158060922</v>
      </c>
      <c r="AO215" s="21">
        <f>AI215+(-0.8815-AI$8)</f>
        <v>-1.0466722476211645</v>
      </c>
      <c r="AP215" s="20">
        <f t="shared" si="16"/>
        <v>0.17963844001878371</v>
      </c>
      <c r="AQ215" s="20">
        <f t="shared" si="17"/>
        <v>0.17476026177984216</v>
      </c>
      <c r="AR215" s="20">
        <f t="shared" si="18"/>
        <v>8.6434788419390784E-2</v>
      </c>
      <c r="AS215" s="20">
        <f t="shared" si="19"/>
        <v>0.16767224762116451</v>
      </c>
    </row>
    <row r="216" spans="1:45" ht="15" customHeight="1" x14ac:dyDescent="0.2">
      <c r="A216" s="26" t="s">
        <v>142</v>
      </c>
      <c r="B216" s="19" t="s">
        <v>174</v>
      </c>
      <c r="C216" s="20">
        <f t="shared" si="15"/>
        <v>-0.42068146923305594</v>
      </c>
      <c r="D216" s="20">
        <v>-720.76513</v>
      </c>
      <c r="E216" s="20">
        <v>-720.83668</v>
      </c>
      <c r="F216" s="20">
        <v>-721.95564999999999</v>
      </c>
      <c r="G216" s="20">
        <v>-720.88441353530004</v>
      </c>
      <c r="H216" s="20">
        <v>-720.95331533000001</v>
      </c>
      <c r="I216" s="20">
        <v>-722.09845859840004</v>
      </c>
      <c r="J216" s="20">
        <v>-720.54014918730002</v>
      </c>
      <c r="K216" s="20">
        <v>-720.5603687309</v>
      </c>
      <c r="L216" s="20">
        <v>-720.56455155640003</v>
      </c>
      <c r="M216" s="20">
        <v>-720.60336458970005</v>
      </c>
      <c r="N216" s="20">
        <v>-720.69089779900003</v>
      </c>
      <c r="O216" s="20">
        <v>-721.75183821190001</v>
      </c>
      <c r="P216" s="20">
        <v>-721.77792554730001</v>
      </c>
      <c r="Q216" s="20">
        <v>-720.8840886278</v>
      </c>
      <c r="R216" s="20">
        <v>-720.95616167690002</v>
      </c>
      <c r="S216" s="20">
        <v>-722.09797700800004</v>
      </c>
      <c r="T216" s="20">
        <f>(S216-Q216)/2*27.211324570273</f>
        <v>-16.515755352853208</v>
      </c>
      <c r="U216" s="20">
        <f>(R216-Q216)*27.211324570273</f>
        <v>-1.9612031318300507</v>
      </c>
      <c r="V216" s="20">
        <f>(F216-I216-D216+G216)/2*27.211324570273</f>
        <v>0.3200740637752611</v>
      </c>
      <c r="W216" s="20">
        <f>(E216-H216-D216+G216)*27.211324570273</f>
        <v>-7.2061173947932128E-2</v>
      </c>
      <c r="X216" s="20">
        <f>(P216-O216-K216+J216)/2*27.211324570273</f>
        <v>-7.9835193590680961E-2</v>
      </c>
      <c r="Y216" s="20">
        <f>(N216-M216-L216+J216)*27.211324570273</f>
        <v>-1.7178737830751609</v>
      </c>
      <c r="Z216" s="21">
        <f>(F216+P216-O216-D216-K216+J216-2*C216)*27.211324570273</f>
        <v>-9.660696514582563</v>
      </c>
      <c r="AA216" s="21">
        <f>(S216+F216-I216+P216-O216-Q216-D216+G216-K216+J216-2*C216)*27.211324570273</f>
        <v>-9.6564329653403487</v>
      </c>
      <c r="AB216" s="21">
        <f>(E216+N216-M216-D216-L216+J216)*27.211324570273</f>
        <v>-3.6648440560782487</v>
      </c>
      <c r="AC216" s="21">
        <f>(R216+E216-H216+N216-M216-Q216-D216+G216-L216+J216)*27.211324570273</f>
        <v>-3.7511380888531436</v>
      </c>
      <c r="AD216" s="20">
        <v>4.84</v>
      </c>
      <c r="AE216" s="20">
        <v>4.4400000000000004</v>
      </c>
      <c r="AF216" s="21">
        <f>-Z216/2-AE216</f>
        <v>0.39034825729128109</v>
      </c>
      <c r="AG216" s="21">
        <f>-AA216/2-AE216</f>
        <v>0.38821648267017395</v>
      </c>
      <c r="AH216" s="21">
        <f>-AB216-AD216</f>
        <v>-1.1751559439217512</v>
      </c>
      <c r="AI216" s="21">
        <f>-AC216-AD216</f>
        <v>-1.0888619111468563</v>
      </c>
      <c r="AJ216" s="22">
        <v>0.58399999999999996</v>
      </c>
      <c r="AK216" s="21">
        <v>-0.879</v>
      </c>
      <c r="AL216" s="21">
        <f>AF216+(0.69-AF$9)</f>
        <v>0.40592096208125072</v>
      </c>
      <c r="AM216" s="21">
        <f>AG216+(0.69-AG$9)</f>
        <v>0.40584362341754554</v>
      </c>
      <c r="AN216" s="21">
        <f>AH216+(-0.8815-AH$9)</f>
        <v>-1.049052830346406</v>
      </c>
      <c r="AO216" s="21">
        <f>AI216+(-0.8815-AI$9)</f>
        <v>-1.0109460669273349</v>
      </c>
      <c r="AP216" s="20">
        <f t="shared" si="16"/>
        <v>0.17807903791874924</v>
      </c>
      <c r="AQ216" s="20">
        <f t="shared" si="17"/>
        <v>0.17815637658245442</v>
      </c>
      <c r="AR216" s="20">
        <f t="shared" si="18"/>
        <v>0.17005283034640595</v>
      </c>
      <c r="AS216" s="20">
        <f t="shared" si="19"/>
        <v>0.1319460669273349</v>
      </c>
    </row>
    <row r="217" spans="1:45" ht="15" customHeight="1" x14ac:dyDescent="0.2">
      <c r="A217" s="26" t="s">
        <v>142</v>
      </c>
      <c r="B217" s="19" t="s">
        <v>43</v>
      </c>
      <c r="C217" s="20">
        <f t="shared" si="15"/>
        <v>-0.42068146923305594</v>
      </c>
      <c r="D217" s="20">
        <v>-720.44802000000004</v>
      </c>
      <c r="E217" s="20">
        <v>-720.52607</v>
      </c>
      <c r="F217" s="20">
        <v>-721.64863000000003</v>
      </c>
      <c r="G217" s="20">
        <v>-720.5680581419</v>
      </c>
      <c r="H217" s="20">
        <v>-720.64430672100002</v>
      </c>
      <c r="I217" s="20">
        <v>-721.79234756139999</v>
      </c>
      <c r="J217" s="20">
        <v>-720.54039848859998</v>
      </c>
      <c r="K217" s="20">
        <v>-720.56057567990001</v>
      </c>
      <c r="L217" s="20">
        <v>-720.56487104630003</v>
      </c>
      <c r="M217" s="20">
        <v>-720.60357862119997</v>
      </c>
      <c r="N217" s="20">
        <v>-720.69123644640001</v>
      </c>
      <c r="O217" s="20">
        <v>-721.75201509040005</v>
      </c>
      <c r="P217" s="20">
        <v>-721.77814459030003</v>
      </c>
      <c r="Q217" s="20">
        <v>-719.85787140537002</v>
      </c>
      <c r="R217" s="20">
        <v>-719.92955389424799</v>
      </c>
      <c r="S217" s="20">
        <v>-721.08569300229897</v>
      </c>
      <c r="T217" s="20">
        <f>(S217-Q217)/2*27.211324570273</f>
        <v>-16.705325994212252</v>
      </c>
      <c r="U217" s="20">
        <f>(R217-Q217)*27.211324570273</f>
        <v>-1.9505754708633813</v>
      </c>
      <c r="V217" s="20">
        <f>(F217-I217-D217+G217)/2*27.211324570273</f>
        <v>0.32217418482525206</v>
      </c>
      <c r="W217" s="20">
        <f>(E217-H217-D217+G217)*27.211324570273</f>
        <v>-4.9019048795872905E-2</v>
      </c>
      <c r="X217" s="20">
        <f>(P217-O217-K217+J217)/2*27.211324570273</f>
        <v>-8.0985100627757781E-2</v>
      </c>
      <c r="Y217" s="20">
        <f>(N217-M217-L217+J217)*27.211324570273</f>
        <v>-1.7193548220017254</v>
      </c>
      <c r="Z217" s="21">
        <f>(F217+P217-O217-D217-K217+J217-2*C217)*27.211324570273</f>
        <v>-9.9375585935705271</v>
      </c>
      <c r="AA217" s="21">
        <f>(S217+F217-I217+P217-O217-Q217-D217+G217-K217+J217-2*C217)*27.211324570273</f>
        <v>-10.03367382002333</v>
      </c>
      <c r="AB217" s="21">
        <f>(E217+N217-M217-D217-L217+J217)*27.211324570273</f>
        <v>-3.8431987047104985</v>
      </c>
      <c r="AC217" s="21">
        <f>(R217+E217-H217+N217-M217-Q217-D217+G217-L217+J217)*27.211324570273</f>
        <v>-3.7189493416640729</v>
      </c>
      <c r="AD217" s="20">
        <v>4.84</v>
      </c>
      <c r="AE217" s="20">
        <v>4.4400000000000004</v>
      </c>
      <c r="AF217" s="21">
        <f>-Z217/2-AE217</f>
        <v>0.52877929678526314</v>
      </c>
      <c r="AG217" s="21">
        <f>-AA217/2-AE217</f>
        <v>0.57683691001166437</v>
      </c>
      <c r="AH217" s="21">
        <f>-AB217-AD217</f>
        <v>-0.99680129528950134</v>
      </c>
      <c r="AI217" s="21">
        <f>-AC217-AD217</f>
        <v>-1.121050658335927</v>
      </c>
      <c r="AJ217" s="22">
        <v>0.58399999999999996</v>
      </c>
      <c r="AK217" s="21">
        <v>-0.879</v>
      </c>
      <c r="AL217" s="21">
        <f>AF217+(0.69-AF$10)</f>
        <v>0.4129738258360498</v>
      </c>
      <c r="AM217" s="21">
        <f>AG217+(0.69-AG$10)</f>
        <v>0.47017454301959605</v>
      </c>
      <c r="AN217" s="21">
        <f>AH217+(-0.8815-AH$10)</f>
        <v>-1.0502516987223349</v>
      </c>
      <c r="AO217" s="21">
        <f>AI217+(-0.8815-AI$10)</f>
        <v>-0.93853254670855257</v>
      </c>
      <c r="AP217" s="20">
        <f t="shared" si="16"/>
        <v>0.17102617416395016</v>
      </c>
      <c r="AQ217" s="20">
        <f t="shared" si="17"/>
        <v>0.11382545698040392</v>
      </c>
      <c r="AR217" s="20">
        <f t="shared" si="18"/>
        <v>0.17125169872233492</v>
      </c>
      <c r="AS217" s="20">
        <f t="shared" si="19"/>
        <v>5.9532546708552569E-2</v>
      </c>
    </row>
    <row r="218" spans="1:45" x14ac:dyDescent="0.2">
      <c r="A218" s="26" t="s">
        <v>143</v>
      </c>
      <c r="B218" s="19" t="s">
        <v>27</v>
      </c>
      <c r="C218" s="20">
        <f t="shared" si="15"/>
        <v>-0.42068146923305594</v>
      </c>
      <c r="D218" s="20">
        <v>-2219.0899399999998</v>
      </c>
      <c r="E218" s="20">
        <v>-2219.2068899999999</v>
      </c>
      <c r="F218" s="20">
        <v>-2220.3320100000001</v>
      </c>
      <c r="G218" s="20">
        <v>-2219.0985181584001</v>
      </c>
      <c r="H218" s="20">
        <v>-2219.2139306435001</v>
      </c>
      <c r="I218" s="20">
        <v>-2220.3655957761998</v>
      </c>
      <c r="J218" s="20">
        <v>-2219.5229744838002</v>
      </c>
      <c r="K218" s="20">
        <v>-2219.5283316956002</v>
      </c>
      <c r="L218" s="20">
        <v>-2219.5376011863</v>
      </c>
      <c r="M218" s="20">
        <v>-2219.6235065674</v>
      </c>
      <c r="N218" s="20">
        <v>-2219.6967216572002</v>
      </c>
      <c r="O218" s="20">
        <v>-2220.7713742853002</v>
      </c>
      <c r="P218" s="20">
        <v>-2220.7795314683999</v>
      </c>
      <c r="Q218" s="20">
        <v>-2220.1153803575999</v>
      </c>
      <c r="R218" s="20">
        <v>-2220.2263631157998</v>
      </c>
      <c r="S218" s="20">
        <v>-2221.3785814112998</v>
      </c>
      <c r="T218" s="20">
        <f>(S218-Q218)/2*27.211324570273</f>
        <v>-17.186686934870213</v>
      </c>
      <c r="U218" s="20">
        <f>(R218-Q218)*27.211324570273</f>
        <v>-3.019987855083035</v>
      </c>
      <c r="V218" s="20">
        <f>(F218-I218-D218+G218)/2*27.211324570273</f>
        <v>0.340245202335415</v>
      </c>
      <c r="W218" s="20">
        <f>(E218-H218-D218+G218)*27.211324570273</f>
        <v>-4.1837816977291602E-2</v>
      </c>
      <c r="X218" s="20">
        <f>(P218-O218-K218+J218)/2*27.211324570273</f>
        <v>-3.8095463912297428E-2</v>
      </c>
      <c r="Y218" s="20">
        <f>(N218-M218-L218+J218)*27.211324570273</f>
        <v>-1.5942676228816901</v>
      </c>
      <c r="Z218" s="21">
        <f>(F218+P218-O218-D218-K218+J218-2*C218)*27.211324570273</f>
        <v>-10.979960836830106</v>
      </c>
      <c r="AA218" s="21">
        <f>(S218+F218-I218+P218-O218-Q218-D218+G218-K218+J218-2*C218)*27.211324570273</f>
        <v>-10.874474392906569</v>
      </c>
      <c r="AB218" s="21">
        <f>(E218+N218-M218-D218-L218+J218)*27.211324570273</f>
        <v>-4.7766320313898873</v>
      </c>
      <c r="AC218" s="21">
        <f>(R218+E218-H218+N218-M218-Q218-D218+G218-L218+J218)*27.211324570273</f>
        <v>-4.6560932949420168</v>
      </c>
      <c r="AD218" s="20">
        <v>4.84</v>
      </c>
      <c r="AE218" s="20">
        <v>4.4400000000000004</v>
      </c>
      <c r="AF218" s="21">
        <f>-Z218/2-AE218</f>
        <v>1.0499804184150525</v>
      </c>
      <c r="AG218" s="21">
        <f>-AA218/2-AE218</f>
        <v>0.99723719645328401</v>
      </c>
      <c r="AH218" s="21">
        <f>-AB218-AD218</f>
        <v>-6.3367968610112513E-2</v>
      </c>
      <c r="AI218" s="21">
        <f>-AC218-AD218</f>
        <v>-0.18390670505798301</v>
      </c>
      <c r="AJ218" s="22">
        <v>0.83299999999999996</v>
      </c>
      <c r="AK218" s="21">
        <v>-0.28999999999999998</v>
      </c>
      <c r="AL218" s="27">
        <f>AF218+(0.69-AF$2)</f>
        <v>0.86717390844099329</v>
      </c>
      <c r="AM218" s="27">
        <f>AG218+(0.69-AG$2)</f>
        <v>0.8399672206903479</v>
      </c>
      <c r="AN218" s="27">
        <f>AH218+(-0.8815-AH$2)</f>
        <v>-0.23788891572103932</v>
      </c>
      <c r="AO218" s="27">
        <f>AI218+(-0.8815-AI$2)</f>
        <v>-0.28976833733811347</v>
      </c>
      <c r="AP218" s="20">
        <f t="shared" si="16"/>
        <v>3.4173908440993328E-2</v>
      </c>
      <c r="AQ218" s="20">
        <f t="shared" si="17"/>
        <v>6.9672206903479417E-3</v>
      </c>
      <c r="AR218" s="20">
        <f t="shared" si="18"/>
        <v>5.2111084278960662E-2</v>
      </c>
      <c r="AS218" s="20">
        <f t="shared" si="19"/>
        <v>2.3166266188651141E-4</v>
      </c>
    </row>
    <row r="219" spans="1:45" ht="15" customHeight="1" x14ac:dyDescent="0.2">
      <c r="A219" s="26" t="s">
        <v>143</v>
      </c>
      <c r="B219" s="19" t="s">
        <v>145</v>
      </c>
      <c r="C219" s="20">
        <f t="shared" si="15"/>
        <v>-0.42068146923305594</v>
      </c>
      <c r="D219" s="20">
        <v>-2218.8093600000002</v>
      </c>
      <c r="E219" s="20">
        <v>-2218.9255899999998</v>
      </c>
      <c r="F219" s="20">
        <v>-2220.0506500000001</v>
      </c>
      <c r="G219" s="20">
        <v>-2218.8206955955998</v>
      </c>
      <c r="H219" s="20">
        <v>-2218.9353579311</v>
      </c>
      <c r="I219" s="20">
        <v>-2220.0865857814001</v>
      </c>
      <c r="J219" s="20">
        <v>-2219.5233943285998</v>
      </c>
      <c r="K219" s="20">
        <v>-2219.5284979667999</v>
      </c>
      <c r="L219" s="20">
        <v>-2219.5378465705999</v>
      </c>
      <c r="M219" s="20">
        <v>-2219.6238439149001</v>
      </c>
      <c r="N219" s="20">
        <v>-2219.6970910591999</v>
      </c>
      <c r="O219" s="20">
        <v>-2220.7717239525</v>
      </c>
      <c r="P219" s="20">
        <v>-2220.7798197821999</v>
      </c>
      <c r="Q219" s="20">
        <v>-2219.8328998694001</v>
      </c>
      <c r="R219" s="20">
        <v>-2219.9430992347998</v>
      </c>
      <c r="S219" s="20">
        <v>-2221.0960312312</v>
      </c>
      <c r="T219" s="20">
        <f>(S219-Q219)/2*27.211324570273</f>
        <v>-17.185738730413714</v>
      </c>
      <c r="U219" s="20">
        <f>(R219-Q219)*27.211324570273</f>
        <v>-2.9986706993291916</v>
      </c>
      <c r="V219" s="20">
        <f>(F219-I219-D219+G219)/2*27.211324570273</f>
        <v>0.33470182015197841</v>
      </c>
      <c r="W219" s="20">
        <f>(E219-H219-D219+G219)*27.211324570273</f>
        <v>-4.2658227509429936E-2</v>
      </c>
      <c r="X219" s="20">
        <f>(P219-O219-K219+J219)/2*27.211324570273</f>
        <v>-4.071074703796014E-2</v>
      </c>
      <c r="Y219" s="20">
        <f>(N219-M219-L219+J219)*27.211324570273</f>
        <v>-1.5998871695552697</v>
      </c>
      <c r="Z219" s="21">
        <f>(F219+P219-O219-D219-K219+J219-2*C219)*27.211324570273</f>
        <v>-10.963966569920709</v>
      </c>
      <c r="AA219" s="21">
        <f>(S219+F219-I219+P219-O219-Q219-D219+G219-K219+J219-2*C219)*27.211324570273</f>
        <v>-10.888895314599392</v>
      </c>
      <c r="AB219" s="21">
        <f>(E219+N219-M219-D219-L219+J219)*27.211324570273</f>
        <v>-4.7626594243480902</v>
      </c>
      <c r="AC219" s="21">
        <f>(R219+E219-H219+N219-M219-Q219-D219+G219-L219+J219)*27.211324570273</f>
        <v>-4.6412160963938911</v>
      </c>
      <c r="AD219" s="20">
        <v>4.84</v>
      </c>
      <c r="AE219" s="20">
        <v>4.4400000000000004</v>
      </c>
      <c r="AF219" s="21">
        <f>-Z219/2-AE219</f>
        <v>1.0419832849603541</v>
      </c>
      <c r="AG219" s="21">
        <f>-AA219/2-AE219</f>
        <v>1.0044476572996954</v>
      </c>
      <c r="AH219" s="21">
        <f>-AB219-AD219</f>
        <v>-7.734057565190966E-2</v>
      </c>
      <c r="AI219" s="21">
        <f>-AC219-AD219</f>
        <v>-0.19878390360610876</v>
      </c>
      <c r="AJ219" s="22">
        <v>0.83299999999999996</v>
      </c>
      <c r="AK219" s="21">
        <v>-0.28999999999999998</v>
      </c>
      <c r="AL219" s="27">
        <f>AF219+(0.69-AF$3)</f>
        <v>0.88270144399757955</v>
      </c>
      <c r="AM219" s="27">
        <f>AG219+(0.69-AG$3)</f>
        <v>0.85576747084008575</v>
      </c>
      <c r="AN219" s="27">
        <f>AH219+(-0.8815-AH$3)</f>
        <v>-0.14893533248137825</v>
      </c>
      <c r="AO219" s="27">
        <f>AI219+(-0.8815-AI$3)</f>
        <v>-0.23647844669885476</v>
      </c>
      <c r="AP219" s="20">
        <f t="shared" si="16"/>
        <v>4.9701443997579586E-2</v>
      </c>
      <c r="AQ219" s="20">
        <f t="shared" si="17"/>
        <v>2.2767470840085791E-2</v>
      </c>
      <c r="AR219" s="20">
        <f t="shared" si="18"/>
        <v>0.14106466751862173</v>
      </c>
      <c r="AS219" s="20">
        <f t="shared" si="19"/>
        <v>5.3521553301145219E-2</v>
      </c>
    </row>
    <row r="220" spans="1:45" ht="15" customHeight="1" x14ac:dyDescent="0.2">
      <c r="A220" s="26" t="s">
        <v>143</v>
      </c>
      <c r="B220" s="19" t="s">
        <v>29</v>
      </c>
      <c r="C220" s="20">
        <f t="shared" si="15"/>
        <v>-0.42068146923305594</v>
      </c>
      <c r="D220" s="20">
        <v>-2219.1465499999999</v>
      </c>
      <c r="E220" s="20">
        <v>-2219.2615500000002</v>
      </c>
      <c r="F220" s="20">
        <v>-2220.3945600000002</v>
      </c>
      <c r="G220" s="20">
        <v>-2219.1564799907001</v>
      </c>
      <c r="H220" s="20">
        <v>-2219.2702749637001</v>
      </c>
      <c r="I220" s="20">
        <v>-2220.4295990375999</v>
      </c>
      <c r="J220" s="20">
        <v>-2219.5234400158001</v>
      </c>
      <c r="K220" s="20">
        <v>-2219.5286128345001</v>
      </c>
      <c r="L220" s="20">
        <v>-2219.5379235421001</v>
      </c>
      <c r="M220" s="20">
        <v>-2219.6238247254</v>
      </c>
      <c r="N220" s="20">
        <v>-2219.6971887042</v>
      </c>
      <c r="O220" s="20">
        <v>-2220.7717174582999</v>
      </c>
      <c r="P220" s="20">
        <v>-2220.7797813867001</v>
      </c>
      <c r="Q220" s="20">
        <v>-2220.1656189314999</v>
      </c>
      <c r="R220" s="20">
        <v>-2220.2743985744</v>
      </c>
      <c r="S220" s="20">
        <v>-2221.4350318503998</v>
      </c>
      <c r="T220" s="20">
        <f>(S220-Q220)/2*27.211324570273</f>
        <v>-17.271203474941252</v>
      </c>
      <c r="U220" s="20">
        <f>(R220-Q220)*27.211324570273</f>
        <v>-2.9600381695934854</v>
      </c>
      <c r="V220" s="20">
        <f>(F220-I220-D220+G220)/2*27.211324570273</f>
        <v>0.34162521241782012</v>
      </c>
      <c r="W220" s="20">
        <f>(E220-H220-D220+G220)*27.211324570273</f>
        <v>-3.2790380818287307E-2</v>
      </c>
      <c r="X220" s="20">
        <f>(P220-O220-K220+J220)/2*27.211324570273</f>
        <v>-3.9335462209635637E-2</v>
      </c>
      <c r="Y220" s="20">
        <f>(N220-M220-L220+J220)*27.211324570273</f>
        <v>-1.6022151038229717</v>
      </c>
      <c r="Z220" s="21">
        <f>(F220+P220-O220-D220-K220+J220-2*C220)*27.211324570273</f>
        <v>-11.144076101384838</v>
      </c>
      <c r="AA220" s="21">
        <f>(S220+F220-I220+P220-O220-Q220-D220+G220-K220+J220-2*C220)*27.211324570273</f>
        <v>-11.043227449453763</v>
      </c>
      <c r="AB220" s="21">
        <f>(E220+N220-M220-D220-L220+J220)*27.211324570273</f>
        <v>-4.7315174294108013</v>
      </c>
      <c r="AC220" s="21">
        <f>(R220+E220-H220+N220-M220-Q220-D220+G220-L220+J220)*27.211324570273</f>
        <v>-4.5950436542347441</v>
      </c>
      <c r="AD220" s="20">
        <v>4.84</v>
      </c>
      <c r="AE220" s="20">
        <v>4.4400000000000004</v>
      </c>
      <c r="AF220" s="21">
        <f>-Z220/2-AE220</f>
        <v>1.1320380506924188</v>
      </c>
      <c r="AG220" s="21">
        <f>-AA220/2-AE220</f>
        <v>1.0816137247268811</v>
      </c>
      <c r="AH220" s="21">
        <f>-AB220-AD220</f>
        <v>-0.10848257058919852</v>
      </c>
      <c r="AI220" s="21">
        <f>-AC220-AD220</f>
        <v>-0.24495634576525571</v>
      </c>
      <c r="AJ220" s="22">
        <v>0.83299999999999996</v>
      </c>
      <c r="AK220" s="21">
        <v>-0.28999999999999998</v>
      </c>
      <c r="AL220" s="21">
        <f>AF220+(0.69-AF$4)</f>
        <v>0.88771735916761996</v>
      </c>
      <c r="AM220" s="21">
        <f>AG220+(0.69-AG$4)</f>
        <v>0.8573274797623287</v>
      </c>
      <c r="AN220" s="21">
        <f>AH220+(-0.8815-AH$4)</f>
        <v>-0.18080656098533421</v>
      </c>
      <c r="AO220" s="21">
        <f>AI220+(-0.8815-AI$4)</f>
        <v>-0.24354384531628614</v>
      </c>
      <c r="AP220" s="20">
        <f t="shared" si="16"/>
        <v>5.4717359167619994E-2</v>
      </c>
      <c r="AQ220" s="20">
        <f t="shared" si="17"/>
        <v>2.4327479762328741E-2</v>
      </c>
      <c r="AR220" s="20">
        <f t="shared" si="18"/>
        <v>0.10919343901466577</v>
      </c>
      <c r="AS220" s="20">
        <f t="shared" si="19"/>
        <v>4.6456154683713835E-2</v>
      </c>
    </row>
    <row r="221" spans="1:45" ht="15" customHeight="1" x14ac:dyDescent="0.2">
      <c r="A221" s="26" t="s">
        <v>143</v>
      </c>
      <c r="B221" s="19" t="s">
        <v>30</v>
      </c>
      <c r="C221" s="20">
        <f t="shared" si="15"/>
        <v>-0.42068146923305594</v>
      </c>
      <c r="D221" s="20">
        <v>-2219.33527</v>
      </c>
      <c r="E221" s="20">
        <v>-2219.4491499999999</v>
      </c>
      <c r="F221" s="20">
        <v>-2220.5733599999999</v>
      </c>
      <c r="G221" s="20">
        <v>-2219.3444888677</v>
      </c>
      <c r="H221" s="20">
        <v>-2219.4571422845002</v>
      </c>
      <c r="I221" s="20">
        <v>-2220.6077040092</v>
      </c>
      <c r="J221" s="20">
        <v>-2219.5234122257002</v>
      </c>
      <c r="K221" s="20">
        <v>-2219.5286126235001</v>
      </c>
      <c r="L221" s="20">
        <v>-2219.5379605457001</v>
      </c>
      <c r="M221" s="20">
        <v>-2219.6238610062001</v>
      </c>
      <c r="N221" s="20">
        <v>-2219.6971236807999</v>
      </c>
      <c r="O221" s="20">
        <v>-2220.7717071269999</v>
      </c>
      <c r="P221" s="20">
        <v>-2220.7797970672</v>
      </c>
      <c r="Q221" s="20">
        <v>-2220.3517202303001</v>
      </c>
      <c r="R221" s="20">
        <v>-2220.4586247480001</v>
      </c>
      <c r="S221" s="20">
        <v>-2221.610542806</v>
      </c>
      <c r="T221" s="20">
        <f>(S221-Q221)/2*27.211324570273</f>
        <v>-17.127114841878836</v>
      </c>
      <c r="U221" s="20">
        <f>(R221-Q221)*27.211324570273</f>
        <v>-2.9090135291647985</v>
      </c>
      <c r="V221" s="20">
        <f>(F221-I221-D221+G221)/2*27.211324570273</f>
        <v>0.34184419011814704</v>
      </c>
      <c r="W221" s="20">
        <f>(E221-H221-D221+G221)*27.211324570273</f>
        <v>-3.3376953559360864E-2</v>
      </c>
      <c r="X221" s="20">
        <f>(P221-O221-K221+J221)/2*27.211324570273</f>
        <v>-3.9314138056054479E-2</v>
      </c>
      <c r="Y221" s="20">
        <f>(N221-M221-L221+J221)*27.211324570273</f>
        <v>-1.5976953599531356</v>
      </c>
      <c r="Z221" s="21">
        <f>(F221+P221-O221-D221-K221+J221-2*C221)*27.211324570273</f>
        <v>-10.874097113329134</v>
      </c>
      <c r="AA221" s="21">
        <f>(S221+F221-I221+P221-O221-Q221-D221+G221-K221+J221-2*C221)*27.211324570273</f>
        <v>-10.75456957963349</v>
      </c>
      <c r="AB221" s="21">
        <f>(E221+N221-M221-D221-L221+J221)*27.211324570273</f>
        <v>-4.6965210020125854</v>
      </c>
      <c r="AC221" s="21">
        <f>(R221+E221-H221+N221-M221-Q221-D221+G221-L221+J221)*27.211324570273</f>
        <v>-4.5400858427020436</v>
      </c>
      <c r="AD221" s="20">
        <v>4.84</v>
      </c>
      <c r="AE221" s="20">
        <v>4.4400000000000004</v>
      </c>
      <c r="AF221" s="21">
        <f>-Z221/2-AE221</f>
        <v>0.99704855666456638</v>
      </c>
      <c r="AG221" s="21">
        <f>-AA221/2-AE221</f>
        <v>0.93728478981674446</v>
      </c>
      <c r="AH221" s="21">
        <f>-AB221-AD221</f>
        <v>-0.14347899798741448</v>
      </c>
      <c r="AI221" s="21">
        <f>-AC221-AD221</f>
        <v>-0.29991415729795623</v>
      </c>
      <c r="AJ221" s="22">
        <v>0.83299999999999996</v>
      </c>
      <c r="AK221" s="21">
        <v>-0.28999999999999998</v>
      </c>
      <c r="AL221" s="21">
        <f>AF221+(0.69-AF$5)</f>
        <v>0.88124308571535304</v>
      </c>
      <c r="AM221" s="21">
        <f>AG221+(0.69-AG$5)</f>
        <v>0.84862837576364969</v>
      </c>
      <c r="AN221" s="21">
        <f>AH221+(-0.8815-AH$5)</f>
        <v>-0.19692940142024806</v>
      </c>
      <c r="AO221" s="21">
        <f>AI221+(-0.8815-AI$5)</f>
        <v>-0.26796452881595112</v>
      </c>
      <c r="AP221" s="20">
        <f t="shared" si="16"/>
        <v>4.8243085715353073E-2</v>
      </c>
      <c r="AQ221" s="20">
        <f t="shared" si="17"/>
        <v>1.5628375763649727E-2</v>
      </c>
      <c r="AR221" s="20">
        <f t="shared" si="18"/>
        <v>9.3070598579751918E-2</v>
      </c>
      <c r="AS221" s="20">
        <f t="shared" si="19"/>
        <v>2.203547118404886E-2</v>
      </c>
    </row>
    <row r="222" spans="1:45" ht="15" customHeight="1" x14ac:dyDescent="0.2">
      <c r="A222" s="26" t="s">
        <v>143</v>
      </c>
      <c r="B222" s="19" t="s">
        <v>31</v>
      </c>
      <c r="C222" s="20">
        <f t="shared" si="15"/>
        <v>-0.42068146923305594</v>
      </c>
      <c r="D222" s="20">
        <v>-2219.1465499999999</v>
      </c>
      <c r="E222" s="20">
        <v>-2219.2615500000002</v>
      </c>
      <c r="F222" s="20">
        <v>-2220.3945600000002</v>
      </c>
      <c r="G222" s="20">
        <v>-2219.1564799907001</v>
      </c>
      <c r="H222" s="20">
        <v>-2219.2702749637001</v>
      </c>
      <c r="I222" s="20">
        <v>-2220.4295990375999</v>
      </c>
      <c r="J222" s="20">
        <v>-2219.5234400158001</v>
      </c>
      <c r="K222" s="20">
        <v>-2219.5286128345001</v>
      </c>
      <c r="L222" s="20">
        <v>-2219.5379235421001</v>
      </c>
      <c r="M222" s="20">
        <v>-2219.6238247254</v>
      </c>
      <c r="N222" s="20">
        <v>-2219.6971887042</v>
      </c>
      <c r="O222" s="20">
        <v>-2220.7717174582999</v>
      </c>
      <c r="P222" s="20">
        <v>-2220.7797813867001</v>
      </c>
      <c r="Q222" s="20">
        <v>-2219.6453778301998</v>
      </c>
      <c r="R222" s="20">
        <v>-2219.7526992825001</v>
      </c>
      <c r="S222" s="20">
        <v>-2220.9070891800998</v>
      </c>
      <c r="T222" s="20">
        <f>(S222-Q222)/2*27.211324570273</f>
        <v>-17.166418528063051</v>
      </c>
      <c r="U222" s="20">
        <f>(R222-Q222)*27.211324570273</f>
        <v>-2.9203588718968523</v>
      </c>
      <c r="V222" s="20">
        <f>(F222-I222-D222+G222)/2*27.211324570273</f>
        <v>0.34162521241782012</v>
      </c>
      <c r="W222" s="20">
        <f>(E222-H222-D222+G222)*27.211324570273</f>
        <v>-3.2790380818287307E-2</v>
      </c>
      <c r="X222" s="20">
        <f>(P222-O222-K222+J222)/2*27.211324570273</f>
        <v>-3.9335462209635637E-2</v>
      </c>
      <c r="Y222" s="20">
        <f>(N222-M222-L222+J222)*27.211324570273</f>
        <v>-1.6022151038229717</v>
      </c>
      <c r="Z222" s="21">
        <f>(F222+P222-O222-D222-K222+J222-2*C222)*27.211324570273</f>
        <v>-11.144076101384838</v>
      </c>
      <c r="AA222" s="21">
        <f>(S222+F222-I222+P222-O222-Q222-D222+G222-K222+J222-2*C222)*27.211324570273</f>
        <v>-10.833657555697359</v>
      </c>
      <c r="AB222" s="21">
        <f>(E222+N222-M222-D222-L222+J222)*27.211324570273</f>
        <v>-4.7315174294108013</v>
      </c>
      <c r="AC222" s="21">
        <f>(R222+E222-H222+N222-M222-Q222-D222+G222-L222+J222)*27.211324570273</f>
        <v>-4.5553643565257369</v>
      </c>
      <c r="AD222" s="20">
        <v>4.84</v>
      </c>
      <c r="AE222" s="20">
        <v>4.4400000000000004</v>
      </c>
      <c r="AF222" s="21">
        <f>-Z222/2-AE222</f>
        <v>1.1320380506924188</v>
      </c>
      <c r="AG222" s="21">
        <f>-AA222/2-AE222</f>
        <v>0.97682877784867905</v>
      </c>
      <c r="AH222" s="21">
        <f>-AB222-AD222</f>
        <v>-0.10848257058919852</v>
      </c>
      <c r="AI222" s="21">
        <f>-AC222-AD222</f>
        <v>-0.28463564347426296</v>
      </c>
      <c r="AJ222" s="22">
        <v>0.83299999999999996</v>
      </c>
      <c r="AK222" s="21">
        <v>-0.28999999999999998</v>
      </c>
      <c r="AL222" s="21">
        <f>AF222+(0.69-AF$6)</f>
        <v>0.88771735916761996</v>
      </c>
      <c r="AM222" s="21">
        <f>AG222+(0.69-AG$6)</f>
        <v>0.86044171653836399</v>
      </c>
      <c r="AN222" s="21">
        <f>AH222+(-0.8815-AH$6)</f>
        <v>-0.18080656098533421</v>
      </c>
      <c r="AO222" s="21">
        <f>AI222+(-0.8815-AI$6)</f>
        <v>-0.23301313074166163</v>
      </c>
      <c r="AP222" s="20">
        <f t="shared" si="16"/>
        <v>5.4717359167619994E-2</v>
      </c>
      <c r="AQ222" s="20">
        <f t="shared" si="17"/>
        <v>2.7441716538364025E-2</v>
      </c>
      <c r="AR222" s="20">
        <f t="shared" si="18"/>
        <v>0.10919343901466577</v>
      </c>
      <c r="AS222" s="20">
        <f t="shared" si="19"/>
        <v>5.6986869258338346E-2</v>
      </c>
    </row>
    <row r="223" spans="1:45" ht="15" customHeight="1" x14ac:dyDescent="0.2">
      <c r="A223" s="26" t="s">
        <v>143</v>
      </c>
      <c r="B223" s="19" t="s">
        <v>32</v>
      </c>
      <c r="C223" s="20">
        <f t="shared" si="15"/>
        <v>-0.42068146923305594</v>
      </c>
      <c r="D223" s="20">
        <v>-2219.33527</v>
      </c>
      <c r="E223" s="20">
        <v>-2219.4491499999999</v>
      </c>
      <c r="F223" s="20">
        <v>-2220.5733599999999</v>
      </c>
      <c r="G223" s="20">
        <v>-2219.3444888677</v>
      </c>
      <c r="H223" s="20">
        <v>-2219.4571422845002</v>
      </c>
      <c r="I223" s="20">
        <v>-2220.6077040092</v>
      </c>
      <c r="J223" s="20">
        <v>-2219.5234122257002</v>
      </c>
      <c r="K223" s="20">
        <v>-2219.5286126235001</v>
      </c>
      <c r="L223" s="20">
        <v>-2219.5379605457001</v>
      </c>
      <c r="M223" s="20">
        <v>-2219.6238610062001</v>
      </c>
      <c r="N223" s="20">
        <v>-2219.6971236807999</v>
      </c>
      <c r="O223" s="20">
        <v>-2220.7717071269999</v>
      </c>
      <c r="P223" s="20">
        <v>-2220.7797970672</v>
      </c>
      <c r="Q223" s="20">
        <v>-2219.8523290674998</v>
      </c>
      <c r="R223" s="20">
        <v>-2219.957728851</v>
      </c>
      <c r="S223" s="20">
        <v>-2221.1032725097002</v>
      </c>
      <c r="T223" s="20">
        <f>(S223-Q223)/2*27.211324570273</f>
        <v>-17.019914012385129</v>
      </c>
      <c r="U223" s="20">
        <f>(R223-Q223)*27.211324570273</f>
        <v>-2.8680677184593857</v>
      </c>
      <c r="V223" s="20">
        <f>(F223-I223-D223+G223)/2*27.211324570273</f>
        <v>0.34184419011814704</v>
      </c>
      <c r="W223" s="20">
        <f>(E223-H223-D223+G223)*27.211324570273</f>
        <v>-3.3376953559360864E-2</v>
      </c>
      <c r="X223" s="20">
        <f>(P223-O223-K223+J223)/2*27.211324570273</f>
        <v>-3.9314138056054479E-2</v>
      </c>
      <c r="Y223" s="20">
        <f>(N223-M223-L223+J223)*27.211324570273</f>
        <v>-1.5976953599531356</v>
      </c>
      <c r="Z223" s="21">
        <f>(F223+P223-O223-D223-K223+J223-2*C223)*27.211324570273</f>
        <v>-10.874097113329134</v>
      </c>
      <c r="AA223" s="21">
        <f>(S223+F223-I223+P223-O223-Q223-D223+G223-K223+J223-2*C223)*27.211324570273</f>
        <v>-10.540167920621327</v>
      </c>
      <c r="AB223" s="21">
        <f>(E223+N223-M223-D223-L223+J223)*27.211324570273</f>
        <v>-4.6965210020125854</v>
      </c>
      <c r="AC223" s="21">
        <f>(R223+E223-H223+N223-M223-Q223-D223+G223-L223+J223)*27.211324570273</f>
        <v>-4.4991400319718817</v>
      </c>
      <c r="AD223" s="20">
        <v>4.84</v>
      </c>
      <c r="AE223" s="20">
        <v>4.4400000000000004</v>
      </c>
      <c r="AF223" s="21">
        <f>-Z223/2-AE223</f>
        <v>0.99704855666456638</v>
      </c>
      <c r="AG223" s="21">
        <f>-AA223/2-AE223</f>
        <v>0.83008396031066312</v>
      </c>
      <c r="AH223" s="21">
        <f>-AB223-AD223</f>
        <v>-0.14347899798741448</v>
      </c>
      <c r="AI223" s="21">
        <f>-AC223-AD223</f>
        <v>-0.34085996802811813</v>
      </c>
      <c r="AJ223" s="22">
        <v>0.83299999999999996</v>
      </c>
      <c r="AK223" s="21">
        <v>-0.28999999999999998</v>
      </c>
      <c r="AL223" s="21">
        <f>AF223+(0.69-AF$7)</f>
        <v>0.88124308571535304</v>
      </c>
      <c r="AM223" s="21">
        <f>AG223+(0.69-AG$7)</f>
        <v>0.85066261955170619</v>
      </c>
      <c r="AN223" s="21">
        <f>AH223+(-0.8815-AH$7)</f>
        <v>-0.19692940142024806</v>
      </c>
      <c r="AO223" s="21">
        <f>AI223+(-0.8815-AI$7)</f>
        <v>-0.26135652533741283</v>
      </c>
      <c r="AP223" s="20">
        <f t="shared" si="16"/>
        <v>4.8243085715353073E-2</v>
      </c>
      <c r="AQ223" s="20">
        <f t="shared" si="17"/>
        <v>1.7662619551706227E-2</v>
      </c>
      <c r="AR223" s="20">
        <f t="shared" si="18"/>
        <v>9.3070598579751918E-2</v>
      </c>
      <c r="AS223" s="20">
        <f t="shared" si="19"/>
        <v>2.8643474662587154E-2</v>
      </c>
    </row>
    <row r="224" spans="1:45" ht="15" customHeight="1" x14ac:dyDescent="0.2">
      <c r="A224" s="26" t="s">
        <v>143</v>
      </c>
      <c r="B224" s="19" t="s">
        <v>33</v>
      </c>
      <c r="C224" s="20">
        <f t="shared" si="15"/>
        <v>-0.42068146923305594</v>
      </c>
      <c r="D224" s="20">
        <v>-2219.8437100000001</v>
      </c>
      <c r="E224" s="20">
        <v>-2219.9419699999999</v>
      </c>
      <c r="F224" s="20">
        <v>-2221.0703199999998</v>
      </c>
      <c r="G224" s="20">
        <v>-2219.8529154372</v>
      </c>
      <c r="H224" s="20">
        <v>-2219.9491936889999</v>
      </c>
      <c r="I224" s="20">
        <v>-2221.1037863196998</v>
      </c>
      <c r="J224" s="20">
        <v>-2219.5231822829001</v>
      </c>
      <c r="K224" s="20">
        <v>-2219.5284558879998</v>
      </c>
      <c r="L224" s="20">
        <v>-2219.5377271504999</v>
      </c>
      <c r="M224" s="20">
        <v>-2219.6234488298001</v>
      </c>
      <c r="N224" s="20">
        <v>-2219.6970388515001</v>
      </c>
      <c r="O224" s="20">
        <v>-2220.7715441913001</v>
      </c>
      <c r="P224" s="20">
        <v>-2220.7794678852001</v>
      </c>
      <c r="Q224" s="20">
        <v>-2219.8528146367998</v>
      </c>
      <c r="R224" s="20">
        <v>-2219.9581563021002</v>
      </c>
      <c r="S224" s="20">
        <v>-2221.1038701017001</v>
      </c>
      <c r="T224" s="20">
        <f>(S224-Q224)/2*27.211324570273</f>
        <v>-17.021438155406816</v>
      </c>
      <c r="U224" s="20">
        <f>(R224-Q224)*27.211324570273</f>
        <v>-2.8664862452603344</v>
      </c>
      <c r="V224" s="20">
        <f>(F224-I224-D224+G224)/2*27.211324570273</f>
        <v>0.3300853740361443</v>
      </c>
      <c r="W224" s="20">
        <f>(E224-H224-D224+G224)*27.211324570273</f>
        <v>-5.3925993481206705E-2</v>
      </c>
      <c r="X224" s="20">
        <f>(P224-O224-K224+J224)/2*27.211324570273</f>
        <v>-3.6056213241652993E-2</v>
      </c>
      <c r="Y224" s="20">
        <f>(N224-M224-L224+J224)*27.211324570273</f>
        <v>-1.6066968525224352</v>
      </c>
      <c r="Z224" s="21">
        <f>(F224+P224-O224-D224-K224+J224-2*C224)*27.211324570273</f>
        <v>-10.555195257605591</v>
      </c>
      <c r="AA224" s="21">
        <f>(S224+F224-I224+P224-O224-Q224-D224+G224-K224+J224-2*C224)*27.211324570273</f>
        <v>-10.560217989224652</v>
      </c>
      <c r="AB224" s="21">
        <f>(E224+N224-M224-D224-L224+J224)*27.211324570273</f>
        <v>-4.2804816047907837</v>
      </c>
      <c r="AC224" s="21">
        <f>(R224+E224-H224+N224-M224-Q224-D224+G224-L224+J224)*27.211324570273</f>
        <v>-4.5271090912639762</v>
      </c>
      <c r="AD224" s="20">
        <v>4.84</v>
      </c>
      <c r="AE224" s="20">
        <v>4.4400000000000004</v>
      </c>
      <c r="AF224" s="21">
        <f>-Z224/2-AE224</f>
        <v>0.83759762880279531</v>
      </c>
      <c r="AG224" s="21">
        <f>-AA224/2-AE224</f>
        <v>0.84010899461232569</v>
      </c>
      <c r="AH224" s="21">
        <f>-AB224-AD224</f>
        <v>-0.5595183952092162</v>
      </c>
      <c r="AI224" s="21">
        <f>-AC224-AD224</f>
        <v>-0.31289090873602365</v>
      </c>
      <c r="AJ224" s="22">
        <v>0.83299999999999996</v>
      </c>
      <c r="AK224" s="21">
        <v>-0.28999999999999998</v>
      </c>
      <c r="AL224" s="21">
        <f>AF224+(0.69-AF$8)</f>
        <v>0.85815960614232312</v>
      </c>
      <c r="AM224" s="21">
        <f>AG224+(0.69-AG$8)</f>
        <v>0.8584785773016006</v>
      </c>
      <c r="AN224" s="21">
        <f>AH224+(-0.8815-AH$8)</f>
        <v>-5.3844526087174494E-2</v>
      </c>
      <c r="AO224" s="21">
        <f>AI224+(-0.8815-AI$8)</f>
        <v>-0.27547417684491382</v>
      </c>
      <c r="AP224" s="20">
        <f t="shared" si="16"/>
        <v>2.5159606142323154E-2</v>
      </c>
      <c r="AQ224" s="20">
        <f t="shared" si="17"/>
        <v>2.5478577301600636E-2</v>
      </c>
      <c r="AR224" s="20">
        <f t="shared" si="18"/>
        <v>0.23615547391282549</v>
      </c>
      <c r="AS224" s="20">
        <f t="shared" si="19"/>
        <v>1.4525823155086159E-2</v>
      </c>
    </row>
    <row r="225" spans="1:45" ht="15" customHeight="1" x14ac:dyDescent="0.2">
      <c r="A225" s="26" t="s">
        <v>143</v>
      </c>
      <c r="B225" s="19" t="s">
        <v>174</v>
      </c>
      <c r="C225" s="20">
        <f t="shared" si="15"/>
        <v>-0.42068146923305594</v>
      </c>
      <c r="D225" s="20">
        <v>-2219.84393</v>
      </c>
      <c r="E225" s="20">
        <v>-2219.9496399999998</v>
      </c>
      <c r="F225" s="20">
        <v>-2221.07071</v>
      </c>
      <c r="G225" s="20">
        <v>-2219.8530152456001</v>
      </c>
      <c r="H225" s="20">
        <v>-2219.9575559394998</v>
      </c>
      <c r="I225" s="20">
        <v>-2221.1042439672001</v>
      </c>
      <c r="J225" s="20">
        <v>-2219.5231793921998</v>
      </c>
      <c r="K225" s="20">
        <v>-2219.5284519745001</v>
      </c>
      <c r="L225" s="20">
        <v>-2219.5377265736001</v>
      </c>
      <c r="M225" s="20">
        <v>-2219.6235226197</v>
      </c>
      <c r="N225" s="20">
        <v>-2219.6970783772999</v>
      </c>
      <c r="O225" s="20">
        <v>-2220.7715442793001</v>
      </c>
      <c r="P225" s="20">
        <v>-2220.7794644316</v>
      </c>
      <c r="Q225" s="20">
        <v>-2219.8528104249999</v>
      </c>
      <c r="R225" s="20">
        <v>-2219.9581345756001</v>
      </c>
      <c r="S225" s="20">
        <v>-2221.1038699916999</v>
      </c>
      <c r="T225" s="20">
        <f>(S225-Q225)/2*27.211324570273</f>
        <v>-17.021493963108732</v>
      </c>
      <c r="U225" s="20">
        <f>(R225-Q225)*27.211324570273</f>
        <v>-2.8660096470691068</v>
      </c>
      <c r="V225" s="20">
        <f>(F225-I225-D225+G225)/2*27.211324570273</f>
        <v>0.33264104939343869</v>
      </c>
      <c r="W225" s="20">
        <f>(E225-H225-D225+G225)*27.211324570273</f>
        <v>-3.1818367812084622E-2</v>
      </c>
      <c r="X225" s="20">
        <f>(P225-O225-K225+J225)/2*27.211324570273</f>
        <v>-3.6021943291916658E-2</v>
      </c>
      <c r="Y225" s="20">
        <f>(N225-M225-L225+J225)*27.211324570273</f>
        <v>-1.6057015193978355</v>
      </c>
      <c r="Z225" s="21">
        <f>(F225+P225-O225-D225-K225+J225-2*C225)*27.211324570273</f>
        <v>-10.559752642902323</v>
      </c>
      <c r="AA225" s="21">
        <f>(S225+F225-I225+P225-O225-Q225-D225+G225-K225+J225-2*C225)*27.211324570273</f>
        <v>-10.555149714014416</v>
      </c>
      <c r="AB225" s="21">
        <f>(E225+N225-M225-D225-L225+J225)*27.211324570273</f>
        <v>-4.4822106397287946</v>
      </c>
      <c r="AC225" s="21">
        <f>(R225+E225-H225+N225-M225-Q225-D225+G225-L225+J225)*27.211324570273</f>
        <v>-4.5035295342790267</v>
      </c>
      <c r="AD225" s="20">
        <v>4.84</v>
      </c>
      <c r="AE225" s="20">
        <v>4.4400000000000004</v>
      </c>
      <c r="AF225" s="21">
        <f>-Z225/2-AE225</f>
        <v>0.83987632145116109</v>
      </c>
      <c r="AG225" s="21">
        <f>-AA225/2-AE225</f>
        <v>0.83757485700720746</v>
      </c>
      <c r="AH225" s="21">
        <f>-AB225-AD225</f>
        <v>-0.35778936027120523</v>
      </c>
      <c r="AI225" s="21">
        <f>-AC225-AD225</f>
        <v>-0.33647046572097317</v>
      </c>
      <c r="AJ225" s="22">
        <v>0.83299999999999996</v>
      </c>
      <c r="AK225" s="21">
        <v>-0.28999999999999998</v>
      </c>
      <c r="AL225" s="21">
        <f>AF225+(0.69-AF$9)</f>
        <v>0.85544902624113073</v>
      </c>
      <c r="AM225" s="21">
        <f>AG225+(0.69-AG$9)</f>
        <v>0.85520199775457906</v>
      </c>
      <c r="AN225" s="21">
        <f>AH225+(-0.8815-AH$9)</f>
        <v>-0.23168624669586002</v>
      </c>
      <c r="AO225" s="21">
        <f>AI225+(-0.8815-AI$9)</f>
        <v>-0.25855462150145181</v>
      </c>
      <c r="AP225" s="20">
        <f t="shared" si="16"/>
        <v>2.2449026241130765E-2</v>
      </c>
      <c r="AQ225" s="20">
        <f t="shared" si="17"/>
        <v>2.2201997754579095E-2</v>
      </c>
      <c r="AR225" s="20">
        <f t="shared" si="18"/>
        <v>5.8313753304139959E-2</v>
      </c>
      <c r="AS225" s="20">
        <f t="shared" si="19"/>
        <v>3.1445378498548171E-2</v>
      </c>
    </row>
    <row r="226" spans="1:45" x14ac:dyDescent="0.2">
      <c r="A226" s="26" t="s">
        <v>143</v>
      </c>
      <c r="B226" s="19" t="s">
        <v>43</v>
      </c>
      <c r="C226" s="20">
        <f t="shared" si="15"/>
        <v>-0.42068146923305594</v>
      </c>
      <c r="D226" s="20">
        <v>-2219.33527</v>
      </c>
      <c r="E226" s="20">
        <v>-2219.4491499999999</v>
      </c>
      <c r="F226" s="20">
        <v>-2220.5733599999999</v>
      </c>
      <c r="G226" s="20">
        <v>-2219.3444888677</v>
      </c>
      <c r="H226" s="20">
        <v>-2219.4571422845002</v>
      </c>
      <c r="I226" s="20">
        <v>-2220.6077040092</v>
      </c>
      <c r="J226" s="20">
        <v>-2219.5234122257002</v>
      </c>
      <c r="K226" s="20">
        <v>-2219.5286126235001</v>
      </c>
      <c r="L226" s="20">
        <v>-2219.5379605457001</v>
      </c>
      <c r="M226" s="20">
        <v>-2219.6238610062001</v>
      </c>
      <c r="N226" s="20">
        <v>-2219.6971236807999</v>
      </c>
      <c r="O226" s="20">
        <v>-2220.7717071269999</v>
      </c>
      <c r="P226" s="20">
        <v>-2220.7797970672</v>
      </c>
      <c r="Q226" s="20">
        <v>-2217.59156750696</v>
      </c>
      <c r="R226" s="20">
        <v>-2217.69277353607</v>
      </c>
      <c r="S226" s="20">
        <v>-2218.8524893365502</v>
      </c>
      <c r="T226" s="20">
        <f>(S226-Q226)/2*27.211324570273</f>
        <v>-17.155676581360538</v>
      </c>
      <c r="U226" s="20">
        <f>(R226-Q226)*27.211324570273</f>
        <v>-2.7539501065811693</v>
      </c>
      <c r="V226" s="20">
        <f>(F226-I226-D226+G226)/2*27.211324570273</f>
        <v>0.34184419011814704</v>
      </c>
      <c r="W226" s="20">
        <f>(E226-H226-D226+G226)*27.211324570273</f>
        <v>-3.3376953559360864E-2</v>
      </c>
      <c r="X226" s="20">
        <f>(P226-O226-K226+J226)/2*27.211324570273</f>
        <v>-3.9314138056054479E-2</v>
      </c>
      <c r="Y226" s="20">
        <f>(N226-M226-L226+J226)*27.211324570273</f>
        <v>-1.5976953599531356</v>
      </c>
      <c r="Z226" s="21">
        <f>(F226+P226-O226-D226-K226+J226-2*C226)*27.211324570273</f>
        <v>-10.874097113329134</v>
      </c>
      <c r="AA226" s="21">
        <f>(S226+F226-I226+P226-O226-Q226-D226+G226-K226+J226-2*C226)*27.211324570273</f>
        <v>-10.811693058596889</v>
      </c>
      <c r="AB226" s="21">
        <f>(E226+N226-M226-D226-L226+J226)*27.211324570273</f>
        <v>-4.6965210020125854</v>
      </c>
      <c r="AC226" s="21">
        <f>(R226+E226-H226+N226-M226-Q226-D226+G226-L226+J226)*27.211324570273</f>
        <v>-4.3850224201060399</v>
      </c>
      <c r="AD226" s="20">
        <v>4.84</v>
      </c>
      <c r="AE226" s="20">
        <v>4.4400000000000004</v>
      </c>
      <c r="AF226" s="21">
        <f>-Z226/2-AE226</f>
        <v>0.99704855666456638</v>
      </c>
      <c r="AG226" s="21">
        <f>-AA226/2-AE226</f>
        <v>0.96584652929844417</v>
      </c>
      <c r="AH226" s="21">
        <f>-AB226-AD226</f>
        <v>-0.14347899798741448</v>
      </c>
      <c r="AI226" s="21">
        <f>-AC226-AD226</f>
        <v>-0.45497757989395993</v>
      </c>
      <c r="AJ226" s="22">
        <v>0.83299999999999996</v>
      </c>
      <c r="AK226" s="21">
        <v>-0.28999999999999998</v>
      </c>
      <c r="AL226" s="21">
        <f>AF226+(0.69-AF$10)</f>
        <v>0.88124308571535304</v>
      </c>
      <c r="AM226" s="21">
        <f>AG226+(0.69-AG$10)</f>
        <v>0.85918416230637584</v>
      </c>
      <c r="AN226" s="21">
        <f>AH226+(-0.8815-AH$10)</f>
        <v>-0.19692940142024806</v>
      </c>
      <c r="AO226" s="21">
        <f>AI226+(-0.8815-AI$10)</f>
        <v>-0.27245946826658551</v>
      </c>
      <c r="AP226" s="20">
        <f t="shared" si="16"/>
        <v>4.8243085715353073E-2</v>
      </c>
      <c r="AQ226" s="20">
        <f t="shared" si="17"/>
        <v>2.618416230637588E-2</v>
      </c>
      <c r="AR226" s="20">
        <f t="shared" si="18"/>
        <v>9.3070598579751918E-2</v>
      </c>
      <c r="AS226" s="20">
        <f t="shared" si="19"/>
        <v>1.7540531733414466E-2</v>
      </c>
    </row>
    <row r="227" spans="1:45" x14ac:dyDescent="0.2">
      <c r="A227" s="26"/>
    </row>
    <row r="228" spans="1:45" x14ac:dyDescent="0.2">
      <c r="A228" s="26"/>
    </row>
    <row r="229" spans="1:45" x14ac:dyDescent="0.2">
      <c r="A229" s="26"/>
    </row>
    <row r="230" spans="1:45" x14ac:dyDescent="0.2">
      <c r="A230" s="26"/>
    </row>
    <row r="231" spans="1:45" x14ac:dyDescent="0.2">
      <c r="A231" s="26"/>
    </row>
    <row r="232" spans="1:45" x14ac:dyDescent="0.2">
      <c r="A232" s="26"/>
    </row>
    <row r="233" spans="1:45" x14ac:dyDescent="0.2">
      <c r="A233" s="26"/>
    </row>
    <row r="234" spans="1:45" x14ac:dyDescent="0.2">
      <c r="A234" s="26"/>
    </row>
    <row r="236" spans="1:45" x14ac:dyDescent="0.2">
      <c r="A236" s="26"/>
    </row>
    <row r="237" spans="1:45" x14ac:dyDescent="0.2">
      <c r="A237" s="26"/>
    </row>
    <row r="238" spans="1:45" x14ac:dyDescent="0.2">
      <c r="A238" s="2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9E1C-69FD-1042-A3D7-8E80FA6EC501}">
  <dimension ref="A1:Q112"/>
  <sheetViews>
    <sheetView zoomScaleNormal="100" workbookViewId="0">
      <selection activeCell="F66" sqref="F66"/>
    </sheetView>
  </sheetViews>
  <sheetFormatPr baseColWidth="10" defaultColWidth="11.5" defaultRowHeight="15" x14ac:dyDescent="0.2"/>
  <cols>
    <col min="1" max="1" width="11.5" style="13"/>
    <col min="2" max="2" width="11.5" style="13" customWidth="1"/>
    <col min="3" max="3" width="11.5" style="13"/>
    <col min="4" max="4" width="11.5" style="13" customWidth="1"/>
    <col min="5" max="5" width="11.5" style="13"/>
    <col min="6" max="6" width="11.5" style="13" customWidth="1"/>
    <col min="7" max="7" width="11.5" style="13"/>
    <col min="8" max="9" width="11.5" style="13" customWidth="1"/>
    <col min="10" max="10" width="11.5" style="13"/>
    <col min="11" max="16" width="11.5" style="13" customWidth="1"/>
    <col min="17" max="17" width="11.5" style="16"/>
  </cols>
  <sheetData>
    <row r="1" spans="1:17" x14ac:dyDescent="0.2">
      <c r="A1" s="16" t="s">
        <v>160</v>
      </c>
      <c r="B1" s="38" t="s">
        <v>144</v>
      </c>
      <c r="C1" s="38"/>
      <c r="D1" s="38" t="s">
        <v>145</v>
      </c>
      <c r="E1" s="38"/>
      <c r="F1" s="38" t="s">
        <v>146</v>
      </c>
      <c r="G1" s="38"/>
      <c r="H1" s="38"/>
      <c r="I1" s="38" t="s">
        <v>148</v>
      </c>
      <c r="J1" s="38"/>
      <c r="K1" s="38"/>
      <c r="L1" s="39" t="s">
        <v>150</v>
      </c>
      <c r="M1" s="39"/>
      <c r="N1" s="39" t="s">
        <v>169</v>
      </c>
      <c r="O1" s="39"/>
      <c r="P1" s="16" t="s">
        <v>148</v>
      </c>
    </row>
    <row r="2" spans="1:17" x14ac:dyDescent="0.2">
      <c r="A2" s="15" t="s">
        <v>108</v>
      </c>
      <c r="B2" s="15" t="s">
        <v>161</v>
      </c>
      <c r="C2" s="15" t="s">
        <v>162</v>
      </c>
      <c r="D2" s="15" t="s">
        <v>161</v>
      </c>
      <c r="E2" s="15" t="s">
        <v>162</v>
      </c>
      <c r="F2" s="15" t="s">
        <v>161</v>
      </c>
      <c r="G2" s="15" t="s">
        <v>162</v>
      </c>
      <c r="H2" s="15" t="s">
        <v>163</v>
      </c>
      <c r="I2" s="15" t="s">
        <v>161</v>
      </c>
      <c r="J2" s="15" t="s">
        <v>162</v>
      </c>
      <c r="K2" s="15" t="s">
        <v>163</v>
      </c>
      <c r="L2" s="15" t="s">
        <v>164</v>
      </c>
      <c r="M2" s="15" t="s">
        <v>165</v>
      </c>
      <c r="N2" s="15" t="s">
        <v>164</v>
      </c>
      <c r="O2" s="15" t="s">
        <v>165</v>
      </c>
      <c r="P2" s="15" t="s">
        <v>190</v>
      </c>
      <c r="Q2" s="15" t="s">
        <v>109</v>
      </c>
    </row>
    <row r="3" spans="1:17" x14ac:dyDescent="0.2">
      <c r="A3" s="15" t="s">
        <v>195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x14ac:dyDescent="0.2">
      <c r="A4" s="15" t="s">
        <v>117</v>
      </c>
      <c r="B4" s="14">
        <v>-2.1304923786559575</v>
      </c>
      <c r="C4" s="40">
        <v>-2.1381090569780019</v>
      </c>
      <c r="D4" s="40">
        <v>-2.2718729053208433</v>
      </c>
      <c r="E4" s="40">
        <v>-2.2661248313767972</v>
      </c>
      <c r="F4" s="40">
        <v>-2.3154885116010555</v>
      </c>
      <c r="G4" s="40">
        <v>-2.259807751032322</v>
      </c>
      <c r="H4" s="40">
        <v>-2.3745229278663991</v>
      </c>
      <c r="I4" s="40">
        <v>-2.3472303312337668</v>
      </c>
      <c r="J4" s="40">
        <v>-2.3700799253770821</v>
      </c>
      <c r="K4" s="40">
        <v>-2.4122660010470658</v>
      </c>
      <c r="L4" s="40">
        <v>-2.4506491825429593</v>
      </c>
      <c r="M4" s="40">
        <v>-2.3273557158303873</v>
      </c>
      <c r="N4" s="40">
        <v>-2.3714324887545679</v>
      </c>
      <c r="O4" s="40">
        <v>-2.371471490747223</v>
      </c>
      <c r="P4" s="40">
        <v>-2.3387116782913595</v>
      </c>
      <c r="Q4" s="40">
        <v>-2.282</v>
      </c>
    </row>
    <row r="5" spans="1:17" x14ac:dyDescent="0.2">
      <c r="A5" s="15" t="s">
        <v>118</v>
      </c>
      <c r="B5" s="14">
        <v>-1.9153429279675098</v>
      </c>
      <c r="C5" s="40">
        <v>-1.9233450111642494</v>
      </c>
      <c r="D5" s="40">
        <v>-1.9973681243301575</v>
      </c>
      <c r="E5" s="40">
        <v>-1.9934265149864943</v>
      </c>
      <c r="F5" s="40">
        <v>-1.9708547729564891</v>
      </c>
      <c r="G5" s="40">
        <v>-1.9822676459969881</v>
      </c>
      <c r="H5" s="40">
        <v>-2.0248896607208273</v>
      </c>
      <c r="I5" s="40">
        <v>-2.0007737113980046</v>
      </c>
      <c r="J5" s="40">
        <v>-2.0193018805290079</v>
      </c>
      <c r="K5" s="40">
        <v>-2.0622938576723571</v>
      </c>
      <c r="L5" s="40">
        <v>-2.1143764390231934</v>
      </c>
      <c r="M5" s="40">
        <v>-2.0434624264921202</v>
      </c>
      <c r="N5" s="40">
        <v>-2.0740506192978794</v>
      </c>
      <c r="O5" s="40">
        <v>-2.0391295836068801</v>
      </c>
      <c r="P5" s="40">
        <v>-2.0322587906030902</v>
      </c>
      <c r="Q5" s="40">
        <v>-2.0419999999999998</v>
      </c>
    </row>
    <row r="6" spans="1:17" x14ac:dyDescent="0.2">
      <c r="A6" s="15" t="s">
        <v>119</v>
      </c>
      <c r="B6" s="14">
        <v>-1.6184498691366325</v>
      </c>
      <c r="C6" s="40">
        <v>-1.6932182106889506</v>
      </c>
      <c r="D6" s="40">
        <v>-1.6726410124886231</v>
      </c>
      <c r="E6" s="40">
        <v>-1.7500182561073228</v>
      </c>
      <c r="F6" s="40">
        <v>-1.6308490248307685</v>
      </c>
      <c r="G6" s="40">
        <v>-1.7159391692017967</v>
      </c>
      <c r="H6" s="40">
        <v>-1.7726686116625459</v>
      </c>
      <c r="I6" s="40">
        <v>-1.6815570016292005</v>
      </c>
      <c r="J6" s="40">
        <v>-1.7793763092910035</v>
      </c>
      <c r="K6" s="40">
        <v>-1.8339076268565297</v>
      </c>
      <c r="L6" s="40">
        <v>-2.0353301153428487</v>
      </c>
      <c r="M6" s="40">
        <v>-1.8471141126204773</v>
      </c>
      <c r="N6" s="40">
        <v>-1.9169455824668398</v>
      </c>
      <c r="O6" s="40">
        <v>-1.8243627078190046</v>
      </c>
      <c r="P6" s="40">
        <v>-1.8459860921602802</v>
      </c>
      <c r="Q6" s="40">
        <v>-1.845</v>
      </c>
    </row>
    <row r="7" spans="1:17" x14ac:dyDescent="0.2">
      <c r="A7" s="15" t="s">
        <v>120</v>
      </c>
      <c r="B7" s="14">
        <v>-1.4974161369379835</v>
      </c>
      <c r="C7" s="40">
        <v>-1.5324575419186295</v>
      </c>
      <c r="D7" s="40">
        <v>-1.6034054216723823</v>
      </c>
      <c r="E7" s="40">
        <v>-1.6309942761603677</v>
      </c>
      <c r="F7" s="40">
        <v>-1.6101184717699377</v>
      </c>
      <c r="G7" s="40">
        <v>-1.6551771767976322</v>
      </c>
      <c r="H7" s="40">
        <v>-1.6909487698951855</v>
      </c>
      <c r="I7" s="40">
        <v>-1.6381655513597337</v>
      </c>
      <c r="J7" s="40">
        <v>-1.6892056342126698</v>
      </c>
      <c r="K7" s="40">
        <v>-1.7255400070529681</v>
      </c>
      <c r="L7" s="40">
        <v>-1.8674445258693209</v>
      </c>
      <c r="M7" s="40">
        <v>-1.6867273900384618</v>
      </c>
      <c r="N7" s="40">
        <v>-1.7415915510819207</v>
      </c>
      <c r="O7" s="40">
        <v>-1.7110083134582439</v>
      </c>
      <c r="P7" s="40">
        <v>-1.7289146221635883</v>
      </c>
      <c r="Q7" s="40">
        <v>-1.73</v>
      </c>
    </row>
    <row r="8" spans="1:17" x14ac:dyDescent="0.2">
      <c r="A8" s="15" t="s">
        <v>121</v>
      </c>
      <c r="B8" s="14">
        <v>-1.4211269081973237</v>
      </c>
      <c r="C8" s="40">
        <v>-1.4465232183728074</v>
      </c>
      <c r="D8" s="40">
        <v>-1.4520478193105557</v>
      </c>
      <c r="E8" s="40">
        <v>-1.4710655365000784</v>
      </c>
      <c r="F8" s="40">
        <v>-1.4559585628497338</v>
      </c>
      <c r="G8" s="40">
        <v>-1.4858734884104186</v>
      </c>
      <c r="H8" s="40">
        <v>-1.5228238296114283</v>
      </c>
      <c r="I8" s="40">
        <v>-1.4789608751118886</v>
      </c>
      <c r="J8" s="40">
        <v>-1.514447971659628</v>
      </c>
      <c r="K8" s="40">
        <v>-1.550780412497752</v>
      </c>
      <c r="L8" s="40">
        <v>-1.6723623358771853</v>
      </c>
      <c r="M8" s="40">
        <v>-1.5520153195531834</v>
      </c>
      <c r="N8" s="40">
        <v>-1.5896484072791712</v>
      </c>
      <c r="O8" s="40">
        <v>-1.5142977433831382</v>
      </c>
      <c r="P8" s="40">
        <v>-1.5647331286428767</v>
      </c>
      <c r="Q8" s="40">
        <v>-1.5589999999999999</v>
      </c>
    </row>
    <row r="9" spans="1:17" x14ac:dyDescent="0.2">
      <c r="A9" s="15" t="s">
        <v>122</v>
      </c>
      <c r="B9" s="14">
        <v>-1.0059469071894704</v>
      </c>
      <c r="C9" s="40">
        <v>-1.038745998345401</v>
      </c>
      <c r="D9" s="40">
        <v>-1.1573796508959382</v>
      </c>
      <c r="E9" s="40">
        <v>-1.1727921968360517</v>
      </c>
      <c r="F9" s="40">
        <v>-1.1150089463907737</v>
      </c>
      <c r="G9" s="40">
        <v>-1.1547538553851231</v>
      </c>
      <c r="H9" s="40">
        <v>-1.1934016867134232</v>
      </c>
      <c r="I9" s="40">
        <v>-1.1531634629613388</v>
      </c>
      <c r="J9" s="40">
        <v>-1.2031605112533819</v>
      </c>
      <c r="K9" s="40">
        <v>-1.2418315395852964</v>
      </c>
      <c r="L9" s="40">
        <v>-1.4760198506631439</v>
      </c>
      <c r="M9" s="40">
        <v>-1.2664684551619767</v>
      </c>
      <c r="N9" s="40">
        <v>-1.2536255426314504</v>
      </c>
      <c r="O9" s="40">
        <v>-1.2372567499318583</v>
      </c>
      <c r="P9" s="40">
        <v>-1.2571107126950407</v>
      </c>
      <c r="Q9" s="40">
        <v>-1.1890000000000001</v>
      </c>
    </row>
    <row r="10" spans="1:17" x14ac:dyDescent="0.2">
      <c r="A10" s="15" t="s">
        <v>152</v>
      </c>
      <c r="B10" s="14">
        <v>-2.6424983868988736</v>
      </c>
      <c r="C10" s="40">
        <v>-2.5917562734959225</v>
      </c>
      <c r="D10" s="40">
        <v>-2.656437850501872</v>
      </c>
      <c r="E10" s="40">
        <v>-2.6214610016673707</v>
      </c>
      <c r="F10" s="40">
        <v>-2.6966608985015799</v>
      </c>
      <c r="G10" s="40">
        <v>-2.693059760081884</v>
      </c>
      <c r="H10" s="40">
        <v>-2.7442659053742577</v>
      </c>
      <c r="I10" s="40">
        <v>-2.6314045965439234</v>
      </c>
      <c r="J10" s="40">
        <v>-2.6204028620978468</v>
      </c>
      <c r="K10" s="40">
        <v>-2.6698045075621932</v>
      </c>
      <c r="L10" s="40">
        <v>0.95310346056226347</v>
      </c>
      <c r="M10" s="40">
        <v>-3.2994282281204583</v>
      </c>
      <c r="N10" s="40">
        <v>0.52469582243438939</v>
      </c>
      <c r="O10" s="40">
        <v>-3.2569598621647806</v>
      </c>
      <c r="P10" s="40">
        <v>-2.5425171132436457</v>
      </c>
      <c r="Q10" s="40">
        <v>-3.0619999999999998</v>
      </c>
    </row>
    <row r="11" spans="1:17" x14ac:dyDescent="0.2">
      <c r="A11" s="15" t="s">
        <v>153</v>
      </c>
      <c r="B11" s="14">
        <v>-2.2867533011534182</v>
      </c>
      <c r="C11" s="40">
        <v>-2.2668714883550134</v>
      </c>
      <c r="D11" s="40">
        <v>-2.2868395093498499</v>
      </c>
      <c r="E11" s="40">
        <v>-2.2551457775680981</v>
      </c>
      <c r="F11" s="40">
        <v>-2.3989527570988578</v>
      </c>
      <c r="G11" s="40">
        <v>-2.3869108427233057</v>
      </c>
      <c r="H11" s="40">
        <v>-2.4207288536023048</v>
      </c>
      <c r="I11" s="40">
        <v>-2.3298116113427954</v>
      </c>
      <c r="J11" s="40">
        <v>-2.3236207547242818</v>
      </c>
      <c r="K11" s="40">
        <v>-2.3601610002829494</v>
      </c>
      <c r="L11" s="40">
        <v>-1.4998455776041593</v>
      </c>
      <c r="M11" s="40">
        <v>-2.5670039819012516</v>
      </c>
      <c r="N11" s="40">
        <v>-2.3822633524061172</v>
      </c>
      <c r="O11" s="40">
        <v>-2.4334284168720286</v>
      </c>
      <c r="P11" s="40">
        <v>-2.1654509432514497</v>
      </c>
      <c r="Q11" s="40">
        <v>-2.35</v>
      </c>
    </row>
    <row r="12" spans="1:17" x14ac:dyDescent="0.2">
      <c r="A12" s="15" t="s">
        <v>154</v>
      </c>
      <c r="B12" s="14">
        <v>-2.1971202837509183</v>
      </c>
      <c r="C12" s="40">
        <v>-2.1813945028144963</v>
      </c>
      <c r="D12" s="40">
        <v>-2.197516475193825</v>
      </c>
      <c r="E12" s="40">
        <v>-2.1716780218094258</v>
      </c>
      <c r="F12" s="40">
        <v>-2.2938023512462982</v>
      </c>
      <c r="G12" s="40">
        <v>-2.2878210549706406</v>
      </c>
      <c r="H12" s="40">
        <v>-2.3191085674422727</v>
      </c>
      <c r="I12" s="40">
        <v>-2.2371617696280626</v>
      </c>
      <c r="J12" s="40">
        <v>-2.237404848387456</v>
      </c>
      <c r="K12" s="40">
        <v>-2.2698822635943685</v>
      </c>
      <c r="L12" s="40">
        <v>-6.5803469263277847E-2</v>
      </c>
      <c r="M12" s="40">
        <v>-2.9922961682745735</v>
      </c>
      <c r="N12" s="40">
        <v>-0.20332483689529557</v>
      </c>
      <c r="O12" s="40">
        <v>-2.9288367362023986</v>
      </c>
      <c r="P12" s="40">
        <v>-2.1190895104556877</v>
      </c>
      <c r="Q12" s="40">
        <v>-2.3450000000000002</v>
      </c>
    </row>
    <row r="13" spans="1:17" x14ac:dyDescent="0.2">
      <c r="A13" s="15" t="s">
        <v>155</v>
      </c>
      <c r="B13" s="14">
        <v>-1.7920814073462461</v>
      </c>
      <c r="C13" s="40">
        <v>-1.7681484378546157</v>
      </c>
      <c r="D13" s="40">
        <v>-1.7787681960537571</v>
      </c>
      <c r="E13" s="40">
        <v>-1.7239295184123082</v>
      </c>
      <c r="F13" s="40">
        <v>-1.8367963021614058</v>
      </c>
      <c r="G13" s="40">
        <v>-1.817307174628549</v>
      </c>
      <c r="H13" s="40">
        <v>-1.8552247499515606</v>
      </c>
      <c r="I13" s="40">
        <v>-1.7908450580934905</v>
      </c>
      <c r="J13" s="40">
        <v>-1.7818897703596477</v>
      </c>
      <c r="K13" s="40">
        <v>-1.8218048759592018</v>
      </c>
      <c r="L13" s="40">
        <v>-1.2323067514806834</v>
      </c>
      <c r="M13" s="40">
        <v>-1.9100541975047647</v>
      </c>
      <c r="N13" s="40">
        <v>-1.8587987261324215</v>
      </c>
      <c r="O13" s="40">
        <v>-1.8526415380861194</v>
      </c>
      <c r="P13" s="40">
        <v>-1.6291199531831411</v>
      </c>
      <c r="Q13" s="40">
        <v>-1.895</v>
      </c>
    </row>
    <row r="14" spans="1:17" x14ac:dyDescent="0.2">
      <c r="A14" s="15" t="s">
        <v>196</v>
      </c>
      <c r="B14" s="14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</row>
    <row r="15" spans="1:17" x14ac:dyDescent="0.2">
      <c r="A15" s="15" t="s">
        <v>59</v>
      </c>
      <c r="B15" s="14">
        <v>0.14052880626222386</v>
      </c>
      <c r="C15" s="12">
        <v>9.7196152859235774E-2</v>
      </c>
      <c r="D15" s="12">
        <v>0.10772398712272224</v>
      </c>
      <c r="E15" s="12">
        <v>8.0567184522688962E-2</v>
      </c>
      <c r="F15" s="12">
        <v>0.16252138382088877</v>
      </c>
      <c r="G15" s="12">
        <v>0.12570989033652857</v>
      </c>
      <c r="H15" s="12">
        <v>1.8479917508411603E-2</v>
      </c>
      <c r="I15" s="12">
        <v>3.6493709611126413E-2</v>
      </c>
      <c r="J15" s="12">
        <v>-9.1946975504288986E-3</v>
      </c>
      <c r="K15" s="12">
        <v>-0.12067431735944467</v>
      </c>
      <c r="L15" s="12">
        <v>-9.2127588872799926E-2</v>
      </c>
      <c r="M15" s="12">
        <v>-8.2799175376094603E-2</v>
      </c>
      <c r="N15" s="12">
        <v>-9.3151258494869715E-2</v>
      </c>
      <c r="O15" s="12">
        <v>-9.1141138901912555E-2</v>
      </c>
      <c r="P15" s="12">
        <v>0.11014646074723888</v>
      </c>
      <c r="Q15" s="12">
        <v>5.0000000000000001E-3</v>
      </c>
    </row>
    <row r="16" spans="1:17" x14ac:dyDescent="0.2">
      <c r="A16" s="15" t="s">
        <v>60</v>
      </c>
      <c r="B16" s="14">
        <v>7.5759414225845312E-2</v>
      </c>
      <c r="C16" s="12">
        <v>2.8516802329515478E-2</v>
      </c>
      <c r="D16" s="12">
        <v>7.1613987979916693E-2</v>
      </c>
      <c r="E16" s="12">
        <v>4.4447570258252966E-2</v>
      </c>
      <c r="F16" s="12">
        <v>0.12447479552927376</v>
      </c>
      <c r="G16" s="12">
        <v>8.1422055497289314E-2</v>
      </c>
      <c r="H16" s="12">
        <v>-2.5998823821184125E-2</v>
      </c>
      <c r="I16" s="12">
        <v>1.3867521341737188E-4</v>
      </c>
      <c r="J16" s="12">
        <v>-4.8224179295462299E-2</v>
      </c>
      <c r="K16" s="12">
        <v>-0.16117623925215341</v>
      </c>
      <c r="L16" s="12">
        <v>-0.15542696529086708</v>
      </c>
      <c r="M16" s="12">
        <v>-0.15201513322510962</v>
      </c>
      <c r="N16" s="12">
        <v>-0.15126026931497716</v>
      </c>
      <c r="O16" s="12">
        <v>-0.14860294741432689</v>
      </c>
      <c r="P16" s="12">
        <v>6.6006335670938832E-2</v>
      </c>
      <c r="Q16" s="12">
        <v>-1E-3</v>
      </c>
    </row>
    <row r="17" spans="1:17" x14ac:dyDescent="0.2">
      <c r="A17" s="15" t="s">
        <v>61</v>
      </c>
      <c r="B17" s="14">
        <v>0.21969805302637901</v>
      </c>
      <c r="C17" s="12">
        <v>0.16518940657622316</v>
      </c>
      <c r="D17" s="12">
        <v>0.16727417363783381</v>
      </c>
      <c r="E17" s="12">
        <v>0.1390918632925624</v>
      </c>
      <c r="F17" s="12">
        <v>0.22247975517021334</v>
      </c>
      <c r="G17" s="12">
        <v>0.18038822932877796</v>
      </c>
      <c r="H17" s="12">
        <v>7.1951362144973885E-2</v>
      </c>
      <c r="I17" s="12">
        <v>9.8706263002918959E-2</v>
      </c>
      <c r="J17" s="12">
        <v>4.8523482452066169E-2</v>
      </c>
      <c r="K17" s="12">
        <v>-6.4727038115989899E-2</v>
      </c>
      <c r="L17" s="12">
        <v>-6.5445147687999139E-2</v>
      </c>
      <c r="M17" s="12">
        <v>-5.6557628397842841E-2</v>
      </c>
      <c r="N17" s="12">
        <v>-6.1796749889161617E-2</v>
      </c>
      <c r="O17" s="12">
        <v>-5.6788029403405993E-2</v>
      </c>
      <c r="P17" s="12">
        <v>0.16226460246843288</v>
      </c>
      <c r="Q17" s="12">
        <v>-1.7000000000000001E-2</v>
      </c>
    </row>
    <row r="18" spans="1:17" x14ac:dyDescent="0.2">
      <c r="A18" s="15" t="s">
        <v>62</v>
      </c>
      <c r="B18" s="14">
        <v>0.13153265256269009</v>
      </c>
      <c r="C18" s="12">
        <v>8.6094638569819359E-2</v>
      </c>
      <c r="D18" s="12">
        <v>0.11341784930329979</v>
      </c>
      <c r="E18" s="12">
        <v>8.3100161553575802E-2</v>
      </c>
      <c r="F18" s="12">
        <v>0.15677041459437557</v>
      </c>
      <c r="G18" s="12">
        <v>0.11707541187739778</v>
      </c>
      <c r="H18" s="12">
        <v>1.0390684604396405E-2</v>
      </c>
      <c r="I18" s="12">
        <v>3.4336101918762019E-2</v>
      </c>
      <c r="J18" s="12">
        <v>-1.4203586743993135E-2</v>
      </c>
      <c r="K18" s="12">
        <v>-0.1259593144221558</v>
      </c>
      <c r="L18" s="12">
        <v>-0.11179084031273412</v>
      </c>
      <c r="M18" s="12">
        <v>-0.11003601872734059</v>
      </c>
      <c r="N18" s="12">
        <v>-8.5169314398066298E-2</v>
      </c>
      <c r="O18" s="12">
        <v>-8.3008355630634689E-2</v>
      </c>
      <c r="P18" s="12">
        <v>0.103770379314299</v>
      </c>
      <c r="Q18" s="12">
        <v>0.1301715</v>
      </c>
    </row>
    <row r="19" spans="1:17" x14ac:dyDescent="0.2">
      <c r="A19" s="15" t="s">
        <v>63</v>
      </c>
      <c r="B19" s="14">
        <v>0.21734326663161685</v>
      </c>
      <c r="C19" s="12">
        <v>0.17979565239478568</v>
      </c>
      <c r="D19" s="12">
        <v>0.16315918733871548</v>
      </c>
      <c r="E19" s="12">
        <v>0.14495129141788432</v>
      </c>
      <c r="F19" s="12">
        <v>0.22165859630672102</v>
      </c>
      <c r="G19" s="12">
        <v>0.1924326649959065</v>
      </c>
      <c r="H19" s="12">
        <v>8.4025036378953644E-2</v>
      </c>
      <c r="I19" s="12">
        <v>9.5046688156253722E-2</v>
      </c>
      <c r="J19" s="12">
        <v>5.6378736066696966E-2</v>
      </c>
      <c r="K19" s="12">
        <v>-5.584131068776621E-2</v>
      </c>
      <c r="L19" s="12">
        <v>-4.127685738059661E-2</v>
      </c>
      <c r="M19" s="12">
        <v>-3.5247010172930082E-2</v>
      </c>
      <c r="N19" s="12">
        <v>-1.977081422564364E-2</v>
      </c>
      <c r="O19" s="12">
        <v>-1.7698783424995312E-2</v>
      </c>
      <c r="P19" s="12">
        <v>0.1756147779838102</v>
      </c>
      <c r="Q19" s="12">
        <v>0.19046740000000001</v>
      </c>
    </row>
    <row r="20" spans="1:17" x14ac:dyDescent="0.2">
      <c r="A20" s="15" t="s">
        <v>64</v>
      </c>
      <c r="B20" s="14">
        <v>0.33856145895609036</v>
      </c>
      <c r="C20" s="12">
        <v>0.2917665604260673</v>
      </c>
      <c r="D20" s="12">
        <v>0.29403113039165518</v>
      </c>
      <c r="E20" s="12">
        <v>0.26724626850083855</v>
      </c>
      <c r="F20" s="12">
        <v>0.34629108332517156</v>
      </c>
      <c r="G20" s="12">
        <v>0.30823605271812937</v>
      </c>
      <c r="H20" s="12">
        <v>0.19953613229929434</v>
      </c>
      <c r="I20" s="12">
        <v>0.21727087226217634</v>
      </c>
      <c r="J20" s="12">
        <v>0.17013109332401921</v>
      </c>
      <c r="K20" s="12">
        <v>5.8542239092364667E-2</v>
      </c>
      <c r="L20" s="12">
        <v>3.6446499325384352E-2</v>
      </c>
      <c r="M20" s="12">
        <v>2.8959676166834036E-2</v>
      </c>
      <c r="N20" s="12">
        <v>2.0561317168643178E-2</v>
      </c>
      <c r="O20" s="12">
        <v>1.8004583287786424E-2</v>
      </c>
      <c r="P20" s="12">
        <v>0.29034034632181438</v>
      </c>
      <c r="Q20" s="12">
        <v>0.16500000000000001</v>
      </c>
    </row>
    <row r="21" spans="1:17" x14ac:dyDescent="0.2">
      <c r="A21" s="15" t="s">
        <v>65</v>
      </c>
      <c r="B21" s="14">
        <v>0.46994544839005226</v>
      </c>
      <c r="C21" s="12">
        <v>0.35580640188070323</v>
      </c>
      <c r="D21" s="12">
        <v>0.40032127033185905</v>
      </c>
      <c r="E21" s="12">
        <v>0.31965272448711524</v>
      </c>
      <c r="F21" s="12">
        <v>0.43568095257642181</v>
      </c>
      <c r="G21" s="12">
        <v>0.3344544156439957</v>
      </c>
      <c r="H21" s="12">
        <v>0.22924635171736529</v>
      </c>
      <c r="I21" s="12">
        <v>0.30475635288654424</v>
      </c>
      <c r="J21" s="12">
        <v>0.19719501143199203</v>
      </c>
      <c r="K21" s="12">
        <v>9.223193786174555E-2</v>
      </c>
      <c r="L21" s="12">
        <v>0.12699313286613734</v>
      </c>
      <c r="M21" s="12">
        <v>0.11993591121476221</v>
      </c>
      <c r="N21" s="12">
        <v>0.12068122259235903</v>
      </c>
      <c r="O21" s="12">
        <v>0.12249438389819378</v>
      </c>
      <c r="P21" s="12">
        <v>0.31563208516346197</v>
      </c>
      <c r="Q21" s="12">
        <v>-0.03</v>
      </c>
    </row>
    <row r="22" spans="1:17" x14ac:dyDescent="0.2">
      <c r="A22" s="15" t="s">
        <v>66</v>
      </c>
      <c r="B22" s="14">
        <v>0.35171941603543377</v>
      </c>
      <c r="C22" s="12">
        <v>0.27816055391359384</v>
      </c>
      <c r="D22" s="12">
        <v>0.31744865889603346</v>
      </c>
      <c r="E22" s="12">
        <v>0.27160228183294599</v>
      </c>
      <c r="F22" s="12">
        <v>0.2538892932363046</v>
      </c>
      <c r="G22" s="12">
        <v>0.23382757820714239</v>
      </c>
      <c r="H22" s="12">
        <v>0.12715540079826404</v>
      </c>
      <c r="I22" s="12">
        <v>0.15139620792322539</v>
      </c>
      <c r="J22" s="12">
        <v>0.10496850852821282</v>
      </c>
      <c r="K22" s="12">
        <v>-2.9662580152463036E-3</v>
      </c>
      <c r="L22" s="12">
        <v>3.0015673234995432E-4</v>
      </c>
      <c r="M22" s="12">
        <v>6.8386434627276671E-3</v>
      </c>
      <c r="N22" s="12">
        <v>-3.1470554971582132E-3</v>
      </c>
      <c r="O22" s="12">
        <v>-3.7898078192810658E-4</v>
      </c>
      <c r="P22" s="12">
        <v>0.21235333637991527</v>
      </c>
      <c r="Q22" s="12">
        <v>2.7E-2</v>
      </c>
    </row>
    <row r="23" spans="1:17" x14ac:dyDescent="0.2">
      <c r="A23" s="15" t="s">
        <v>67</v>
      </c>
      <c r="B23" s="14">
        <v>0.28089349472557501</v>
      </c>
      <c r="C23" s="12">
        <v>0.24015293904242707</v>
      </c>
      <c r="D23" s="12">
        <v>0.22973966581926408</v>
      </c>
      <c r="E23" s="12">
        <v>0.20717109935221067</v>
      </c>
      <c r="F23" s="12">
        <v>0.28049675633959126</v>
      </c>
      <c r="G23" s="12">
        <v>0.24816785237913486</v>
      </c>
      <c r="H23" s="12">
        <v>0.13938996471422005</v>
      </c>
      <c r="I23" s="12">
        <v>0.15547293374436322</v>
      </c>
      <c r="J23" s="12">
        <v>0.11393339098314392</v>
      </c>
      <c r="K23" s="12">
        <v>1.8803333267349842E-3</v>
      </c>
      <c r="L23" s="12">
        <v>2.7110804072015604E-2</v>
      </c>
      <c r="M23" s="12">
        <v>1.0655895692279316E-2</v>
      </c>
      <c r="N23" s="12">
        <v>1.1982865462437431E-2</v>
      </c>
      <c r="O23" s="12">
        <v>1.5966957130888026E-2</v>
      </c>
      <c r="P23" s="12">
        <v>0.22704393241257126</v>
      </c>
      <c r="Q23" s="12">
        <v>0.16300000000000001</v>
      </c>
    </row>
    <row r="24" spans="1:17" x14ac:dyDescent="0.2">
      <c r="A24" s="15" t="s">
        <v>68</v>
      </c>
      <c r="B24" s="14">
        <v>0.17256722933447666</v>
      </c>
      <c r="C24" s="12">
        <v>0.1122684824127278</v>
      </c>
      <c r="D24" s="12">
        <v>0.11336947709143796</v>
      </c>
      <c r="E24" s="12">
        <v>7.9858319991693349E-2</v>
      </c>
      <c r="F24" s="12">
        <v>0.17458067278682332</v>
      </c>
      <c r="G24" s="12">
        <v>0.12133438553551379</v>
      </c>
      <c r="H24" s="12">
        <v>8.4571635231878162E-3</v>
      </c>
      <c r="I24" s="12">
        <v>4.583954515511568E-2</v>
      </c>
      <c r="J24" s="12">
        <v>-1.1201596688100501E-2</v>
      </c>
      <c r="K24" s="12">
        <v>-0.12571618396302942</v>
      </c>
      <c r="L24" s="12">
        <v>-0.12433370037077474</v>
      </c>
      <c r="M24" s="12">
        <v>-0.11353332836422059</v>
      </c>
      <c r="N24" s="12">
        <v>-0.12528448309776152</v>
      </c>
      <c r="O24" s="12">
        <v>-0.10635091421124176</v>
      </c>
      <c r="P24" s="12">
        <v>0.10296753547392434</v>
      </c>
      <c r="Q24" s="12">
        <v>1.4999999999999999E-2</v>
      </c>
    </row>
    <row r="25" spans="1:17" x14ac:dyDescent="0.2">
      <c r="A25" s="15" t="s">
        <v>69</v>
      </c>
      <c r="B25" s="14">
        <v>0.19530031954902416</v>
      </c>
      <c r="C25" s="12">
        <v>0.14064062712391756</v>
      </c>
      <c r="D25" s="12">
        <v>0.12931792013845467</v>
      </c>
      <c r="E25" s="12">
        <v>9.4676846798943615E-2</v>
      </c>
      <c r="F25" s="12">
        <v>0.20453018043530768</v>
      </c>
      <c r="G25" s="12">
        <v>0.15797046530624925</v>
      </c>
      <c r="H25" s="12">
        <v>4.6943831051417639E-2</v>
      </c>
      <c r="I25" s="12">
        <v>8.1722351514122771E-2</v>
      </c>
      <c r="J25" s="12">
        <v>2.8304080521103891E-2</v>
      </c>
      <c r="K25" s="12">
        <v>-8.5129174969533317E-2</v>
      </c>
      <c r="L25" s="12">
        <v>-0.13274134795042158</v>
      </c>
      <c r="M25" s="12">
        <v>-0.1245269973767007</v>
      </c>
      <c r="N25" s="12">
        <v>-0.11631230256913394</v>
      </c>
      <c r="O25" s="12">
        <v>-0.1217878224437996</v>
      </c>
      <c r="P25" s="12">
        <v>-1.0276113148113684</v>
      </c>
      <c r="Q25" s="12">
        <v>0.14000000000000001</v>
      </c>
    </row>
    <row r="26" spans="1:17" x14ac:dyDescent="0.2">
      <c r="A26" s="15" t="s">
        <v>70</v>
      </c>
      <c r="B26" s="14">
        <v>0.29069805742366572</v>
      </c>
      <c r="C26" s="12">
        <v>0.23421747022697126</v>
      </c>
      <c r="D26" s="12">
        <v>0.23890181404201094</v>
      </c>
      <c r="E26" s="12">
        <v>0.20438011950545665</v>
      </c>
      <c r="F26" s="12">
        <v>0.28937323055049813</v>
      </c>
      <c r="G26" s="12">
        <v>0.23949957064913896</v>
      </c>
      <c r="H26" s="12">
        <v>0.13144236811056409</v>
      </c>
      <c r="I26" s="12">
        <v>0.1664746940372126</v>
      </c>
      <c r="J26" s="12">
        <v>0.1071429083351445</v>
      </c>
      <c r="K26" s="12">
        <v>-5.5795315829492154E-3</v>
      </c>
      <c r="L26" s="12">
        <v>8.470528368071939E-3</v>
      </c>
      <c r="M26" s="12">
        <v>1.9921203408734378E-2</v>
      </c>
      <c r="N26" s="12">
        <v>2.1507570572769197E-2</v>
      </c>
      <c r="O26" s="12">
        <v>2.0633975487614364E-2</v>
      </c>
      <c r="P26" s="12">
        <v>0.21977716233476929</v>
      </c>
      <c r="Q26" s="12">
        <v>4.2000000000000003E-2</v>
      </c>
    </row>
    <row r="27" spans="1:17" x14ac:dyDescent="0.2">
      <c r="A27" s="15" t="s">
        <v>71</v>
      </c>
      <c r="B27" s="14">
        <v>0.11312407720523776</v>
      </c>
      <c r="C27" s="12">
        <v>6.6521455254886952E-2</v>
      </c>
      <c r="D27" s="12">
        <v>0.10153828705136636</v>
      </c>
      <c r="E27" s="12">
        <v>7.0843519732751936E-2</v>
      </c>
      <c r="F27" s="12">
        <v>0.14402690231229709</v>
      </c>
      <c r="G27" s="12">
        <v>0.10345215202854252</v>
      </c>
      <c r="H27" s="12">
        <v>-2.3318055709404817E-3</v>
      </c>
      <c r="I27" s="12">
        <v>2.0985466887672999E-2</v>
      </c>
      <c r="J27" s="12">
        <v>-2.8384855619964178E-2</v>
      </c>
      <c r="K27" s="12">
        <v>-0.1392776496107242</v>
      </c>
      <c r="L27" s="12">
        <v>-0.12740736233936811</v>
      </c>
      <c r="M27" s="12">
        <v>-0.12369118249287236</v>
      </c>
      <c r="N27" s="12">
        <v>-0.12579069264642495</v>
      </c>
      <c r="O27" s="12">
        <v>-0.12458015605510209</v>
      </c>
      <c r="P27" s="12">
        <v>9.083205397463967E-2</v>
      </c>
      <c r="Q27" s="12">
        <v>-8.9999999999999993E-3</v>
      </c>
    </row>
    <row r="28" spans="1:17" x14ac:dyDescent="0.2">
      <c r="A28" s="15" t="s">
        <v>72</v>
      </c>
      <c r="B28" s="14">
        <v>7.4949035130899233E-2</v>
      </c>
      <c r="C28" s="12">
        <v>2.7902982878146076E-2</v>
      </c>
      <c r="D28" s="12">
        <v>7.0692600286337282E-2</v>
      </c>
      <c r="E28" s="12">
        <v>3.9087128438249685E-2</v>
      </c>
      <c r="F28" s="12">
        <v>0.11354436427490366</v>
      </c>
      <c r="G28" s="12">
        <v>7.2546601704902791E-2</v>
      </c>
      <c r="H28" s="12">
        <v>-3.3729995155959536E-2</v>
      </c>
      <c r="I28" s="12">
        <v>-1.0132627006828265E-2</v>
      </c>
      <c r="J28" s="12">
        <v>-5.9954495595213153E-2</v>
      </c>
      <c r="K28" s="12">
        <v>-0.17129071852720479</v>
      </c>
      <c r="L28" s="12">
        <v>-0.16720142788298897</v>
      </c>
      <c r="M28" s="12">
        <v>-0.16809384912317871</v>
      </c>
      <c r="N28" s="12">
        <v>-0.1655882983858401</v>
      </c>
      <c r="O28" s="12">
        <v>-0.16489062723517112</v>
      </c>
      <c r="P28" s="12">
        <v>5.2867677023315629E-2</v>
      </c>
      <c r="Q28" s="12">
        <v>-0.04</v>
      </c>
    </row>
    <row r="29" spans="1:17" x14ac:dyDescent="0.2">
      <c r="A29" s="15" t="s">
        <v>73</v>
      </c>
      <c r="B29" s="14">
        <v>6.8701342220289341E-2</v>
      </c>
      <c r="C29" s="12">
        <v>9.2874626732450949E-3</v>
      </c>
      <c r="D29" s="12">
        <v>6.0438295618418181E-2</v>
      </c>
      <c r="E29" s="12">
        <v>2.1040550771676436E-2</v>
      </c>
      <c r="F29" s="12">
        <v>0.11570651625991069</v>
      </c>
      <c r="G29" s="12">
        <v>6.0835711571901818E-2</v>
      </c>
      <c r="H29" s="12">
        <v>-4.6495446568475707E-2</v>
      </c>
      <c r="I29" s="12">
        <v>-7.3740476874526451E-3</v>
      </c>
      <c r="J29" s="12">
        <v>-7.1110069265053255E-2</v>
      </c>
      <c r="K29" s="12">
        <v>-0.18383534732274587</v>
      </c>
      <c r="L29" s="12">
        <v>-0.16703170268981626</v>
      </c>
      <c r="M29" s="12">
        <v>-0.15451253008988797</v>
      </c>
      <c r="N29" s="12">
        <v>-0.15720202938184791</v>
      </c>
      <c r="O29" s="12">
        <v>-0.15880824175981445</v>
      </c>
      <c r="P29" s="12">
        <v>5.3812861907010401E-2</v>
      </c>
      <c r="Q29" s="12">
        <v>-8.4000000000000005E-2</v>
      </c>
    </row>
    <row r="30" spans="1:17" x14ac:dyDescent="0.2">
      <c r="A30" s="15" t="s">
        <v>74</v>
      </c>
      <c r="B30" s="14">
        <v>0.13581822257309195</v>
      </c>
      <c r="C30" s="12">
        <v>6.4371035429354961E-2</v>
      </c>
      <c r="D30" s="12">
        <v>0.11454840092820007</v>
      </c>
      <c r="E30" s="12">
        <v>6.7320439610617733E-2</v>
      </c>
      <c r="F30" s="12">
        <v>0.17221406579826404</v>
      </c>
      <c r="G30" s="12">
        <v>0.10475599625035326</v>
      </c>
      <c r="H30" s="12">
        <v>-4.0343542039860125E-3</v>
      </c>
      <c r="I30" s="12">
        <v>4.9183223739159843E-2</v>
      </c>
      <c r="J30" s="12">
        <v>-2.7250701222546247E-2</v>
      </c>
      <c r="K30" s="12">
        <v>-0.14228502887803884</v>
      </c>
      <c r="L30" s="12">
        <v>-0.12430447812868906</v>
      </c>
      <c r="M30" s="12">
        <v>-0.11297322814912913</v>
      </c>
      <c r="N30" s="12">
        <v>-0.11546045478062883</v>
      </c>
      <c r="O30" s="12">
        <v>-0.1185784616858756</v>
      </c>
      <c r="P30" s="12">
        <v>9.9689616705225248E-2</v>
      </c>
      <c r="Q30" s="12">
        <v>0.2</v>
      </c>
    </row>
    <row r="31" spans="1:17" x14ac:dyDescent="0.2">
      <c r="A31" s="15" t="s">
        <v>75</v>
      </c>
      <c r="B31" s="14">
        <v>0.74871356094239072</v>
      </c>
      <c r="C31" s="12">
        <v>0.70858056610563658</v>
      </c>
      <c r="D31" s="12">
        <v>0.72531769265222934</v>
      </c>
      <c r="E31" s="12">
        <v>0.70571897558899188</v>
      </c>
      <c r="F31" s="12">
        <v>0.80536249371010982</v>
      </c>
      <c r="G31" s="12">
        <v>0.76963771032127148</v>
      </c>
      <c r="H31" s="12">
        <v>0.66564057074478633</v>
      </c>
      <c r="I31" s="12">
        <v>0.67615801028858069</v>
      </c>
      <c r="J31" s="12">
        <v>0.63227855212507578</v>
      </c>
      <c r="K31" s="12">
        <v>0.52589040515790408</v>
      </c>
      <c r="L31" s="12">
        <v>0.54833962819387239</v>
      </c>
      <c r="M31" s="12">
        <v>0.52987499070543542</v>
      </c>
      <c r="N31" s="12">
        <v>0.52426988369722594</v>
      </c>
      <c r="O31" s="12">
        <v>0.52716049916511221</v>
      </c>
      <c r="P31" s="12">
        <v>0.70147097857418128</v>
      </c>
      <c r="Q31" s="12">
        <v>0.55000000000000004</v>
      </c>
    </row>
    <row r="32" spans="1:17" x14ac:dyDescent="0.2">
      <c r="A32" s="15" t="s">
        <v>76</v>
      </c>
      <c r="B32" s="14">
        <v>0.43231993493473375</v>
      </c>
      <c r="C32" s="12">
        <v>0.37813494270010217</v>
      </c>
      <c r="D32" s="12">
        <v>0.39499459096152467</v>
      </c>
      <c r="E32" s="12">
        <v>0.36658221566823279</v>
      </c>
      <c r="F32" s="12">
        <v>0.47770627462425441</v>
      </c>
      <c r="G32" s="12">
        <v>0.43448811695169809</v>
      </c>
      <c r="H32" s="12">
        <v>0.3204185763305345</v>
      </c>
      <c r="I32" s="12">
        <v>0.35386858550206934</v>
      </c>
      <c r="J32" s="12">
        <v>0.30140101832990762</v>
      </c>
      <c r="K32" s="12">
        <v>0.18387981506714546</v>
      </c>
      <c r="L32" s="12">
        <v>0.19118622578335831</v>
      </c>
      <c r="M32" s="12">
        <v>0.1946885395843525</v>
      </c>
      <c r="N32" s="12">
        <v>0.19872536135582841</v>
      </c>
      <c r="O32" s="12">
        <v>0.19757074811951192</v>
      </c>
      <c r="P32" s="12">
        <v>0.35796457104354662</v>
      </c>
      <c r="Q32" s="12">
        <v>0.33300000000000002</v>
      </c>
    </row>
    <row r="33" spans="1:17" x14ac:dyDescent="0.2">
      <c r="A33" s="15" t="s">
        <v>77</v>
      </c>
      <c r="B33" s="14">
        <v>0.52183334632088219</v>
      </c>
      <c r="C33" s="12">
        <v>0.48179157336822787</v>
      </c>
      <c r="D33" s="12">
        <v>0.48787036694960406</v>
      </c>
      <c r="E33" s="12">
        <v>0.46809608922509938</v>
      </c>
      <c r="F33" s="12">
        <v>0.57093077189574437</v>
      </c>
      <c r="G33" s="12">
        <v>0.53754336101676703</v>
      </c>
      <c r="H33" s="12">
        <v>0.43091811497740995</v>
      </c>
      <c r="I33" s="12">
        <v>0.44170305271900379</v>
      </c>
      <c r="J33" s="12">
        <v>0.39920226311306273</v>
      </c>
      <c r="K33" s="12">
        <v>0.29059880003780147</v>
      </c>
      <c r="L33" s="12">
        <v>0.30656911554109989</v>
      </c>
      <c r="M33" s="12">
        <v>0.30926079990158772</v>
      </c>
      <c r="N33" s="12">
        <v>0.31085105420368375</v>
      </c>
      <c r="O33" s="12">
        <v>0.30795131749788673</v>
      </c>
      <c r="P33" s="12">
        <v>0.46597414165369244</v>
      </c>
      <c r="Q33" s="12">
        <v>0.308</v>
      </c>
    </row>
    <row r="34" spans="1:17" x14ac:dyDescent="0.2">
      <c r="A34" s="15" t="s">
        <v>110</v>
      </c>
      <c r="B34" s="14">
        <v>0.95690004864434819</v>
      </c>
      <c r="C34" s="12">
        <v>0.89357514256148729</v>
      </c>
      <c r="D34" s="12">
        <v>0.92077753365121584</v>
      </c>
      <c r="E34" s="12">
        <v>0.88161247284108235</v>
      </c>
      <c r="F34" s="12">
        <v>1.0182580290295089</v>
      </c>
      <c r="G34" s="12">
        <v>0.96188111289927303</v>
      </c>
      <c r="H34" s="12">
        <v>0.85177725140021199</v>
      </c>
      <c r="I34" s="12">
        <v>0.88336027798670003</v>
      </c>
      <c r="J34" s="12">
        <v>0.82079829172710728</v>
      </c>
      <c r="K34" s="12">
        <v>0.71222610262652264</v>
      </c>
      <c r="L34" s="12">
        <v>0.73809877424855141</v>
      </c>
      <c r="M34" s="12">
        <v>0.7102276213155827</v>
      </c>
      <c r="N34" s="12">
        <v>0.71355616496225771</v>
      </c>
      <c r="O34" s="12">
        <v>0.71219180411385974</v>
      </c>
      <c r="P34" s="12">
        <v>0.84338441725408853</v>
      </c>
      <c r="Q34" s="12">
        <v>0.66500000000000004</v>
      </c>
    </row>
    <row r="35" spans="1:17" x14ac:dyDescent="0.2">
      <c r="A35" s="15" t="s">
        <v>111</v>
      </c>
      <c r="B35" s="14">
        <v>0.9848959382878677</v>
      </c>
      <c r="C35" s="12">
        <v>0.95669068063179896</v>
      </c>
      <c r="D35" s="12">
        <v>0.96276235844816593</v>
      </c>
      <c r="E35" s="12">
        <v>0.95116949335125334</v>
      </c>
      <c r="F35" s="12">
        <v>1.0443078123604632</v>
      </c>
      <c r="G35" s="12">
        <v>1.0212926155370408</v>
      </c>
      <c r="H35" s="12">
        <v>0.91532163042287795</v>
      </c>
      <c r="I35" s="12">
        <v>0.91388603440959226</v>
      </c>
      <c r="J35" s="12">
        <v>0.8834170965944077</v>
      </c>
      <c r="K35" s="12">
        <v>0.77688562486131563</v>
      </c>
      <c r="L35" s="12">
        <v>0.78062450303344555</v>
      </c>
      <c r="M35" s="12">
        <v>0.78445842356054118</v>
      </c>
      <c r="N35" s="12">
        <v>0.77932514867988356</v>
      </c>
      <c r="O35" s="12">
        <v>0.77821879608894129</v>
      </c>
      <c r="P35" s="12">
        <v>0.9112408456305916</v>
      </c>
      <c r="Q35" s="12">
        <v>0.78300000000000003</v>
      </c>
    </row>
    <row r="36" spans="1:17" x14ac:dyDescent="0.2">
      <c r="A36" s="15" t="s">
        <v>112</v>
      </c>
      <c r="B36" s="14">
        <v>0.87250880175513146</v>
      </c>
      <c r="C36" s="12">
        <v>0.84697676965737845</v>
      </c>
      <c r="D36" s="12">
        <v>0.8468824660924259</v>
      </c>
      <c r="E36" s="12">
        <v>0.836277524460594</v>
      </c>
      <c r="F36" s="12">
        <v>0.93425041011665044</v>
      </c>
      <c r="G36" s="12">
        <v>0.91425804314872128</v>
      </c>
      <c r="H36" s="12">
        <v>0.80633884692463198</v>
      </c>
      <c r="I36" s="12">
        <v>0.80558441975303285</v>
      </c>
      <c r="J36" s="12">
        <v>0.77848655008007661</v>
      </c>
      <c r="K36" s="12">
        <v>0.66922817436817361</v>
      </c>
      <c r="L36" s="12">
        <v>0.66914138112671662</v>
      </c>
      <c r="M36" s="12">
        <v>0.67128710019305071</v>
      </c>
      <c r="N36" s="12">
        <v>0.67412975706626987</v>
      </c>
      <c r="O36" s="12">
        <v>0.67202976663142078</v>
      </c>
      <c r="P36" s="12">
        <v>0.79648170305026955</v>
      </c>
      <c r="Q36" s="12">
        <v>0.66900000000000004</v>
      </c>
    </row>
    <row r="37" spans="1:17" x14ac:dyDescent="0.2">
      <c r="A37" s="15" t="s">
        <v>113</v>
      </c>
      <c r="B37" s="14">
        <v>1.02945644965234</v>
      </c>
      <c r="C37" s="12">
        <v>0.97544544526650778</v>
      </c>
      <c r="D37" s="12">
        <v>1.0201702817311</v>
      </c>
      <c r="E37" s="12">
        <v>0.98808263065276236</v>
      </c>
      <c r="F37" s="12">
        <v>1.1102441702141714</v>
      </c>
      <c r="G37" s="12">
        <v>1.0588200267259884</v>
      </c>
      <c r="H37" s="12">
        <v>0.95512903767999013</v>
      </c>
      <c r="I37" s="12">
        <v>0.97889368880544669</v>
      </c>
      <c r="J37" s="12">
        <v>0.92027153770888148</v>
      </c>
      <c r="K37" s="12">
        <v>0.81554137675135507</v>
      </c>
      <c r="L37" s="12">
        <v>0.82063692449545744</v>
      </c>
      <c r="M37" s="12">
        <v>0.79664301932387005</v>
      </c>
      <c r="N37" s="12">
        <v>0.81403778236251423</v>
      </c>
      <c r="O37" s="12">
        <v>0.80384743519328961</v>
      </c>
      <c r="P37" s="12">
        <v>0.95500746006686921</v>
      </c>
      <c r="Q37" s="12">
        <v>0.86</v>
      </c>
    </row>
    <row r="38" spans="1:17" x14ac:dyDescent="0.2">
      <c r="A38" s="15" t="s">
        <v>82</v>
      </c>
      <c r="B38" s="14">
        <v>0.55644126266093341</v>
      </c>
      <c r="C38" s="12">
        <v>0.51761721144873274</v>
      </c>
      <c r="D38" s="12">
        <v>0.56030847352342583</v>
      </c>
      <c r="E38" s="12">
        <v>0.53689603217898973</v>
      </c>
      <c r="F38" s="12">
        <v>0.65102127982184843</v>
      </c>
      <c r="G38" s="12">
        <v>0.61671171252822177</v>
      </c>
      <c r="H38" s="12">
        <v>0.50532954327180946</v>
      </c>
      <c r="I38" s="12">
        <v>0.51729183339422935</v>
      </c>
      <c r="J38" s="12">
        <v>0.47477694015880534</v>
      </c>
      <c r="K38" s="12">
        <v>0.36176296355283366</v>
      </c>
      <c r="L38" s="12">
        <v>0.37367464877554912</v>
      </c>
      <c r="M38" s="12">
        <v>0.37665279083408887</v>
      </c>
      <c r="N38" s="12">
        <v>0.37869497761148985</v>
      </c>
      <c r="O38" s="12">
        <v>0.37557284410889391</v>
      </c>
      <c r="P38" s="12">
        <v>0.53356470741183948</v>
      </c>
      <c r="Q38" s="12">
        <v>0.38200000000000001</v>
      </c>
    </row>
    <row r="39" spans="1:17" x14ac:dyDescent="0.2">
      <c r="A39" s="15" t="s">
        <v>83</v>
      </c>
      <c r="B39" s="14">
        <v>0.56987402282690613</v>
      </c>
      <c r="C39" s="12">
        <v>0.51513598899158985</v>
      </c>
      <c r="D39" s="12">
        <v>0.57926600470386092</v>
      </c>
      <c r="E39" s="12">
        <v>0.53812003837892597</v>
      </c>
      <c r="F39" s="12">
        <v>0.67476216049336379</v>
      </c>
      <c r="G39" s="12">
        <v>0.62152127876896213</v>
      </c>
      <c r="H39" s="12">
        <v>0.50678009462915607</v>
      </c>
      <c r="I39" s="12">
        <v>0.53529949478631611</v>
      </c>
      <c r="J39" s="12">
        <v>0.47393522314046077</v>
      </c>
      <c r="K39" s="12">
        <v>0.36214816026124108</v>
      </c>
      <c r="L39" s="12">
        <v>0.37434086091277674</v>
      </c>
      <c r="M39" s="12">
        <v>0.37526063361925743</v>
      </c>
      <c r="N39" s="12">
        <v>0.37533670287077214</v>
      </c>
      <c r="O39" s="12">
        <v>0.374131073842217</v>
      </c>
      <c r="P39" s="12">
        <v>0.5281393962326133</v>
      </c>
      <c r="Q39" s="12">
        <v>0.39400000000000002</v>
      </c>
    </row>
    <row r="40" spans="1:17" x14ac:dyDescent="0.2">
      <c r="A40" s="15" t="s">
        <v>114</v>
      </c>
      <c r="B40" s="14">
        <v>0.88389150834974828</v>
      </c>
      <c r="C40" s="12">
        <v>0.82275324581223064</v>
      </c>
      <c r="D40" s="12">
        <v>0.85200487685063209</v>
      </c>
      <c r="E40" s="12">
        <v>0.80172345117307042</v>
      </c>
      <c r="F40" s="12">
        <v>0.97365863676087727</v>
      </c>
      <c r="G40" s="12">
        <v>0.91337597717051811</v>
      </c>
      <c r="H40" s="12">
        <v>0.80336580426574145</v>
      </c>
      <c r="I40" s="12">
        <v>0.83457749560250249</v>
      </c>
      <c r="J40" s="12">
        <v>0.7655591123770904</v>
      </c>
      <c r="K40" s="12">
        <v>0.65686707100119879</v>
      </c>
      <c r="L40" s="12">
        <v>0.66553006419999061</v>
      </c>
      <c r="M40" s="12">
        <v>0.66504523186735742</v>
      </c>
      <c r="N40" s="12">
        <v>0.65932626180078913</v>
      </c>
      <c r="O40" s="12">
        <v>0.65719056602163928</v>
      </c>
      <c r="P40" s="12">
        <v>0.79016940997898111</v>
      </c>
      <c r="Q40" s="12">
        <v>0.7</v>
      </c>
    </row>
    <row r="41" spans="1:17" x14ac:dyDescent="0.2">
      <c r="A41" s="15" t="s">
        <v>85</v>
      </c>
      <c r="B41" s="14">
        <v>0.51900087873036949</v>
      </c>
      <c r="C41" s="12">
        <v>0.46773308742963859</v>
      </c>
      <c r="D41" s="12">
        <v>0.54404818597923921</v>
      </c>
      <c r="E41" s="12">
        <v>0.51616487502757291</v>
      </c>
      <c r="F41" s="12">
        <v>0.63457195520811638</v>
      </c>
      <c r="G41" s="12">
        <v>0.58730109523626517</v>
      </c>
      <c r="H41" s="12">
        <v>0.47817318013806442</v>
      </c>
      <c r="I41" s="12">
        <v>0.51317142251800263</v>
      </c>
      <c r="J41" s="12">
        <v>0.45734991129143676</v>
      </c>
      <c r="K41" s="12">
        <v>0.34650241191055642</v>
      </c>
      <c r="L41" s="12">
        <v>0.34880503419711761</v>
      </c>
      <c r="M41" s="12">
        <v>0.34907078679577008</v>
      </c>
      <c r="N41" s="12">
        <v>0.35409825180345056</v>
      </c>
      <c r="O41" s="12">
        <v>0.35530791082801017</v>
      </c>
      <c r="P41" s="12">
        <v>0.48953591087112436</v>
      </c>
      <c r="Q41" s="12">
        <v>0.28000000000000003</v>
      </c>
    </row>
    <row r="42" spans="1:17" x14ac:dyDescent="0.2">
      <c r="A42" s="15" t="s">
        <v>115</v>
      </c>
      <c r="B42" s="14">
        <v>0.85349158389710489</v>
      </c>
      <c r="C42" s="12">
        <v>0.80773040685163711</v>
      </c>
      <c r="D42" s="12">
        <v>0.82246209007422788</v>
      </c>
      <c r="E42" s="12">
        <v>0.80167633612286426</v>
      </c>
      <c r="F42" s="12">
        <v>0.92932228821300278</v>
      </c>
      <c r="G42" s="12">
        <v>0.88772326013462788</v>
      </c>
      <c r="H42" s="12">
        <v>0.78044467563381303</v>
      </c>
      <c r="I42" s="12">
        <v>0.79615536109134499</v>
      </c>
      <c r="J42" s="12">
        <v>0.74550988870182522</v>
      </c>
      <c r="K42" s="12">
        <v>0.63718193076474883</v>
      </c>
      <c r="L42" s="12">
        <v>0.64307643564581074</v>
      </c>
      <c r="M42" s="12">
        <v>0.64366526694006154</v>
      </c>
      <c r="N42" s="12">
        <v>0.64126251650517663</v>
      </c>
      <c r="O42" s="12">
        <v>0.63975456694132582</v>
      </c>
      <c r="P42" s="12">
        <v>0.75642330332737373</v>
      </c>
      <c r="Q42" s="12">
        <v>0.70699999999999996</v>
      </c>
    </row>
    <row r="43" spans="1:17" x14ac:dyDescent="0.2">
      <c r="A43" s="15" t="s">
        <v>197</v>
      </c>
      <c r="C43" s="41"/>
      <c r="D43" s="40"/>
      <c r="E43" s="40"/>
      <c r="F43" s="40"/>
      <c r="G43" s="40"/>
      <c r="H43" s="40"/>
      <c r="I43" s="40"/>
      <c r="J43" s="40"/>
      <c r="K43" s="40"/>
      <c r="L43" s="40"/>
      <c r="M43" s="41"/>
      <c r="N43" s="41"/>
      <c r="O43" s="41"/>
      <c r="P43" s="41"/>
      <c r="Q43" s="40"/>
    </row>
    <row r="44" spans="1:17" x14ac:dyDescent="0.2">
      <c r="A44" s="15" t="s">
        <v>112</v>
      </c>
      <c r="B44" s="15">
        <v>-0.88149999999999995</v>
      </c>
      <c r="C44" s="40">
        <v>-0.88149999999999995</v>
      </c>
      <c r="D44" s="40">
        <v>-0.88149999999999995</v>
      </c>
      <c r="E44" s="40">
        <v>-0.88149999999999995</v>
      </c>
      <c r="F44" s="40">
        <v>-0.88149999999999995</v>
      </c>
      <c r="G44" s="40">
        <v>-0.88149999999999995</v>
      </c>
      <c r="H44" s="40">
        <v>-0.88149999999999995</v>
      </c>
      <c r="I44" s="40">
        <v>-0.88149999999999995</v>
      </c>
      <c r="J44" s="40">
        <v>-0.88149999999999995</v>
      </c>
      <c r="K44" s="40">
        <v>-0.88149999999999995</v>
      </c>
      <c r="L44" s="40">
        <v>-0.88149999999999995</v>
      </c>
      <c r="M44" s="40">
        <v>-0.88149999999999995</v>
      </c>
      <c r="N44" s="40">
        <v>-0.88149999999999995</v>
      </c>
      <c r="O44" s="40">
        <v>-0.88149999999999995</v>
      </c>
      <c r="P44" s="40">
        <v>-0.88149999999999995</v>
      </c>
      <c r="Q44" s="40">
        <v>-0.88149999999999995</v>
      </c>
    </row>
    <row r="45" spans="1:17" x14ac:dyDescent="0.2">
      <c r="A45" s="15" t="s">
        <v>123</v>
      </c>
      <c r="B45" s="15">
        <v>-0.91498176342750792</v>
      </c>
      <c r="C45" s="40">
        <v>-0.91496856865624476</v>
      </c>
      <c r="D45" s="40">
        <v>-0.89064194381446704</v>
      </c>
      <c r="E45" s="40">
        <v>-0.89502465689213784</v>
      </c>
      <c r="F45" s="40">
        <v>-0.90869011334061334</v>
      </c>
      <c r="G45" s="40">
        <v>-0.90680881487628406</v>
      </c>
      <c r="H45" s="40">
        <v>-0.8984026407916037</v>
      </c>
      <c r="I45" s="40">
        <v>-0.90918254580306401</v>
      </c>
      <c r="J45" s="40">
        <v>-0.90638503115745461</v>
      </c>
      <c r="K45" s="40">
        <v>-0.89796700109627592</v>
      </c>
      <c r="L45" s="40">
        <v>-0.87992461668883371</v>
      </c>
      <c r="M45" s="40">
        <v>-0.91819564126858566</v>
      </c>
      <c r="N45" s="40">
        <v>-0.93521946225172536</v>
      </c>
      <c r="O45" s="40">
        <v>-0.89349987576142942</v>
      </c>
      <c r="P45" s="40">
        <v>-0.88351066169459802</v>
      </c>
      <c r="Q45" s="40">
        <v>-0.86599999999999999</v>
      </c>
    </row>
    <row r="46" spans="1:17" x14ac:dyDescent="0.2">
      <c r="A46" s="15" t="s">
        <v>124</v>
      </c>
      <c r="B46" s="15">
        <v>-0.98148022153226133</v>
      </c>
      <c r="C46" s="40">
        <v>-0.98402139189418625</v>
      </c>
      <c r="D46" s="40">
        <v>-0.97585983945108179</v>
      </c>
      <c r="E46" s="40">
        <v>-0.97625439549242454</v>
      </c>
      <c r="F46" s="40">
        <v>-0.97558215604558018</v>
      </c>
      <c r="G46" s="40">
        <v>-0.97694775908894549</v>
      </c>
      <c r="H46" s="40">
        <v>-0.97395492427702557</v>
      </c>
      <c r="I46" s="40">
        <v>-0.97600768401940252</v>
      </c>
      <c r="J46" s="40">
        <v>-0.97573288229394306</v>
      </c>
      <c r="K46" s="40">
        <v>-0.97247846774041147</v>
      </c>
      <c r="L46" s="40">
        <v>-0.95020084475382749</v>
      </c>
      <c r="M46" s="40">
        <v>-0.97135666999978465</v>
      </c>
      <c r="N46" s="40">
        <v>-0.97971308546006908</v>
      </c>
      <c r="O46" s="40">
        <v>-0.96719827347519205</v>
      </c>
      <c r="P46" s="40">
        <v>-0.95867479816846624</v>
      </c>
      <c r="Q46" s="40">
        <v>-0.96299999999999997</v>
      </c>
    </row>
    <row r="47" spans="1:17" x14ac:dyDescent="0.2">
      <c r="A47" s="15" t="s">
        <v>125</v>
      </c>
      <c r="B47" s="15">
        <v>-1.0204131098831781</v>
      </c>
      <c r="C47" s="40">
        <v>-1.0242516508928921</v>
      </c>
      <c r="D47" s="40">
        <v>-1.0071841094719622</v>
      </c>
      <c r="E47" s="40">
        <v>-1.008412186481364</v>
      </c>
      <c r="F47" s="40">
        <v>-1.0189195183701489</v>
      </c>
      <c r="G47" s="40">
        <v>-1.0200872161708654</v>
      </c>
      <c r="H47" s="40">
        <v>-1.0086583237940858</v>
      </c>
      <c r="I47" s="40">
        <v>-1.0154557534900048</v>
      </c>
      <c r="J47" s="40">
        <v>-1.0133184427206614</v>
      </c>
      <c r="K47" s="40">
        <v>-1.0013810006213042</v>
      </c>
      <c r="L47" s="40">
        <v>-0.94654848906854294</v>
      </c>
      <c r="M47" s="40">
        <v>-0.99894615034780365</v>
      </c>
      <c r="N47" s="40">
        <v>-1.0145898564879028</v>
      </c>
      <c r="O47" s="40">
        <v>-0.99240702142953285</v>
      </c>
      <c r="P47" s="40">
        <v>-0.98500424922708918</v>
      </c>
      <c r="Q47" s="40">
        <v>-0.98199999999999998</v>
      </c>
    </row>
    <row r="48" spans="1:17" x14ac:dyDescent="0.2">
      <c r="A48" s="15" t="s">
        <v>126</v>
      </c>
      <c r="B48" s="15">
        <v>-1.062688879518674</v>
      </c>
      <c r="C48" s="40">
        <v>-1.0649601434735607</v>
      </c>
      <c r="D48" s="40">
        <v>-1.0459773302515503</v>
      </c>
      <c r="E48" s="40">
        <v>-1.0434699182573297</v>
      </c>
      <c r="F48" s="40">
        <v>-1.0438019862176198</v>
      </c>
      <c r="G48" s="40">
        <v>-1.0449842447984969</v>
      </c>
      <c r="H48" s="40">
        <v>-1.0421614753238964</v>
      </c>
      <c r="I48" s="40">
        <v>-1.0423112872724514</v>
      </c>
      <c r="J48" s="40">
        <v>-1.0434203501117389</v>
      </c>
      <c r="K48" s="40">
        <v>-1.0406579680082073</v>
      </c>
      <c r="L48" s="40">
        <v>-1.0114782415235686</v>
      </c>
      <c r="M48" s="40">
        <v>-1.0561205691748738</v>
      </c>
      <c r="N48" s="40">
        <v>-1.0607208150223779</v>
      </c>
      <c r="O48" s="40">
        <v>-1.0424953446650314</v>
      </c>
      <c r="P48" s="40">
        <v>-1.0162614921580908</v>
      </c>
      <c r="Q48" s="40">
        <v>-0.98</v>
      </c>
    </row>
    <row r="49" spans="1:17" x14ac:dyDescent="0.2">
      <c r="A49" s="15" t="s">
        <v>127</v>
      </c>
      <c r="B49" s="15">
        <v>-1.0776305797444676</v>
      </c>
      <c r="C49" s="40">
        <v>-1.0819110435509143</v>
      </c>
      <c r="D49" s="40">
        <v>-1.068815435772005</v>
      </c>
      <c r="E49" s="40">
        <v>-1.0694434867487517</v>
      </c>
      <c r="F49" s="40">
        <v>-1.0668789092076518</v>
      </c>
      <c r="G49" s="40">
        <v>-1.0693301515832698</v>
      </c>
      <c r="H49" s="40">
        <v>-1.0634626444157398</v>
      </c>
      <c r="I49" s="40">
        <v>-1.0679694220888774</v>
      </c>
      <c r="J49" s="40">
        <v>-1.0669563281494838</v>
      </c>
      <c r="K49" s="40">
        <v>-1.0605733514178537</v>
      </c>
      <c r="L49" s="40">
        <v>-1.0266822072162163</v>
      </c>
      <c r="M49" s="40">
        <v>-1.061225035427547</v>
      </c>
      <c r="N49" s="40">
        <v>-1.0674680017275464</v>
      </c>
      <c r="O49" s="40">
        <v>-1.0554782594617116</v>
      </c>
      <c r="P49" s="40">
        <v>-1.0392226543643392</v>
      </c>
      <c r="Q49" s="40">
        <v>-1.0345</v>
      </c>
    </row>
    <row r="50" spans="1:17" x14ac:dyDescent="0.2">
      <c r="A50" s="15" t="s">
        <v>128</v>
      </c>
      <c r="B50" s="15">
        <v>-1.0584952579310758</v>
      </c>
      <c r="C50" s="40">
        <v>-1.0623717478545651</v>
      </c>
      <c r="D50" s="40">
        <v>-1.0788173200288904</v>
      </c>
      <c r="E50" s="40">
        <v>-1.0801292487360445</v>
      </c>
      <c r="F50" s="40">
        <v>-1.0651545057996201</v>
      </c>
      <c r="G50" s="40">
        <v>-1.0671933197355989</v>
      </c>
      <c r="H50" s="40">
        <v>-1.0618510101799123</v>
      </c>
      <c r="I50" s="40">
        <v>-1.0664740183056391</v>
      </c>
      <c r="J50" s="40">
        <v>-1.0658126497824583</v>
      </c>
      <c r="K50" s="40">
        <v>-1.0599404976420677</v>
      </c>
      <c r="L50" s="40">
        <v>-1.0383123980884377</v>
      </c>
      <c r="M50" s="40">
        <v>-1.0539387787779582</v>
      </c>
      <c r="N50" s="40">
        <v>-1.0786808062587983</v>
      </c>
      <c r="O50" s="40">
        <v>-1.0563559498558548</v>
      </c>
      <c r="P50" s="40">
        <v>-1.0327228435783189</v>
      </c>
      <c r="Q50" s="40">
        <v>-1.0455000000000001</v>
      </c>
    </row>
    <row r="51" spans="1:17" x14ac:dyDescent="0.2">
      <c r="A51" s="15" t="s">
        <v>129</v>
      </c>
      <c r="B51" s="15">
        <v>-1.1618751562311922</v>
      </c>
      <c r="C51" s="40">
        <v>-1.1677753578059176</v>
      </c>
      <c r="D51" s="40">
        <v>-1.1839045547928553</v>
      </c>
      <c r="E51" s="40">
        <v>-1.185889291660926</v>
      </c>
      <c r="F51" s="40">
        <v>-1.1637407700865481</v>
      </c>
      <c r="G51" s="40">
        <v>-1.1674415483238039</v>
      </c>
      <c r="H51" s="40">
        <v>-1.159448344181798</v>
      </c>
      <c r="I51" s="40">
        <v>-1.1648475580618145</v>
      </c>
      <c r="J51" s="40">
        <v>-1.1641278620640865</v>
      </c>
      <c r="K51" s="40">
        <v>-1.1553508411609839</v>
      </c>
      <c r="L51" s="40">
        <v>-1.1390943223840639</v>
      </c>
      <c r="M51" s="40">
        <v>-1.1552230268453583</v>
      </c>
      <c r="N51" s="40">
        <v>-1.1680028063845977</v>
      </c>
      <c r="O51" s="40">
        <v>-1.1514936141333836</v>
      </c>
      <c r="P51" s="40">
        <v>-1.1185360591891067</v>
      </c>
      <c r="Q51" s="40">
        <v>-1.131</v>
      </c>
    </row>
    <row r="52" spans="1:17" x14ac:dyDescent="0.2">
      <c r="A52" s="15" t="s">
        <v>130</v>
      </c>
      <c r="B52" s="15">
        <v>-1.2234821120748607</v>
      </c>
      <c r="C52" s="40">
        <v>-1.2283162691934386</v>
      </c>
      <c r="D52" s="40">
        <v>-1.197631557814633</v>
      </c>
      <c r="E52" s="40">
        <v>-1.1931239229845554</v>
      </c>
      <c r="F52" s="40">
        <v>-1.1911608517784766</v>
      </c>
      <c r="G52" s="40">
        <v>-1.1938750671171867</v>
      </c>
      <c r="H52" s="40">
        <v>-1.18798946441993</v>
      </c>
      <c r="I52" s="40">
        <v>-1.1885771392311963</v>
      </c>
      <c r="J52" s="40">
        <v>-1.1912257426225401</v>
      </c>
      <c r="K52" s="40">
        <v>-1.18533926371969</v>
      </c>
      <c r="L52" s="40">
        <v>-1.1279289063791968</v>
      </c>
      <c r="M52" s="40">
        <v>-1.2069685632905607</v>
      </c>
      <c r="N52" s="40">
        <v>-1.2032131637569279</v>
      </c>
      <c r="O52" s="40">
        <v>-1.1935254097536916</v>
      </c>
      <c r="P52" s="40">
        <v>-1.1532598298655738</v>
      </c>
      <c r="Q52" s="40">
        <v>-1.0920000000000001</v>
      </c>
    </row>
    <row r="53" spans="1:17" x14ac:dyDescent="0.2">
      <c r="A53" s="15" t="s">
        <v>131</v>
      </c>
      <c r="B53" s="15">
        <v>-1.2501115551220461</v>
      </c>
      <c r="C53" s="40">
        <v>-1.2584148513562217</v>
      </c>
      <c r="D53" s="40">
        <v>-1.2945372017219627</v>
      </c>
      <c r="E53" s="40">
        <v>-1.2990049474675196</v>
      </c>
      <c r="F53" s="40">
        <v>-1.2582517276252316</v>
      </c>
      <c r="G53" s="40">
        <v>-1.2641069407157874</v>
      </c>
      <c r="H53" s="40">
        <v>-1.2539553587991765</v>
      </c>
      <c r="I53" s="40">
        <v>-1.2565271010873178</v>
      </c>
      <c r="J53" s="40">
        <v>-1.256910342661385</v>
      </c>
      <c r="K53" s="40">
        <v>-1.2456816848195369</v>
      </c>
      <c r="L53" s="40">
        <v>-1.1170840887604134</v>
      </c>
      <c r="M53" s="40">
        <v>-1.1080834098168912</v>
      </c>
      <c r="N53" s="40">
        <v>-1.2945786527295842</v>
      </c>
      <c r="O53" s="40">
        <v>-1.2786303022034953</v>
      </c>
      <c r="P53" s="40">
        <v>-1.1991907048854435</v>
      </c>
      <c r="Q53" s="40">
        <v>-1.2130000000000001</v>
      </c>
    </row>
    <row r="54" spans="1:17" x14ac:dyDescent="0.2">
      <c r="A54" s="15" t="s">
        <v>106</v>
      </c>
      <c r="B54" s="15">
        <v>0.23302381545556994</v>
      </c>
      <c r="C54" s="40">
        <v>0.20374646834315957</v>
      </c>
      <c r="D54" s="40">
        <v>0.29719110116377312</v>
      </c>
      <c r="E54" s="40">
        <v>0.25105202548823513</v>
      </c>
      <c r="F54" s="40">
        <v>0.29144285034489492</v>
      </c>
      <c r="G54" s="40">
        <v>0.26019846460867235</v>
      </c>
      <c r="H54" s="40">
        <v>0.26472015953397721</v>
      </c>
      <c r="I54" s="40">
        <v>0.26266167452572997</v>
      </c>
      <c r="J54" s="40">
        <v>0.22382885855226586</v>
      </c>
      <c r="K54" s="40">
        <v>0.22933938851160995</v>
      </c>
      <c r="L54" s="40">
        <v>0.20237869113300588</v>
      </c>
      <c r="M54" s="40">
        <v>0.20147120706345767</v>
      </c>
      <c r="N54" s="40">
        <v>0.19596740916906441</v>
      </c>
      <c r="O54" s="40">
        <v>0.24645858518878327</v>
      </c>
      <c r="P54" s="40">
        <v>0.20522309791703419</v>
      </c>
      <c r="Q54" s="40">
        <v>0.13700000000000001</v>
      </c>
    </row>
    <row r="55" spans="1:17" x14ac:dyDescent="0.2">
      <c r="A55" s="15" t="s">
        <v>132</v>
      </c>
      <c r="B55" s="15">
        <v>-0.29709628174928682</v>
      </c>
      <c r="C55" s="40">
        <v>-0.34836150294036994</v>
      </c>
      <c r="D55" s="40">
        <v>-0.27180849577322341</v>
      </c>
      <c r="E55" s="40">
        <v>-0.31699861460214329</v>
      </c>
      <c r="F55" s="40">
        <v>-0.26680314133695759</v>
      </c>
      <c r="G55" s="40">
        <v>-0.31935429897658718</v>
      </c>
      <c r="H55" s="40">
        <v>-0.32099110912909046</v>
      </c>
      <c r="I55" s="40">
        <v>-0.28091679279111492</v>
      </c>
      <c r="J55" s="40">
        <v>-0.34108881113183553</v>
      </c>
      <c r="K55" s="40">
        <v>-0.3422152021424969</v>
      </c>
      <c r="L55" s="40">
        <v>-0.69793026019793958</v>
      </c>
      <c r="M55" s="40">
        <v>-0.36053143587673553</v>
      </c>
      <c r="N55" s="40">
        <v>-0.42573554378817313</v>
      </c>
      <c r="O55" s="40">
        <v>-0.33251136080632371</v>
      </c>
      <c r="P55" s="40">
        <v>-0.26594709953758455</v>
      </c>
      <c r="Q55" s="40">
        <v>-0.377</v>
      </c>
    </row>
    <row r="56" spans="1:17" x14ac:dyDescent="0.2">
      <c r="A56" s="15" t="s">
        <v>133</v>
      </c>
      <c r="B56" s="15">
        <v>-0.56267883131918595</v>
      </c>
      <c r="C56" s="40">
        <v>-0.59793699899979913</v>
      </c>
      <c r="D56" s="40">
        <v>-0.51947941408040332</v>
      </c>
      <c r="E56" s="40">
        <v>-0.57303736079939949</v>
      </c>
      <c r="F56" s="40">
        <v>-0.53132102334278297</v>
      </c>
      <c r="G56" s="40">
        <v>-0.5713127560340272</v>
      </c>
      <c r="H56" s="40">
        <v>-0.56819796006360557</v>
      </c>
      <c r="I56" s="40">
        <v>-0.54023634036208978</v>
      </c>
      <c r="J56" s="40">
        <v>-0.5861181873844199</v>
      </c>
      <c r="K56" s="40">
        <v>-0.5845907259418377</v>
      </c>
      <c r="L56" s="40">
        <v>-0.60736177731760232</v>
      </c>
      <c r="M56" s="40">
        <v>-0.59183751256646389</v>
      </c>
      <c r="N56" s="40">
        <v>-0.6553141040975623</v>
      </c>
      <c r="O56" s="40">
        <v>-0.56981600800979315</v>
      </c>
      <c r="P56" s="40">
        <v>-0.59349059514325697</v>
      </c>
      <c r="Q56" s="40">
        <v>-0.5605</v>
      </c>
    </row>
    <row r="57" spans="1:17" x14ac:dyDescent="0.2">
      <c r="A57" s="15" t="s">
        <v>114</v>
      </c>
      <c r="B57" s="15">
        <v>-0.33103526890409896</v>
      </c>
      <c r="C57" s="40">
        <v>-0.38936331183732698</v>
      </c>
      <c r="D57" s="40">
        <v>-0.2480859569012166</v>
      </c>
      <c r="E57" s="40">
        <v>-0.33680076625195987</v>
      </c>
      <c r="F57" s="40">
        <v>-0.26280172151878833</v>
      </c>
      <c r="G57" s="40">
        <v>-0.3322401646051123</v>
      </c>
      <c r="H57" s="40">
        <v>-0.32591330577688327</v>
      </c>
      <c r="I57" s="40">
        <v>-0.28253938774764542</v>
      </c>
      <c r="J57" s="40">
        <v>-0.36106597241787775</v>
      </c>
      <c r="K57" s="40">
        <v>-0.35449553959773805</v>
      </c>
      <c r="L57" s="40">
        <v>-0.40359543595546876</v>
      </c>
      <c r="M57" s="40">
        <v>-0.36345281102420746</v>
      </c>
      <c r="N57" s="40">
        <v>-0.44268803844280136</v>
      </c>
      <c r="O57" s="40">
        <v>-0.33989187203728655</v>
      </c>
      <c r="P57" s="40">
        <v>-0.35635229403479274</v>
      </c>
      <c r="Q57" s="40">
        <v>-0.35649999999999998</v>
      </c>
    </row>
    <row r="58" spans="1:17" x14ac:dyDescent="0.2">
      <c r="A58" s="15" t="s">
        <v>134</v>
      </c>
      <c r="B58" s="15">
        <v>-0.72027733192520049</v>
      </c>
      <c r="C58" s="40">
        <v>-0.73847269295169138</v>
      </c>
      <c r="D58" s="40">
        <v>-0.65894282130367188</v>
      </c>
      <c r="E58" s="40">
        <v>-0.68642521420491409</v>
      </c>
      <c r="F58" s="40">
        <v>-0.70581331017281723</v>
      </c>
      <c r="G58" s="40">
        <v>-0.72617443956699024</v>
      </c>
      <c r="H58" s="40">
        <v>-0.72452918029784774</v>
      </c>
      <c r="I58" s="40">
        <v>-0.71000791953249731</v>
      </c>
      <c r="J58" s="40">
        <v>-0.73348204350851276</v>
      </c>
      <c r="K58" s="40">
        <v>-0.7326071069016109</v>
      </c>
      <c r="L58" s="40">
        <v>-0.74296507855402361</v>
      </c>
      <c r="M58" s="40">
        <v>-0.74018254918662674</v>
      </c>
      <c r="N58" s="40">
        <v>-0.84095511822509472</v>
      </c>
      <c r="O58" s="40">
        <v>-0.72896375816540715</v>
      </c>
      <c r="P58" s="40">
        <v>-0.73742137426194976</v>
      </c>
      <c r="Q58" s="40">
        <v>-0.72299999999999998</v>
      </c>
    </row>
    <row r="59" spans="1:17" x14ac:dyDescent="0.2">
      <c r="A59" s="15" t="s">
        <v>135</v>
      </c>
      <c r="B59" s="15">
        <v>-1.1171588654783986</v>
      </c>
      <c r="C59" s="40">
        <v>-1.1133193557421643</v>
      </c>
      <c r="D59" s="40">
        <v>-1.1110033101113199</v>
      </c>
      <c r="E59" s="40">
        <v>-1.1118960891800462</v>
      </c>
      <c r="F59" s="40">
        <v>-1.1397383627343243</v>
      </c>
      <c r="G59" s="40">
        <v>-1.1345849786816959</v>
      </c>
      <c r="H59" s="40">
        <v>-1.1265296701339467</v>
      </c>
      <c r="I59" s="40">
        <v>-1.135217729061111</v>
      </c>
      <c r="J59" s="40">
        <v>-1.1292838126560309</v>
      </c>
      <c r="K59" s="40">
        <v>-1.1218268729714715</v>
      </c>
      <c r="L59" s="40">
        <v>-1.0760631067646069</v>
      </c>
      <c r="M59" s="40">
        <v>-1.1193434858525304</v>
      </c>
      <c r="N59" s="40">
        <v>-1.0864417318089536</v>
      </c>
      <c r="O59" s="40">
        <v>-1.1018670371375556</v>
      </c>
      <c r="P59" s="40">
        <v>-1.0676480088612434</v>
      </c>
      <c r="Q59" s="40">
        <v>-1.07</v>
      </c>
    </row>
    <row r="60" spans="1:17" x14ac:dyDescent="0.2">
      <c r="A60" s="15" t="s">
        <v>136</v>
      </c>
      <c r="B60" s="15">
        <v>-1.4073866001506312</v>
      </c>
      <c r="C60" s="40">
        <v>-1.3999420225706394</v>
      </c>
      <c r="D60" s="40">
        <v>-1.4083505994152365</v>
      </c>
      <c r="E60" s="40">
        <v>-1.4079908221663056</v>
      </c>
      <c r="F60" s="40">
        <v>-1.4730433357954507</v>
      </c>
      <c r="G60" s="40">
        <v>-1.463644802794875</v>
      </c>
      <c r="H60" s="40">
        <v>-1.4500361118901099</v>
      </c>
      <c r="I60" s="40">
        <v>-1.4641325657911293</v>
      </c>
      <c r="J60" s="40">
        <v>-1.4530841911345536</v>
      </c>
      <c r="K60" s="40">
        <v>-1.4407018112255781</v>
      </c>
      <c r="L60" s="40">
        <v>-1.4791375704383594</v>
      </c>
      <c r="M60" s="40">
        <v>-1.4608860833352573</v>
      </c>
      <c r="N60" s="40">
        <v>-1.3854184488424122</v>
      </c>
      <c r="O60" s="40">
        <v>-1.4132932916287846</v>
      </c>
      <c r="P60" s="40">
        <v>-1.3124773712200022</v>
      </c>
      <c r="Q60" s="40">
        <v>-1.31</v>
      </c>
    </row>
    <row r="61" spans="1:17" x14ac:dyDescent="0.2">
      <c r="A61" s="15" t="s">
        <v>137</v>
      </c>
      <c r="B61" s="15">
        <v>-1.3329434284803416</v>
      </c>
      <c r="C61" s="40">
        <v>-1.3502662066840028</v>
      </c>
      <c r="D61" s="40">
        <v>-1.3475147199974709</v>
      </c>
      <c r="E61" s="40">
        <v>-1.3859831001513592</v>
      </c>
      <c r="F61" s="40">
        <v>-1.414775819013911</v>
      </c>
      <c r="G61" s="40">
        <v>-1.4270629511278412</v>
      </c>
      <c r="H61" s="40">
        <v>-1.4075534899311863</v>
      </c>
      <c r="I61" s="40">
        <v>-1.4069833800297893</v>
      </c>
      <c r="J61" s="40">
        <v>-1.4212677634978537</v>
      </c>
      <c r="K61" s="40">
        <v>-1.40322513147802</v>
      </c>
      <c r="L61" s="40">
        <v>-1.4081954159597574</v>
      </c>
      <c r="M61" s="40">
        <v>-1.4414265875789423</v>
      </c>
      <c r="N61" s="40">
        <v>-1.4221152493054965</v>
      </c>
      <c r="O61" s="40">
        <v>-1.3973061214202751</v>
      </c>
      <c r="P61" s="40">
        <v>-1.3457364545493564</v>
      </c>
      <c r="Q61" s="40">
        <v>-1.07</v>
      </c>
    </row>
    <row r="62" spans="1:17" x14ac:dyDescent="0.2">
      <c r="A62" s="15" t="s">
        <v>138</v>
      </c>
      <c r="B62" s="15">
        <v>-0.84870098775329161</v>
      </c>
      <c r="C62" s="40">
        <v>-0.8755773191529741</v>
      </c>
      <c r="D62" s="40">
        <v>-0.80186338921173395</v>
      </c>
      <c r="E62" s="40">
        <v>-0.84820944782274843</v>
      </c>
      <c r="F62" s="40">
        <v>-0.83139395130147253</v>
      </c>
      <c r="G62" s="40">
        <v>-0.86345753396254121</v>
      </c>
      <c r="H62" s="40">
        <v>-0.85301753377813716</v>
      </c>
      <c r="I62" s="40">
        <v>-0.83717905985639263</v>
      </c>
      <c r="J62" s="40">
        <v>-0.87335035250923854</v>
      </c>
      <c r="K62" s="40">
        <v>-0.86414101440129354</v>
      </c>
      <c r="L62" s="40">
        <v>-0.79574581813184952</v>
      </c>
      <c r="M62" s="40">
        <v>-0.8562545711720766</v>
      </c>
      <c r="N62" s="40">
        <v>-0.91748539305203725</v>
      </c>
      <c r="O62" s="40">
        <v>-0.84549358348778414</v>
      </c>
      <c r="P62" s="40">
        <v>-0.81863687803292695</v>
      </c>
      <c r="Q62" s="40">
        <v>-0.89</v>
      </c>
    </row>
    <row r="63" spans="1:17" x14ac:dyDescent="0.2">
      <c r="A63" s="15" t="s">
        <v>139</v>
      </c>
      <c r="B63" s="15">
        <v>-1.058658664658704</v>
      </c>
      <c r="C63" s="40">
        <v>-1.0612433404862784</v>
      </c>
      <c r="D63" s="40">
        <v>-1.0277017012619987</v>
      </c>
      <c r="E63" s="40">
        <v>-1.0326142188317053</v>
      </c>
      <c r="F63" s="40">
        <v>-1.0689633728627994</v>
      </c>
      <c r="G63" s="40">
        <v>-1.0678639863653361</v>
      </c>
      <c r="H63" s="40">
        <v>-1.0433573205152764</v>
      </c>
      <c r="I63" s="40">
        <v>-1.0596555678610562</v>
      </c>
      <c r="J63" s="40">
        <v>-1.0522937127084147</v>
      </c>
      <c r="K63" s="40">
        <v>-1.0271178795703566</v>
      </c>
      <c r="L63" s="40">
        <v>-0.66745467057118235</v>
      </c>
      <c r="M63" s="40">
        <v>-1.0642801596824261</v>
      </c>
      <c r="N63" s="40">
        <v>-1.0221416684592204</v>
      </c>
      <c r="O63" s="40">
        <v>-1.024206923635913</v>
      </c>
      <c r="P63" s="40">
        <v>-1.0027739150475812</v>
      </c>
      <c r="Q63" s="40">
        <v>-0.92149999999999999</v>
      </c>
    </row>
    <row r="64" spans="1:17" x14ac:dyDescent="0.2">
      <c r="A64" s="15" t="s">
        <v>140</v>
      </c>
      <c r="B64" s="15">
        <v>-0.91395435905196809</v>
      </c>
      <c r="C64" s="40">
        <v>-0.91215952185042504</v>
      </c>
      <c r="D64" s="40">
        <v>-0.89215308117942982</v>
      </c>
      <c r="E64" s="40">
        <v>-0.89472059482419208</v>
      </c>
      <c r="F64" s="40">
        <v>-0.9216586034169576</v>
      </c>
      <c r="G64" s="40">
        <v>-0.91630767331293406</v>
      </c>
      <c r="H64" s="40">
        <v>-0.90218156995717091</v>
      </c>
      <c r="I64" s="40">
        <v>-0.91660076921394751</v>
      </c>
      <c r="J64" s="40">
        <v>-0.90857212776532359</v>
      </c>
      <c r="K64" s="40">
        <v>-0.89466247688638401</v>
      </c>
      <c r="L64" s="40">
        <v>-0.54167811606880756</v>
      </c>
      <c r="M64" s="40">
        <v>-0.93275912857157461</v>
      </c>
      <c r="N64" s="40">
        <v>-0.87464458841062998</v>
      </c>
      <c r="O64" s="40">
        <v>-0.89156917513543021</v>
      </c>
      <c r="P64" s="40">
        <v>-0.87236337340804715</v>
      </c>
      <c r="Q64" s="40">
        <v>-0.82899999999999996</v>
      </c>
    </row>
    <row r="65" spans="1:17" x14ac:dyDescent="0.2">
      <c r="A65" s="15" t="s">
        <v>107</v>
      </c>
      <c r="B65" s="15">
        <v>-1.1606383062919563</v>
      </c>
      <c r="C65" s="40">
        <v>-1.1503991093581032</v>
      </c>
      <c r="D65" s="40">
        <v>-1.1527863969511802</v>
      </c>
      <c r="E65" s="40">
        <v>-1.1526970676169634</v>
      </c>
      <c r="F65" s="40">
        <v>-1.2369814297810087</v>
      </c>
      <c r="G65" s="40">
        <v>-1.2237814910664517</v>
      </c>
      <c r="H65" s="40">
        <v>-1.2078303785907387</v>
      </c>
      <c r="I65" s="40">
        <v>-1.2218132415375806</v>
      </c>
      <c r="J65" s="40">
        <v>-1.2066972827091491</v>
      </c>
      <c r="K65" s="40">
        <v>-1.1910590895851203</v>
      </c>
      <c r="L65" s="40">
        <v>-0.96850792731368429</v>
      </c>
      <c r="M65" s="40">
        <v>-1.2290785264174424</v>
      </c>
      <c r="N65" s="40">
        <v>-1.1365614596435529</v>
      </c>
      <c r="O65" s="40">
        <v>-1.1814681208237103</v>
      </c>
      <c r="P65" s="40">
        <v>-1.0937424417309782</v>
      </c>
      <c r="Q65" s="40">
        <v>-1.0389999999999999</v>
      </c>
    </row>
    <row r="66" spans="1:17" x14ac:dyDescent="0.2">
      <c r="A66" s="15" t="s">
        <v>141</v>
      </c>
      <c r="B66" s="15">
        <v>-1.0407965525610914</v>
      </c>
      <c r="C66" s="40">
        <v>-1.0341023735170922</v>
      </c>
      <c r="D66" s="40">
        <v>-1.0274644212314685</v>
      </c>
      <c r="E66" s="40">
        <v>-1.0310412709315346</v>
      </c>
      <c r="F66" s="40">
        <v>-1.0744226258058078</v>
      </c>
      <c r="G66" s="40">
        <v>-1.0656405299871112</v>
      </c>
      <c r="H66" s="40">
        <v>-1.0551608774597758</v>
      </c>
      <c r="I66" s="40">
        <v>-1.0694345886484582</v>
      </c>
      <c r="J66" s="40">
        <v>-1.0589791977348968</v>
      </c>
      <c r="K66" s="40">
        <v>-1.0485581475117236</v>
      </c>
      <c r="L66" s="40">
        <v>-0.7495657649287728</v>
      </c>
      <c r="M66" s="40">
        <v>-1.0581214314778293</v>
      </c>
      <c r="N66" s="40">
        <v>-0.99771710461497287</v>
      </c>
      <c r="O66" s="40">
        <v>-1.0439136778176081</v>
      </c>
      <c r="P66" s="40">
        <v>-1.0052993762267635</v>
      </c>
      <c r="Q66" s="40">
        <v>-0.96199999999999997</v>
      </c>
    </row>
    <row r="67" spans="1:17" x14ac:dyDescent="0.2">
      <c r="A67" s="15" t="s">
        <v>142</v>
      </c>
      <c r="B67" s="15">
        <v>-0.965565640261695</v>
      </c>
      <c r="C67" s="40">
        <v>-0.9641643794964363</v>
      </c>
      <c r="D67" s="40">
        <v>-0.97300896611852661</v>
      </c>
      <c r="E67" s="40">
        <v>-0.98031162847729769</v>
      </c>
      <c r="F67" s="40">
        <v>-1.0567530419899573</v>
      </c>
      <c r="G67" s="40">
        <v>-1.0521380176678106</v>
      </c>
      <c r="H67" s="40">
        <v>-1.0381847769677708</v>
      </c>
      <c r="I67" s="40">
        <v>-1.0502516987238821</v>
      </c>
      <c r="J67" s="40">
        <v>-1.0439215201259624</v>
      </c>
      <c r="K67" s="40">
        <v>-1.0299159493307068</v>
      </c>
      <c r="L67" s="40">
        <v>-0.79256521158215598</v>
      </c>
      <c r="M67" s="40">
        <v>-1.0466722476149775</v>
      </c>
      <c r="N67" s="40">
        <v>-1.049052830346406</v>
      </c>
      <c r="O67" s="40">
        <v>-1.0109460669257881</v>
      </c>
      <c r="P67" s="40">
        <v>-0.93853254670855257</v>
      </c>
      <c r="Q67" s="40">
        <v>-0.879</v>
      </c>
    </row>
    <row r="68" spans="1:17" x14ac:dyDescent="0.2">
      <c r="A68" s="15" t="s">
        <v>143</v>
      </c>
      <c r="B68" s="15">
        <v>-0.23788891573186621</v>
      </c>
      <c r="C68" s="40">
        <v>-0.28976833733656715</v>
      </c>
      <c r="D68" s="40">
        <v>-0.14893533248137825</v>
      </c>
      <c r="E68" s="40">
        <v>-0.23647844670194829</v>
      </c>
      <c r="F68" s="40">
        <v>-0.18080656098688053</v>
      </c>
      <c r="G68" s="40">
        <v>-0.24354384531628614</v>
      </c>
      <c r="H68" s="40">
        <v>-0.23301313073083429</v>
      </c>
      <c r="I68" s="40">
        <v>-0.19692940142179527</v>
      </c>
      <c r="J68" s="40">
        <v>-0.26796452884070021</v>
      </c>
      <c r="K68" s="40">
        <v>-0.26135652533741283</v>
      </c>
      <c r="L68" s="40">
        <v>-5.3844526088721256E-2</v>
      </c>
      <c r="M68" s="40">
        <v>-0.2754741768418203</v>
      </c>
      <c r="N68" s="40">
        <v>-0.23168624670823412</v>
      </c>
      <c r="O68" s="40">
        <v>-0.25855462149990505</v>
      </c>
      <c r="P68" s="40">
        <v>-0.27245946826658551</v>
      </c>
      <c r="Q68" s="40">
        <v>-0.28999999999999998</v>
      </c>
    </row>
    <row r="69" spans="1:17" x14ac:dyDescent="0.2">
      <c r="A69" s="15" t="s">
        <v>198</v>
      </c>
      <c r="B69" s="15"/>
      <c r="C69" s="40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0"/>
    </row>
    <row r="70" spans="1:17" x14ac:dyDescent="0.2">
      <c r="A70" s="15" t="s">
        <v>112</v>
      </c>
      <c r="B70" s="15">
        <v>0.69</v>
      </c>
      <c r="C70" s="40">
        <v>0.69</v>
      </c>
      <c r="D70" s="40">
        <v>0.69</v>
      </c>
      <c r="E70" s="40">
        <v>0.69</v>
      </c>
      <c r="F70" s="40">
        <v>0.69</v>
      </c>
      <c r="G70" s="40">
        <v>0.69</v>
      </c>
      <c r="H70" s="40">
        <v>0.69</v>
      </c>
      <c r="I70" s="40">
        <v>0.69</v>
      </c>
      <c r="J70" s="40">
        <v>0.69</v>
      </c>
      <c r="K70" s="40">
        <v>0.69</v>
      </c>
      <c r="L70" s="40">
        <v>0.69</v>
      </c>
      <c r="M70" s="40">
        <v>0.69</v>
      </c>
      <c r="N70" s="40">
        <v>0.69</v>
      </c>
      <c r="O70" s="40">
        <v>0.69</v>
      </c>
      <c r="P70" s="40">
        <v>0.69</v>
      </c>
      <c r="Q70" s="40">
        <v>0.64300000000000002</v>
      </c>
    </row>
    <row r="71" spans="1:17" x14ac:dyDescent="0.2">
      <c r="A71" s="15" t="s">
        <v>123</v>
      </c>
      <c r="B71" s="15">
        <v>0.65477431448296963</v>
      </c>
      <c r="C71" s="40">
        <v>0.64868834255676733</v>
      </c>
      <c r="D71" s="40">
        <v>0.65964897157245028</v>
      </c>
      <c r="E71" s="40">
        <v>0.65318363432551729</v>
      </c>
      <c r="F71" s="40">
        <v>0.66478704517404852</v>
      </c>
      <c r="G71" s="40">
        <v>0.65883709857735395</v>
      </c>
      <c r="H71" s="40">
        <v>0.66078720359446708</v>
      </c>
      <c r="I71" s="40">
        <v>0.66466450033324032</v>
      </c>
      <c r="J71" s="40">
        <v>0.6582951959341492</v>
      </c>
      <c r="K71" s="40">
        <v>0.66003479142319099</v>
      </c>
      <c r="L71" s="40">
        <v>0.6612133628691379</v>
      </c>
      <c r="M71" s="40">
        <v>0.65953649764587352</v>
      </c>
      <c r="N71" s="40">
        <v>0.66126442764108839</v>
      </c>
      <c r="O71" s="40">
        <v>0.65993227819779277</v>
      </c>
      <c r="P71" s="40">
        <v>0.66346082404460249</v>
      </c>
      <c r="Q71" s="40">
        <v>0.63349999999999995</v>
      </c>
    </row>
    <row r="72" spans="1:17" x14ac:dyDescent="0.2">
      <c r="A72" s="15" t="s">
        <v>124</v>
      </c>
      <c r="B72" s="15">
        <v>0.62619158541335596</v>
      </c>
      <c r="C72" s="40">
        <v>0.6221066036813645</v>
      </c>
      <c r="D72" s="40">
        <v>0.62607874685238896</v>
      </c>
      <c r="E72" s="40">
        <v>0.62216942782691964</v>
      </c>
      <c r="F72" s="40">
        <v>0.62899608384611438</v>
      </c>
      <c r="G72" s="40">
        <v>0.62508684917532298</v>
      </c>
      <c r="H72" s="40">
        <v>0.62573816991566433</v>
      </c>
      <c r="I72" s="40">
        <v>0.62836305319549579</v>
      </c>
      <c r="J72" s="40">
        <v>0.62453010275377219</v>
      </c>
      <c r="K72" s="40">
        <v>0.62513992486331071</v>
      </c>
      <c r="L72" s="40">
        <v>0.62756818455471164</v>
      </c>
      <c r="M72" s="40">
        <v>0.62778795681824073</v>
      </c>
      <c r="N72" s="40">
        <v>0.62744274715223058</v>
      </c>
      <c r="O72" s="40">
        <v>0.62682364734054596</v>
      </c>
      <c r="P72" s="40">
        <v>0.62998530967376754</v>
      </c>
      <c r="Q72" s="40">
        <v>0.59899999999999998</v>
      </c>
    </row>
    <row r="73" spans="1:17" x14ac:dyDescent="0.2">
      <c r="A73" s="15" t="s">
        <v>125</v>
      </c>
      <c r="B73" s="15">
        <v>0.61246600282022845</v>
      </c>
      <c r="C73" s="40">
        <v>0.60213591597475924</v>
      </c>
      <c r="D73" s="40">
        <v>0.61125429205920989</v>
      </c>
      <c r="E73" s="40">
        <v>0.60100910726957801</v>
      </c>
      <c r="F73" s="40">
        <v>0.6130917381156249</v>
      </c>
      <c r="G73" s="40">
        <v>0.60382753518087595</v>
      </c>
      <c r="H73" s="40">
        <v>0.60660981692660032</v>
      </c>
      <c r="I73" s="40">
        <v>0.61411185529755263</v>
      </c>
      <c r="J73" s="40">
        <v>0.60493949602729158</v>
      </c>
      <c r="K73" s="40">
        <v>0.60700733764381321</v>
      </c>
      <c r="L73" s="40">
        <v>0.60846718438769587</v>
      </c>
      <c r="M73" s="40">
        <v>0.60699369932584313</v>
      </c>
      <c r="N73" s="40">
        <v>0.60576507400755331</v>
      </c>
      <c r="O73" s="40">
        <v>0.60642485066806584</v>
      </c>
      <c r="P73" s="40">
        <v>0.6142804158902142</v>
      </c>
      <c r="Q73" s="40">
        <v>0.57899999999999996</v>
      </c>
    </row>
    <row r="74" spans="1:17" x14ac:dyDescent="0.2">
      <c r="A74" s="15" t="s">
        <v>126</v>
      </c>
      <c r="B74" s="15">
        <v>0.56242885864086967</v>
      </c>
      <c r="C74" s="40">
        <v>0.5574549047039512</v>
      </c>
      <c r="D74" s="40">
        <v>0.56404646304189709</v>
      </c>
      <c r="E74" s="40">
        <v>0.56163220629821486</v>
      </c>
      <c r="F74" s="40">
        <v>0.56987161442245737</v>
      </c>
      <c r="G74" s="40">
        <v>0.56528589533822471</v>
      </c>
      <c r="H74" s="40">
        <v>0.56579888458894212</v>
      </c>
      <c r="I74" s="40">
        <v>0.56919116395786551</v>
      </c>
      <c r="J74" s="40">
        <v>0.56463980733501584</v>
      </c>
      <c r="K74" s="40">
        <v>0.56492047446040106</v>
      </c>
      <c r="L74" s="40">
        <v>0.56801590413005476</v>
      </c>
      <c r="M74" s="40">
        <v>0.56853835475973691</v>
      </c>
      <c r="N74" s="40">
        <v>0.56799848072005288</v>
      </c>
      <c r="O74" s="40">
        <v>0.56761996575350215</v>
      </c>
      <c r="P74" s="40">
        <v>0.57290994508559079</v>
      </c>
      <c r="Q74" s="40">
        <v>0.56999999999999995</v>
      </c>
    </row>
    <row r="75" spans="1:17" x14ac:dyDescent="0.2">
      <c r="A75" s="15" t="s">
        <v>127</v>
      </c>
      <c r="B75" s="15">
        <v>0.57738657953395167</v>
      </c>
      <c r="C75" s="40">
        <v>0.57498184811408715</v>
      </c>
      <c r="D75" s="40">
        <v>0.57701270137710425</v>
      </c>
      <c r="E75" s="40">
        <v>0.57447601135987503</v>
      </c>
      <c r="F75" s="40">
        <v>0.58279575820020524</v>
      </c>
      <c r="G75" s="40">
        <v>0.58034434711368421</v>
      </c>
      <c r="H75" s="40">
        <v>0.57973517263285546</v>
      </c>
      <c r="I75" s="40">
        <v>0.58275266770518774</v>
      </c>
      <c r="J75" s="40">
        <v>0.581127884957787</v>
      </c>
      <c r="K75" s="40">
        <v>0.57948048279706876</v>
      </c>
      <c r="L75" s="40">
        <v>0.57907627625758051</v>
      </c>
      <c r="M75" s="40">
        <v>0.57973903936109172</v>
      </c>
      <c r="N75" s="40">
        <v>0.57849723015703569</v>
      </c>
      <c r="O75" s="40">
        <v>0.57821914674681762</v>
      </c>
      <c r="P75" s="40">
        <v>0.58841613373693979</v>
      </c>
      <c r="Q75" s="40">
        <v>0.54649999999999999</v>
      </c>
    </row>
    <row r="76" spans="1:17" x14ac:dyDescent="0.2">
      <c r="A76" s="15" t="s">
        <v>128</v>
      </c>
      <c r="B76" s="15">
        <v>0.5766858144573086</v>
      </c>
      <c r="C76" s="40">
        <v>0.57095644829982417</v>
      </c>
      <c r="D76" s="40">
        <v>0.57020581030454176</v>
      </c>
      <c r="E76" s="40">
        <v>0.56505049152894449</v>
      </c>
      <c r="F76" s="40">
        <v>0.58306404145234891</v>
      </c>
      <c r="G76" s="40">
        <v>0.57860346452883649</v>
      </c>
      <c r="H76" s="40">
        <v>0.57790829409828204</v>
      </c>
      <c r="I76" s="40">
        <v>0.58380077445624101</v>
      </c>
      <c r="J76" s="40">
        <v>0.57965158896582603</v>
      </c>
      <c r="K76" s="40">
        <v>0.57777182522129644</v>
      </c>
      <c r="L76" s="40">
        <v>0.56701940773595227</v>
      </c>
      <c r="M76" s="40">
        <v>0.56753779435428742</v>
      </c>
      <c r="N76" s="40">
        <v>0.56981940949770271</v>
      </c>
      <c r="O76" s="40">
        <v>0.56963256293750009</v>
      </c>
      <c r="P76" s="40">
        <v>0.59047928088116963</v>
      </c>
      <c r="Q76" s="40">
        <v>0.55300000000000005</v>
      </c>
    </row>
    <row r="77" spans="1:17" x14ac:dyDescent="0.2">
      <c r="A77" s="15" t="s">
        <v>129</v>
      </c>
      <c r="B77" s="15">
        <v>0.51304967204518759</v>
      </c>
      <c r="C77" s="40">
        <v>0.50490402325974815</v>
      </c>
      <c r="D77" s="40">
        <v>0.50168241331950147</v>
      </c>
      <c r="E77" s="40">
        <v>0.49410940781283896</v>
      </c>
      <c r="F77" s="40">
        <v>0.5200962581517703</v>
      </c>
      <c r="G77" s="40">
        <v>0.51329482294931816</v>
      </c>
      <c r="H77" s="40">
        <v>0.51335671238601455</v>
      </c>
      <c r="I77" s="40">
        <v>0.5208115404704512</v>
      </c>
      <c r="J77" s="40">
        <v>0.51420126346353934</v>
      </c>
      <c r="K77" s="40">
        <v>0.51297793210876241</v>
      </c>
      <c r="L77" s="40">
        <v>0.49695837635039064</v>
      </c>
      <c r="M77" s="40">
        <v>0.49827542350816811</v>
      </c>
      <c r="N77" s="40">
        <v>0.50275483066945492</v>
      </c>
      <c r="O77" s="40">
        <v>0.50309223340671805</v>
      </c>
      <c r="P77" s="40">
        <v>0.53008843572201014</v>
      </c>
      <c r="Q77" s="40">
        <v>0.48649999999999999</v>
      </c>
    </row>
    <row r="78" spans="1:17" x14ac:dyDescent="0.2">
      <c r="A78" s="15" t="s">
        <v>130</v>
      </c>
      <c r="B78" s="15">
        <v>0.49007007035610828</v>
      </c>
      <c r="C78" s="40">
        <v>0.47824437155956501</v>
      </c>
      <c r="D78" s="40">
        <v>0.49055668775178018</v>
      </c>
      <c r="E78" s="40">
        <v>0.48564602735698914</v>
      </c>
      <c r="F78" s="40">
        <v>0.50542218674510631</v>
      </c>
      <c r="G78" s="40">
        <v>0.49345532648017754</v>
      </c>
      <c r="H78" s="40">
        <v>0.49442915720127223</v>
      </c>
      <c r="I78" s="40">
        <v>0.50423352669821719</v>
      </c>
      <c r="J78" s="40">
        <v>0.49149844176410395</v>
      </c>
      <c r="K78" s="40">
        <v>0.49209188673898696</v>
      </c>
      <c r="L78" s="40">
        <v>0.49340987404643899</v>
      </c>
      <c r="M78" s="40">
        <v>0.49527974919393225</v>
      </c>
      <c r="N78" s="40">
        <v>0.49368520775370017</v>
      </c>
      <c r="O78" s="40">
        <v>0.49522590342757011</v>
      </c>
      <c r="P78" s="40">
        <v>0.5034542499312491</v>
      </c>
      <c r="Q78" s="40">
        <v>0.47299999999999998</v>
      </c>
    </row>
    <row r="79" spans="1:17" x14ac:dyDescent="0.2">
      <c r="A79" s="15" t="s">
        <v>131</v>
      </c>
      <c r="B79" s="15">
        <v>0.44614822918995634</v>
      </c>
      <c r="C79" s="40">
        <v>0.43748305635494367</v>
      </c>
      <c r="D79" s="40">
        <v>0.43031994727171119</v>
      </c>
      <c r="E79" s="40">
        <v>0.42161803914723039</v>
      </c>
      <c r="F79" s="40">
        <v>0.4593302546919813</v>
      </c>
      <c r="G79" s="40">
        <v>0.4527380990669827</v>
      </c>
      <c r="H79" s="40">
        <v>0.45168110781806048</v>
      </c>
      <c r="I79" s="40">
        <v>0.46254225767375212</v>
      </c>
      <c r="J79" s="40">
        <v>0.45625713830761461</v>
      </c>
      <c r="K79" s="40">
        <v>0.45272015183524195</v>
      </c>
      <c r="L79" s="40">
        <v>0.43970109767961452</v>
      </c>
      <c r="M79" s="40">
        <v>0.44470956237899495</v>
      </c>
      <c r="N79" s="40">
        <v>0.41957163869778169</v>
      </c>
      <c r="O79" s="40">
        <v>0.42048664261592483</v>
      </c>
      <c r="P79" s="40">
        <v>0.4767679734349568</v>
      </c>
      <c r="Q79" s="40">
        <v>0.41549999999999998</v>
      </c>
    </row>
    <row r="80" spans="1:17" x14ac:dyDescent="0.2">
      <c r="A80" s="15" t="s">
        <v>106</v>
      </c>
      <c r="B80" s="15">
        <v>0.88668885544345555</v>
      </c>
      <c r="C80" s="40">
        <v>0.86003311264768856</v>
      </c>
      <c r="D80" s="40">
        <v>0.89537649258794749</v>
      </c>
      <c r="E80" s="40">
        <v>0.86983759779540692</v>
      </c>
      <c r="F80" s="40">
        <v>0.90448966314707713</v>
      </c>
      <c r="G80" s="40">
        <v>0.87642183900558956</v>
      </c>
      <c r="H80" s="40">
        <v>0.87402004641095621</v>
      </c>
      <c r="I80" s="40">
        <v>0.89305626185107423</v>
      </c>
      <c r="J80" s="40">
        <v>0.86224751990219906</v>
      </c>
      <c r="K80" s="40">
        <v>0.86194343062708478</v>
      </c>
      <c r="L80" s="40">
        <v>0.87281367587778158</v>
      </c>
      <c r="M80" s="40">
        <v>0.86908511623846119</v>
      </c>
      <c r="N80" s="40">
        <v>0.8700095434351689</v>
      </c>
      <c r="O80" s="40">
        <v>0.86801725406123476</v>
      </c>
      <c r="P80" s="40">
        <v>0.85132901412987172</v>
      </c>
      <c r="Q80" s="40">
        <v>0.88649999999999995</v>
      </c>
    </row>
    <row r="81" spans="1:17" x14ac:dyDescent="0.2">
      <c r="A81" s="15" t="s">
        <v>132</v>
      </c>
      <c r="B81" s="15">
        <v>0.67249152763638476</v>
      </c>
      <c r="C81" s="40">
        <v>0.65223294683638722</v>
      </c>
      <c r="D81" s="40">
        <v>0.66818166063492113</v>
      </c>
      <c r="E81" s="40">
        <v>0.65790363857860479</v>
      </c>
      <c r="F81" s="40">
        <v>0.68697554154956864</v>
      </c>
      <c r="G81" s="40">
        <v>0.66535409380596411</v>
      </c>
      <c r="H81" s="40">
        <v>0.66597217046982626</v>
      </c>
      <c r="I81" s="40">
        <v>0.68203196769347807</v>
      </c>
      <c r="J81" s="40">
        <v>0.65847821249993244</v>
      </c>
      <c r="K81" s="40">
        <v>0.65938191555399905</v>
      </c>
      <c r="L81" s="40">
        <v>0.66484207463365896</v>
      </c>
      <c r="M81" s="40">
        <v>0.66324919444253672</v>
      </c>
      <c r="N81" s="40">
        <v>0.66020846090193208</v>
      </c>
      <c r="O81" s="40">
        <v>0.66076939106447297</v>
      </c>
      <c r="P81" s="40">
        <v>0.64987627699843697</v>
      </c>
      <c r="Q81" s="40">
        <v>0.70599999999999996</v>
      </c>
    </row>
    <row r="82" spans="1:17" x14ac:dyDescent="0.2">
      <c r="A82" s="15" t="s">
        <v>133</v>
      </c>
      <c r="B82" s="15">
        <v>0.71702426031571909</v>
      </c>
      <c r="C82" s="40">
        <v>0.7008802576446489</v>
      </c>
      <c r="D82" s="40">
        <v>0.72164254863900767</v>
      </c>
      <c r="E82" s="40">
        <v>0.70556694435516887</v>
      </c>
      <c r="F82" s="40">
        <v>0.7315987981418659</v>
      </c>
      <c r="G82" s="40">
        <v>0.7150135706467462</v>
      </c>
      <c r="H82" s="40">
        <v>0.71619081281916097</v>
      </c>
      <c r="I82" s="40">
        <v>0.72720115693349063</v>
      </c>
      <c r="J82" s="40">
        <v>0.7095343867770505</v>
      </c>
      <c r="K82" s="40">
        <v>0.71056787696237977</v>
      </c>
      <c r="L82" s="40">
        <v>0.71536327971074742</v>
      </c>
      <c r="M82" s="40">
        <v>0.71172192692466529</v>
      </c>
      <c r="N82" s="40">
        <v>0.70929548494351602</v>
      </c>
      <c r="O82" s="40">
        <v>0.71017293179176333</v>
      </c>
      <c r="P82" s="40">
        <v>0.70683460880596316</v>
      </c>
      <c r="Q82" s="40">
        <v>0.69899999999999995</v>
      </c>
    </row>
    <row r="83" spans="1:17" x14ac:dyDescent="0.2">
      <c r="A83" s="15" t="s">
        <v>114</v>
      </c>
      <c r="B83" s="15">
        <v>0.70132447299752831</v>
      </c>
      <c r="C83" s="40">
        <v>0.66571240300383705</v>
      </c>
      <c r="D83" s="40">
        <v>0.71206400184273244</v>
      </c>
      <c r="E83" s="40">
        <v>0.67259873481435184</v>
      </c>
      <c r="F83" s="40">
        <v>0.72935191417464162</v>
      </c>
      <c r="G83" s="40">
        <v>0.68912441032125438</v>
      </c>
      <c r="H83" s="40">
        <v>0.68706465319239696</v>
      </c>
      <c r="I83" s="40">
        <v>0.71841532091354798</v>
      </c>
      <c r="J83" s="40">
        <v>0.67651075999846855</v>
      </c>
      <c r="K83" s="40">
        <v>0.6771174596113716</v>
      </c>
      <c r="L83" s="40">
        <v>0.68661768542195523</v>
      </c>
      <c r="M83" s="40">
        <v>0.68404170360957872</v>
      </c>
      <c r="N83" s="40">
        <v>0.68195742226621237</v>
      </c>
      <c r="O83" s="40">
        <v>0.68197670421230017</v>
      </c>
      <c r="P83" s="40">
        <v>0.68311266393331804</v>
      </c>
      <c r="Q83" s="40">
        <v>0.69899999999999995</v>
      </c>
    </row>
    <row r="84" spans="1:17" x14ac:dyDescent="0.2">
      <c r="A84" s="15" t="s">
        <v>134</v>
      </c>
      <c r="B84" s="15">
        <v>0.70057306220385174</v>
      </c>
      <c r="C84" s="40">
        <v>0.69198995328043766</v>
      </c>
      <c r="D84" s="40">
        <v>0.7224496718990614</v>
      </c>
      <c r="E84" s="40">
        <v>0.71391712025758514</v>
      </c>
      <c r="F84" s="40">
        <v>0.70737508517212389</v>
      </c>
      <c r="G84" s="40">
        <v>0.69873086913860272</v>
      </c>
      <c r="H84" s="40">
        <v>0.6993103234108875</v>
      </c>
      <c r="I84" s="40">
        <v>0.70519042125600206</v>
      </c>
      <c r="J84" s="40">
        <v>0.69590268460812732</v>
      </c>
      <c r="K84" s="40">
        <v>0.69648215928946433</v>
      </c>
      <c r="L84" s="40">
        <v>0.70107299954511548</v>
      </c>
      <c r="M84" s="40">
        <v>0.69782686131458194</v>
      </c>
      <c r="N84" s="40">
        <v>0.69640105729698787</v>
      </c>
      <c r="O84" s="40">
        <v>0.69725770380875263</v>
      </c>
      <c r="P84" s="40">
        <v>0.69433913021168836</v>
      </c>
      <c r="Q84" s="40">
        <v>0.67600000000000005</v>
      </c>
    </row>
    <row r="85" spans="1:17" x14ac:dyDescent="0.2">
      <c r="A85" s="15" t="s">
        <v>135</v>
      </c>
      <c r="B85" s="15">
        <v>0.42822986039904221</v>
      </c>
      <c r="C85" s="40">
        <v>0.41908036952494188</v>
      </c>
      <c r="D85" s="40">
        <v>0.41819034152188861</v>
      </c>
      <c r="E85" s="40">
        <v>0.41021778125290398</v>
      </c>
      <c r="F85" s="40">
        <v>0.406763057335636</v>
      </c>
      <c r="G85" s="40">
        <v>0.39938173111927222</v>
      </c>
      <c r="H85" s="40">
        <v>0.4015395469794707</v>
      </c>
      <c r="I85" s="40">
        <v>0.40703641141599478</v>
      </c>
      <c r="J85" s="40">
        <v>0.39846921839614025</v>
      </c>
      <c r="K85" s="40">
        <v>0.40007892334981543</v>
      </c>
      <c r="L85" s="40">
        <v>0.41125287282599965</v>
      </c>
      <c r="M85" s="40">
        <v>0.41079527086574918</v>
      </c>
      <c r="N85" s="40">
        <v>0.41392083707806959</v>
      </c>
      <c r="O85" s="40">
        <v>0.41280927487751873</v>
      </c>
      <c r="P85" s="40">
        <v>0.43852602529581608</v>
      </c>
      <c r="Q85" s="40">
        <v>0.376</v>
      </c>
    </row>
    <row r="86" spans="1:17" x14ac:dyDescent="0.2">
      <c r="A86" s="15" t="s">
        <v>136</v>
      </c>
      <c r="B86" s="15">
        <v>9.6284732470519163E-2</v>
      </c>
      <c r="C86" s="40">
        <v>8.4736185096902172E-2</v>
      </c>
      <c r="D86" s="40">
        <v>5.5034186218585912E-2</v>
      </c>
      <c r="E86" s="40">
        <v>4.6205044744632051E-2</v>
      </c>
      <c r="F86" s="40">
        <v>2.3899298856080886E-2</v>
      </c>
      <c r="G86" s="40">
        <v>1.53327793163478E-2</v>
      </c>
      <c r="H86" s="40">
        <v>1.4477818546254628E-2</v>
      </c>
      <c r="I86" s="40">
        <v>2.7098127474864508E-2</v>
      </c>
      <c r="J86" s="40">
        <v>1.6111566064237248E-2</v>
      </c>
      <c r="K86" s="40">
        <v>1.2735609409441739E-2</v>
      </c>
      <c r="L86" s="40">
        <v>3.7258908179758965E-2</v>
      </c>
      <c r="M86" s="40">
        <v>4.1944012544977927E-2</v>
      </c>
      <c r="N86" s="40">
        <v>3.1492529180848994E-2</v>
      </c>
      <c r="O86" s="40">
        <v>3.6150167796361377E-2</v>
      </c>
      <c r="P86" s="40">
        <v>0.10647344223895994</v>
      </c>
      <c r="Q86" s="40">
        <v>8.8999999999999996E-2</v>
      </c>
    </row>
    <row r="87" spans="1:17" x14ac:dyDescent="0.2">
      <c r="A87" s="15" t="s">
        <v>137</v>
      </c>
      <c r="B87" s="15">
        <v>7.552283604470178E-2</v>
      </c>
      <c r="C87" s="40">
        <v>3.84407653947485E-2</v>
      </c>
      <c r="D87" s="40">
        <v>4.6122851577516055E-2</v>
      </c>
      <c r="E87" s="40">
        <v>1.6039163528547729E-2</v>
      </c>
      <c r="F87" s="40">
        <v>6.8494529601612619E-3</v>
      </c>
      <c r="G87" s="40">
        <v>-2.6078377697472899E-2</v>
      </c>
      <c r="H87" s="40">
        <v>-2.5856802685740643E-2</v>
      </c>
      <c r="I87" s="40">
        <v>4.3470845885340559E-3</v>
      </c>
      <c r="J87" s="40">
        <v>-2.8727406941078559E-2</v>
      </c>
      <c r="K87" s="40">
        <v>-3.0380156127759239E-2</v>
      </c>
      <c r="L87" s="40">
        <v>-3.3694879145457879E-2</v>
      </c>
      <c r="M87" s="40">
        <v>-3.0998677702590793E-2</v>
      </c>
      <c r="N87" s="40">
        <v>-3.7115554888661695E-2</v>
      </c>
      <c r="O87" s="40">
        <v>-2.9426442741793846E-2</v>
      </c>
      <c r="P87" s="40">
        <v>7.0956096582069694E-2</v>
      </c>
      <c r="Q87" s="40">
        <v>0.115</v>
      </c>
    </row>
    <row r="88" spans="1:17" x14ac:dyDescent="0.2">
      <c r="A88" s="15" t="s">
        <v>138</v>
      </c>
      <c r="B88" s="15">
        <v>0.43127283615723089</v>
      </c>
      <c r="C88" s="40">
        <v>0.40059770452973043</v>
      </c>
      <c r="D88" s="40">
        <v>0.42814839649683778</v>
      </c>
      <c r="E88" s="40">
        <v>0.39498388446076271</v>
      </c>
      <c r="F88" s="40">
        <v>0.42957243450082006</v>
      </c>
      <c r="G88" s="40">
        <v>0.39716145710366435</v>
      </c>
      <c r="H88" s="40">
        <v>0.39521131398769738</v>
      </c>
      <c r="I88" s="40">
        <v>0.42240362736816861</v>
      </c>
      <c r="J88" s="40">
        <v>0.38757331287401486</v>
      </c>
      <c r="K88" s="40">
        <v>0.38697615899707527</v>
      </c>
      <c r="L88" s="40">
        <v>0.40104291309628026</v>
      </c>
      <c r="M88" s="40">
        <v>0.40015543615422233</v>
      </c>
      <c r="N88" s="40">
        <v>0.39940009332241866</v>
      </c>
      <c r="O88" s="40">
        <v>0.39920549833828067</v>
      </c>
      <c r="P88" s="40">
        <v>0.42764541637326348</v>
      </c>
      <c r="Q88" s="40">
        <v>0.44700000000000001</v>
      </c>
    </row>
    <row r="89" spans="1:17" x14ac:dyDescent="0.2">
      <c r="A89" s="15" t="s">
        <v>139</v>
      </c>
      <c r="B89" s="15">
        <v>0.66374109628126154</v>
      </c>
      <c r="C89" s="40">
        <v>0.64619644102057583</v>
      </c>
      <c r="D89" s="40">
        <v>0.6616733294935444</v>
      </c>
      <c r="E89" s="40">
        <v>0.64817211515709472</v>
      </c>
      <c r="F89" s="40">
        <v>0.66053798051583401</v>
      </c>
      <c r="G89" s="40">
        <v>0.64321249342654552</v>
      </c>
      <c r="H89" s="40">
        <v>0.65028616432445441</v>
      </c>
      <c r="I89" s="40">
        <v>0.66119441154286873</v>
      </c>
      <c r="J89" s="40">
        <v>0.64340878503785293</v>
      </c>
      <c r="K89" s="40">
        <v>0.65026624019356527</v>
      </c>
      <c r="L89" s="40">
        <v>0.65543733881444455</v>
      </c>
      <c r="M89" s="40">
        <v>0.6538717243714447</v>
      </c>
      <c r="N89" s="40">
        <v>0.6500660410366943</v>
      </c>
      <c r="O89" s="40">
        <v>0.65261740612368557</v>
      </c>
      <c r="P89" s="40">
        <v>0.66966035396145207</v>
      </c>
      <c r="Q89" s="40">
        <v>0.57999999999999996</v>
      </c>
    </row>
    <row r="90" spans="1:17" x14ac:dyDescent="0.2">
      <c r="A90" s="15" t="s">
        <v>140</v>
      </c>
      <c r="B90" s="15">
        <v>0.72467555416859541</v>
      </c>
      <c r="C90" s="40">
        <v>0.71909773468104943</v>
      </c>
      <c r="D90" s="40">
        <v>0.72562787705619636</v>
      </c>
      <c r="E90" s="40">
        <v>0.72299200448268008</v>
      </c>
      <c r="F90" s="40">
        <v>0.72382076210863167</v>
      </c>
      <c r="G90" s="40">
        <v>0.71796332721341072</v>
      </c>
      <c r="H90" s="40">
        <v>0.72227855212478564</v>
      </c>
      <c r="I90" s="40">
        <v>0.72320050717436013</v>
      </c>
      <c r="J90" s="40">
        <v>0.71679812332695425</v>
      </c>
      <c r="K90" s="40">
        <v>0.7214866576811052</v>
      </c>
      <c r="L90" s="40">
        <v>0.72611363185488775</v>
      </c>
      <c r="M90" s="40">
        <v>0.72442409567900468</v>
      </c>
      <c r="N90" s="40">
        <v>0.71960396055680009</v>
      </c>
      <c r="O90" s="40">
        <v>0.7225887789125145</v>
      </c>
      <c r="P90" s="40">
        <v>0.73539403412757531</v>
      </c>
      <c r="Q90" s="40">
        <v>0.69399999999999995</v>
      </c>
    </row>
    <row r="91" spans="1:17" x14ac:dyDescent="0.2">
      <c r="A91" s="15" t="s">
        <v>107</v>
      </c>
      <c r="B91" s="15">
        <v>0.41694606561074155</v>
      </c>
      <c r="C91" s="40">
        <v>0.40816379972151795</v>
      </c>
      <c r="D91" s="40">
        <v>0.3874836039394931</v>
      </c>
      <c r="E91" s="40">
        <v>0.3875726529978647</v>
      </c>
      <c r="F91" s="40">
        <v>0.36946963496658602</v>
      </c>
      <c r="G91" s="40">
        <v>0.35840638388058688</v>
      </c>
      <c r="H91" s="40">
        <v>0.36072276149010163</v>
      </c>
      <c r="I91" s="40">
        <v>0.36655686675419963</v>
      </c>
      <c r="J91" s="40">
        <v>0.36078945100272231</v>
      </c>
      <c r="K91" s="40">
        <v>0.36224229083192983</v>
      </c>
      <c r="L91" s="40">
        <v>0.34476433733130696</v>
      </c>
      <c r="M91" s="40">
        <v>0.34655728334491043</v>
      </c>
      <c r="N91" s="40">
        <v>0.36195039359317471</v>
      </c>
      <c r="O91" s="40">
        <v>0.360955721719042</v>
      </c>
      <c r="P91" s="40">
        <v>0.42457864254174593</v>
      </c>
      <c r="Q91" s="40">
        <v>0.40550000000000003</v>
      </c>
    </row>
    <row r="92" spans="1:17" x14ac:dyDescent="0.2">
      <c r="A92" s="15" t="s">
        <v>141</v>
      </c>
      <c r="B92" s="15">
        <v>0.53114389810184592</v>
      </c>
      <c r="C92" s="40">
        <v>0.52309439781115374</v>
      </c>
      <c r="D92" s="40">
        <v>0.51795538405910735</v>
      </c>
      <c r="E92" s="40">
        <v>0.5133322072271187</v>
      </c>
      <c r="F92" s="40">
        <v>0.51036481364412323</v>
      </c>
      <c r="G92" s="40">
        <v>0.50304800003810124</v>
      </c>
      <c r="H92" s="40">
        <v>0.50627091612126174</v>
      </c>
      <c r="I92" s="40">
        <v>0.50947282642244529</v>
      </c>
      <c r="J92" s="40">
        <v>0.50048222791593533</v>
      </c>
      <c r="K92" s="40">
        <v>0.50394022127284055</v>
      </c>
      <c r="L92" s="40">
        <v>0.51341078264961615</v>
      </c>
      <c r="M92" s="40">
        <v>0.51506527064041885</v>
      </c>
      <c r="N92" s="40">
        <v>0.51118122277257383</v>
      </c>
      <c r="O92" s="40">
        <v>0.5119767159145403</v>
      </c>
      <c r="P92" s="40">
        <v>0.54807646575861968</v>
      </c>
      <c r="Q92" s="40">
        <v>0.52200000000000002</v>
      </c>
    </row>
    <row r="93" spans="1:17" x14ac:dyDescent="0.2">
      <c r="A93" s="15" t="s">
        <v>142</v>
      </c>
      <c r="B93" s="15">
        <v>0.48825777164880213</v>
      </c>
      <c r="C93" s="40">
        <v>0.47865517004232361</v>
      </c>
      <c r="D93" s="40">
        <v>0.43511127648750003</v>
      </c>
      <c r="E93" s="40">
        <v>0.43324635516014487</v>
      </c>
      <c r="F93" s="40">
        <v>0.41075257085730721</v>
      </c>
      <c r="G93" s="40">
        <v>0.40436572467510024</v>
      </c>
      <c r="H93" s="40">
        <v>0.40659765193941277</v>
      </c>
      <c r="I93" s="40">
        <v>0.4129738258360498</v>
      </c>
      <c r="J93" s="40">
        <v>0.40541553077256998</v>
      </c>
      <c r="K93" s="40">
        <v>0.40688684981300094</v>
      </c>
      <c r="L93" s="40">
        <v>0.40436155998121626</v>
      </c>
      <c r="M93" s="40">
        <v>0.4092397382193842</v>
      </c>
      <c r="N93" s="40">
        <v>0.40592096208047801</v>
      </c>
      <c r="O93" s="40">
        <v>0.40584362341522562</v>
      </c>
      <c r="P93" s="40">
        <v>0.47017454301959605</v>
      </c>
      <c r="Q93" s="40">
        <v>0.58399999999999996</v>
      </c>
    </row>
    <row r="94" spans="1:17" x14ac:dyDescent="0.2">
      <c r="A94" s="15" t="s">
        <v>143</v>
      </c>
      <c r="B94" s="15">
        <v>0.86717390844176689</v>
      </c>
      <c r="C94" s="40">
        <v>0.83996722068416085</v>
      </c>
      <c r="D94" s="40">
        <v>0.88270144399061801</v>
      </c>
      <c r="E94" s="40">
        <v>0.85576747084008575</v>
      </c>
      <c r="F94" s="40">
        <v>0.88771735916143291</v>
      </c>
      <c r="G94" s="40">
        <v>0.85732747976851575</v>
      </c>
      <c r="H94" s="40">
        <v>0.86044171654532464</v>
      </c>
      <c r="I94" s="40">
        <v>0.8812430857091651</v>
      </c>
      <c r="J94" s="40">
        <v>0.84862837576442329</v>
      </c>
      <c r="K94" s="40">
        <v>0.85066261956485389</v>
      </c>
      <c r="L94" s="40">
        <v>0.85815960614851106</v>
      </c>
      <c r="M94" s="40">
        <v>0.85847857730082699</v>
      </c>
      <c r="N94" s="40">
        <v>0.85544902624035801</v>
      </c>
      <c r="O94" s="40">
        <v>0.85520199775380545</v>
      </c>
      <c r="P94" s="40">
        <v>0.85918416230637584</v>
      </c>
      <c r="Q94" s="40">
        <v>0.83299999999999996</v>
      </c>
    </row>
    <row r="97" spans="1:17" x14ac:dyDescent="0.2">
      <c r="H97" s="16"/>
      <c r="I97"/>
      <c r="J97"/>
      <c r="K97"/>
      <c r="L97"/>
      <c r="M97"/>
      <c r="N97"/>
      <c r="O97"/>
      <c r="P97"/>
      <c r="Q97"/>
    </row>
    <row r="98" spans="1:17" x14ac:dyDescent="0.2">
      <c r="H98" s="16"/>
      <c r="I98"/>
      <c r="J98"/>
      <c r="K98"/>
      <c r="L98"/>
      <c r="M98"/>
      <c r="N98"/>
      <c r="O98"/>
      <c r="P98"/>
      <c r="Q98"/>
    </row>
    <row r="99" spans="1:17" x14ac:dyDescent="0.2">
      <c r="H99" s="16"/>
      <c r="I99"/>
      <c r="J99"/>
      <c r="K99"/>
      <c r="L99"/>
      <c r="M99"/>
      <c r="N99"/>
      <c r="O99"/>
      <c r="P99"/>
      <c r="Q99"/>
    </row>
    <row r="100" spans="1:17" x14ac:dyDescent="0.2">
      <c r="H100" s="16"/>
      <c r="I100"/>
      <c r="J100"/>
      <c r="K100"/>
      <c r="L100"/>
      <c r="M100"/>
      <c r="N100"/>
      <c r="O100"/>
      <c r="P100"/>
      <c r="Q100"/>
    </row>
    <row r="101" spans="1:17" x14ac:dyDescent="0.2">
      <c r="H101" s="16"/>
      <c r="I101"/>
      <c r="J101"/>
      <c r="K101"/>
      <c r="L101"/>
      <c r="M101"/>
      <c r="N101"/>
      <c r="O101"/>
      <c r="P101"/>
      <c r="Q101"/>
    </row>
    <row r="102" spans="1:17" x14ac:dyDescent="0.2">
      <c r="H102" s="16"/>
      <c r="I102"/>
      <c r="J102"/>
      <c r="K102"/>
      <c r="L102"/>
      <c r="M102"/>
      <c r="N102"/>
      <c r="O102"/>
      <c r="P102"/>
      <c r="Q102"/>
    </row>
    <row r="103" spans="1:17" x14ac:dyDescent="0.2">
      <c r="H103" s="16"/>
      <c r="I103"/>
      <c r="J103"/>
      <c r="K103"/>
      <c r="L103"/>
      <c r="M103"/>
      <c r="N103"/>
      <c r="O103"/>
      <c r="P103"/>
      <c r="Q103"/>
    </row>
    <row r="104" spans="1:17" x14ac:dyDescent="0.2">
      <c r="H104" s="16"/>
      <c r="I104"/>
      <c r="J104"/>
      <c r="K104"/>
      <c r="L104"/>
      <c r="M104"/>
      <c r="N104"/>
      <c r="O104"/>
      <c r="P104"/>
      <c r="Q104"/>
    </row>
    <row r="105" spans="1:17" x14ac:dyDescent="0.2">
      <c r="H105" s="16"/>
      <c r="I105"/>
      <c r="J105"/>
      <c r="K105"/>
      <c r="L105"/>
      <c r="M105"/>
      <c r="N105"/>
      <c r="O105"/>
      <c r="P105"/>
      <c r="Q105"/>
    </row>
    <row r="106" spans="1:17" x14ac:dyDescent="0.2">
      <c r="H106" s="16"/>
      <c r="I106"/>
      <c r="J106"/>
      <c r="K106"/>
      <c r="L106"/>
      <c r="M106"/>
      <c r="N106"/>
      <c r="O106"/>
      <c r="P106"/>
      <c r="Q106"/>
    </row>
    <row r="107" spans="1:17" x14ac:dyDescent="0.2">
      <c r="H107" s="16"/>
      <c r="I107"/>
      <c r="J107"/>
      <c r="K107"/>
      <c r="L107"/>
      <c r="M107"/>
      <c r="N107"/>
      <c r="O107"/>
      <c r="P107"/>
      <c r="Q107"/>
    </row>
    <row r="108" spans="1:17" x14ac:dyDescent="0.2">
      <c r="H108" s="16"/>
      <c r="I108"/>
      <c r="J108"/>
      <c r="K108"/>
      <c r="L108"/>
      <c r="M108"/>
      <c r="N108"/>
      <c r="O108"/>
      <c r="P108"/>
      <c r="Q108"/>
    </row>
    <row r="109" spans="1:17" x14ac:dyDescent="0.2">
      <c r="A109" s="16"/>
      <c r="B109" s="16"/>
      <c r="C109" s="16"/>
      <c r="D109" s="16"/>
      <c r="E109" s="16"/>
      <c r="H109" s="16"/>
      <c r="I109"/>
      <c r="J109"/>
      <c r="K109"/>
      <c r="L109"/>
      <c r="M109"/>
      <c r="N109"/>
      <c r="O109"/>
      <c r="P109"/>
      <c r="Q109"/>
    </row>
    <row r="110" spans="1:17" x14ac:dyDescent="0.2">
      <c r="A110" s="16"/>
      <c r="B110" s="16"/>
      <c r="C110" s="16"/>
      <c r="D110" s="16"/>
      <c r="E110" s="16"/>
      <c r="H110" s="16"/>
      <c r="I110"/>
      <c r="J110"/>
      <c r="K110"/>
      <c r="L110"/>
      <c r="M110"/>
      <c r="N110"/>
      <c r="O110"/>
      <c r="P110"/>
      <c r="Q110"/>
    </row>
    <row r="111" spans="1:17" x14ac:dyDescent="0.2">
      <c r="H111" s="16"/>
      <c r="I111"/>
      <c r="J111"/>
      <c r="K111"/>
      <c r="L111"/>
      <c r="M111"/>
      <c r="N111"/>
      <c r="O111"/>
      <c r="P111"/>
      <c r="Q111"/>
    </row>
    <row r="112" spans="1:17" x14ac:dyDescent="0.2">
      <c r="H112" s="16"/>
      <c r="I112"/>
      <c r="J112"/>
      <c r="K112"/>
      <c r="L112"/>
      <c r="M112"/>
      <c r="N112"/>
      <c r="O112"/>
      <c r="P112"/>
      <c r="Q112"/>
    </row>
  </sheetData>
  <mergeCells count="6">
    <mergeCell ref="N1:O1"/>
    <mergeCell ref="B1:C1"/>
    <mergeCell ref="D1:E1"/>
    <mergeCell ref="F1:H1"/>
    <mergeCell ref="I1:K1"/>
    <mergeCell ref="L1:M1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82AB-BBC6-2D4D-A75F-573E1888CEFC}">
  <dimension ref="A1:AU124"/>
  <sheetViews>
    <sheetView tabSelected="1" topLeftCell="A68" zoomScaleNormal="100" workbookViewId="0">
      <selection activeCell="Q103" sqref="Q103"/>
    </sheetView>
  </sheetViews>
  <sheetFormatPr baseColWidth="10" defaultColWidth="11.5" defaultRowHeight="15" x14ac:dyDescent="0.2"/>
  <cols>
    <col min="1" max="1" width="13.33203125" customWidth="1"/>
    <col min="2" max="2" width="11.6640625" customWidth="1"/>
    <col min="3" max="3" width="10.83203125" customWidth="1"/>
    <col min="4" max="4" width="11.83203125" customWidth="1"/>
    <col min="5" max="5" width="9.33203125" customWidth="1"/>
    <col min="6" max="6" width="12.6640625" customWidth="1"/>
    <col min="7" max="7" width="9" customWidth="1"/>
    <col min="8" max="8" width="10.33203125" customWidth="1"/>
    <col min="9" max="11" width="11.6640625" customWidth="1"/>
    <col min="12" max="12" width="10.83203125" style="31" customWidth="1"/>
    <col min="13" max="13" width="12.83203125" style="19" customWidth="1"/>
    <col min="14" max="18" width="10.83203125" style="19" customWidth="1"/>
    <col min="19" max="19" width="10.83203125" style="31" customWidth="1"/>
    <col min="20" max="23" width="10.83203125" style="19" customWidth="1"/>
    <col min="24" max="24" width="10.83203125" style="31" customWidth="1"/>
    <col min="25" max="28" width="10.83203125" style="19" customWidth="1"/>
    <col min="29" max="39" width="10.83203125" style="13"/>
  </cols>
  <sheetData>
    <row r="1" spans="1:47" x14ac:dyDescent="0.2">
      <c r="A1" s="6" t="s">
        <v>195</v>
      </c>
      <c r="B1" s="7" t="s">
        <v>144</v>
      </c>
      <c r="C1" s="7" t="s">
        <v>145</v>
      </c>
      <c r="D1" s="7" t="s">
        <v>146</v>
      </c>
      <c r="E1" s="7" t="s">
        <v>147</v>
      </c>
      <c r="F1" s="7" t="s">
        <v>148</v>
      </c>
      <c r="G1" s="7" t="s">
        <v>149</v>
      </c>
      <c r="H1" s="7" t="s">
        <v>150</v>
      </c>
      <c r="I1" s="7" t="s">
        <v>41</v>
      </c>
      <c r="J1" s="7" t="s">
        <v>42</v>
      </c>
      <c r="K1" s="7" t="s">
        <v>168</v>
      </c>
      <c r="L1" s="28" t="s">
        <v>51</v>
      </c>
      <c r="M1" s="27" t="s">
        <v>144</v>
      </c>
      <c r="N1" s="27" t="s">
        <v>145</v>
      </c>
      <c r="O1" s="27" t="s">
        <v>146</v>
      </c>
      <c r="P1" s="27" t="s">
        <v>147</v>
      </c>
      <c r="Q1" s="27" t="s">
        <v>148</v>
      </c>
      <c r="R1" s="27" t="s">
        <v>149</v>
      </c>
      <c r="S1" s="29" t="s">
        <v>52</v>
      </c>
      <c r="T1" s="27" t="s">
        <v>144</v>
      </c>
      <c r="U1" s="27" t="s">
        <v>145</v>
      </c>
      <c r="V1" s="27" t="s">
        <v>146</v>
      </c>
      <c r="W1" s="27" t="s">
        <v>148</v>
      </c>
      <c r="X1" s="29" t="s">
        <v>151</v>
      </c>
      <c r="Y1" s="24" t="s">
        <v>144</v>
      </c>
      <c r="Z1" s="24" t="s">
        <v>145</v>
      </c>
      <c r="AA1" s="24" t="s">
        <v>146</v>
      </c>
      <c r="AB1" s="24" t="s">
        <v>148</v>
      </c>
      <c r="AC1" s="12"/>
      <c r="AD1" s="12"/>
      <c r="AE1" s="12"/>
      <c r="AF1" s="12"/>
      <c r="AG1" s="12"/>
      <c r="AH1" s="12"/>
      <c r="AI1" s="12"/>
      <c r="AJ1" s="12"/>
      <c r="AK1" s="12"/>
    </row>
    <row r="2" spans="1:47" x14ac:dyDescent="0.2">
      <c r="A2" s="7" t="s">
        <v>117</v>
      </c>
      <c r="B2" s="1">
        <v>0.14389094302199812</v>
      </c>
      <c r="C2" s="1">
        <v>1.5875168623202818E-2</v>
      </c>
      <c r="D2" s="1">
        <v>2.2192248967678019E-2</v>
      </c>
      <c r="E2" s="1">
        <v>9.2522927866399041E-2</v>
      </c>
      <c r="F2" s="1">
        <v>8.8079925377082091E-2</v>
      </c>
      <c r="G2" s="1">
        <v>0.13026600104706576</v>
      </c>
      <c r="H2" s="1">
        <v>0.16864918254295924</v>
      </c>
      <c r="I2" s="1">
        <v>4.5355715830387222E-2</v>
      </c>
      <c r="J2" s="1">
        <v>8.9432488754567885E-2</v>
      </c>
      <c r="K2" s="1">
        <v>8.9471490747222937E-2</v>
      </c>
      <c r="L2" s="29">
        <f t="shared" ref="L2:L11" si="0">STDEV(M2:R2)</f>
        <v>0.10656370853438957</v>
      </c>
      <c r="M2" s="20">
        <v>-0.79333006690638708</v>
      </c>
      <c r="N2" s="20">
        <v>-0.72678882171385328</v>
      </c>
      <c r="O2" s="20">
        <v>-0.67393973944541918</v>
      </c>
      <c r="P2" s="20">
        <v>-0.55922456261134201</v>
      </c>
      <c r="Q2" s="20">
        <v>-0.56840878466008649</v>
      </c>
      <c r="R2" s="20">
        <v>-0.52622270899010293</v>
      </c>
      <c r="S2" s="29">
        <f t="shared" ref="S2:S11" si="1">STDEV(T2:W2)</f>
        <v>2.4799104504006953E-2</v>
      </c>
      <c r="T2" s="20">
        <v>-0.10165289076709275</v>
      </c>
      <c r="U2" s="20">
        <v>-4.1420566689959276E-2</v>
      </c>
      <c r="V2" s="20">
        <v>-7.8350930122226575E-2</v>
      </c>
      <c r="W2" s="20">
        <v>-7.3514280449785807E-2</v>
      </c>
      <c r="X2" s="29">
        <f t="shared" ref="X2:X11" si="2">STDEV(Y2:AB2)</f>
        <v>1.2517137182241886E-2</v>
      </c>
      <c r="Y2" s="20">
        <v>-1.8069079853485179</v>
      </c>
      <c r="Z2" s="20">
        <v>-1.8056657802193901</v>
      </c>
      <c r="AA2" s="20">
        <v>-1.8279015794000322</v>
      </c>
      <c r="AB2" s="20">
        <v>-1.8279970095130453</v>
      </c>
      <c r="AC2" s="14"/>
      <c r="AD2" s="14"/>
      <c r="AE2" s="14"/>
      <c r="AF2" s="14"/>
      <c r="AG2" s="14"/>
      <c r="AH2" s="14"/>
      <c r="AI2" s="14"/>
      <c r="AJ2" s="14"/>
      <c r="AK2" s="14"/>
      <c r="AL2" s="12"/>
      <c r="AM2" s="12"/>
      <c r="AN2" s="1"/>
      <c r="AO2" s="1"/>
      <c r="AP2" s="1"/>
      <c r="AQ2" s="1"/>
      <c r="AR2" s="1"/>
      <c r="AS2" s="1"/>
      <c r="AT2" s="1"/>
      <c r="AU2" s="1"/>
    </row>
    <row r="3" spans="1:47" x14ac:dyDescent="0.2">
      <c r="A3" s="7" t="s">
        <v>118</v>
      </c>
      <c r="B3" s="1">
        <v>0.11865498883575043</v>
      </c>
      <c r="C3" s="1">
        <v>4.8573485013505557E-2</v>
      </c>
      <c r="D3" s="1">
        <v>5.973235400301169E-2</v>
      </c>
      <c r="E3" s="1">
        <v>1.7110339279172493E-2</v>
      </c>
      <c r="F3" s="1">
        <v>2.2698119470991873E-2</v>
      </c>
      <c r="G3" s="1">
        <v>2.0293857672357252E-2</v>
      </c>
      <c r="H3" s="1">
        <v>7.2376439023193573E-2</v>
      </c>
      <c r="I3" s="1">
        <v>1.4624264921203611E-3</v>
      </c>
      <c r="J3" s="1">
        <v>3.2050619297879557E-2</v>
      </c>
      <c r="K3" s="1">
        <v>2.8704163931196902E-3</v>
      </c>
      <c r="L3" s="29">
        <f t="shared" si="0"/>
        <v>4.5577852582827476E-2</v>
      </c>
      <c r="M3" s="20">
        <v>-0.65980993406924393</v>
      </c>
      <c r="N3" s="20">
        <v>-0.60367468035094318</v>
      </c>
      <c r="O3" s="20">
        <v>-0.61010800894531247</v>
      </c>
      <c r="P3" s="20">
        <v>-0.56748599422147328</v>
      </c>
      <c r="Q3" s="20">
        <v>-0.569711145864924</v>
      </c>
      <c r="R3" s="20">
        <v>-0.52671916872157509</v>
      </c>
      <c r="S3" s="29">
        <f t="shared" si="1"/>
        <v>5.7608666054304921E-3</v>
      </c>
      <c r="T3" s="20">
        <v>-0.12730288667610151</v>
      </c>
      <c r="U3" s="20">
        <v>-0.11374785922591649</v>
      </c>
      <c r="V3" s="20">
        <v>-0.11726658009726372</v>
      </c>
      <c r="W3" s="20">
        <v>-0.12034357681461189</v>
      </c>
      <c r="X3" s="29">
        <f t="shared" si="2"/>
        <v>6.9500407814172686E-4</v>
      </c>
      <c r="Y3" s="20">
        <v>-2.129542168090405</v>
      </c>
      <c r="Z3" s="20">
        <v>-2.129150945436646</v>
      </c>
      <c r="AA3" s="20">
        <v>-2.1303577649604355</v>
      </c>
      <c r="AB3" s="20">
        <v>-2.1306433967914562</v>
      </c>
      <c r="AC3" s="14"/>
      <c r="AD3" s="14"/>
      <c r="AE3" s="14"/>
      <c r="AF3" s="14"/>
      <c r="AG3" s="14"/>
      <c r="AH3" s="14"/>
      <c r="AI3" s="14"/>
      <c r="AJ3" s="14"/>
      <c r="AK3" s="14"/>
      <c r="AL3" s="12"/>
      <c r="AM3" s="12"/>
      <c r="AN3" s="1"/>
      <c r="AO3" s="1"/>
      <c r="AP3" s="1"/>
      <c r="AQ3" s="1"/>
      <c r="AR3" s="1"/>
      <c r="AS3" s="1"/>
      <c r="AT3" s="1"/>
      <c r="AU3" s="1"/>
    </row>
    <row r="4" spans="1:47" x14ac:dyDescent="0.2">
      <c r="A4" s="7" t="s">
        <v>119</v>
      </c>
      <c r="B4" s="1">
        <v>0.15178178931104935</v>
      </c>
      <c r="C4" s="1">
        <v>9.4981743892677217E-2</v>
      </c>
      <c r="D4" s="1">
        <v>0.1290608307982033</v>
      </c>
      <c r="E4" s="1">
        <v>7.2331388337454117E-2</v>
      </c>
      <c r="F4" s="1">
        <v>6.5623690708996429E-2</v>
      </c>
      <c r="G4" s="1">
        <v>1.1092373143470224E-2</v>
      </c>
      <c r="H4" s="1">
        <v>0.19033011534284872</v>
      </c>
      <c r="I4" s="1">
        <v>2.1141126204773375E-3</v>
      </c>
      <c r="J4" s="1">
        <v>7.1945582466839797E-2</v>
      </c>
      <c r="K4" s="1">
        <v>2.0637292180995415E-2</v>
      </c>
      <c r="L4" s="29">
        <f t="shared" si="0"/>
        <v>4.9975994211165366E-2</v>
      </c>
      <c r="M4" s="20">
        <v>-0.9215777960791981</v>
      </c>
      <c r="N4" s="20">
        <v>-0.87250256406229842</v>
      </c>
      <c r="O4" s="20">
        <v>-0.90316759030082905</v>
      </c>
      <c r="P4" s="20">
        <v>-0.84643814784007987</v>
      </c>
      <c r="Q4" s="20">
        <v>-0.83722650766016982</v>
      </c>
      <c r="R4" s="20">
        <v>-0.78269519009464361</v>
      </c>
      <c r="S4" s="29">
        <f t="shared" si="1"/>
        <v>3.1095471562419459E-3</v>
      </c>
      <c r="T4" s="20">
        <v>-0.10407982799004069</v>
      </c>
      <c r="U4" s="20">
        <v>-9.693984853944089E-2</v>
      </c>
      <c r="V4" s="20">
        <v>-9.8834681909900829E-2</v>
      </c>
      <c r="W4" s="20">
        <v>-0.10143353756002645</v>
      </c>
      <c r="X4" s="29">
        <f t="shared" si="2"/>
        <v>7.225867749888822E-4</v>
      </c>
      <c r="Y4" s="20">
        <v>-2.1211241652418105</v>
      </c>
      <c r="Z4" s="20">
        <v>-2.1205393312909382</v>
      </c>
      <c r="AA4" s="20">
        <v>-2.1220585585874736</v>
      </c>
      <c r="AB4" s="20">
        <v>-2.1219636454887998</v>
      </c>
      <c r="AC4" s="14"/>
      <c r="AD4" s="14"/>
      <c r="AE4" s="14"/>
      <c r="AF4" s="14"/>
      <c r="AG4" s="14"/>
      <c r="AH4" s="14"/>
      <c r="AI4" s="14"/>
      <c r="AJ4" s="14"/>
      <c r="AK4" s="14"/>
      <c r="AL4" s="12"/>
      <c r="AM4" s="12"/>
      <c r="AN4" s="1"/>
      <c r="AO4" s="1"/>
      <c r="AP4" s="1"/>
      <c r="AQ4" s="1"/>
      <c r="AR4" s="1"/>
      <c r="AS4" s="1"/>
      <c r="AT4" s="1"/>
      <c r="AU4" s="1"/>
    </row>
    <row r="5" spans="1:47" x14ac:dyDescent="0.2">
      <c r="A5" s="7" t="s">
        <v>120</v>
      </c>
      <c r="B5" s="1">
        <v>0.1975424580813705</v>
      </c>
      <c r="C5" s="1">
        <v>9.9005723839632243E-2</v>
      </c>
      <c r="D5" s="1">
        <v>7.4822823202367772E-2</v>
      </c>
      <c r="E5" s="1">
        <v>3.9051230104814483E-2</v>
      </c>
      <c r="F5" s="1">
        <v>4.07943657873302E-2</v>
      </c>
      <c r="G5" s="1">
        <v>4.4599929470319211E-3</v>
      </c>
      <c r="H5" s="1">
        <v>0.13744452586932088</v>
      </c>
      <c r="I5" s="1">
        <v>4.3272609961538144E-2</v>
      </c>
      <c r="J5" s="1">
        <v>1.159155108192067E-2</v>
      </c>
      <c r="K5" s="1">
        <v>1.8991686541756092E-2</v>
      </c>
      <c r="L5" s="29">
        <f t="shared" si="0"/>
        <v>6.1840268257075594E-2</v>
      </c>
      <c r="M5" s="20">
        <v>-1.2084135384642036</v>
      </c>
      <c r="N5" s="20">
        <v>-1.1339963590540678</v>
      </c>
      <c r="O5" s="20">
        <v>-1.1058278538010942</v>
      </c>
      <c r="P5" s="20">
        <v>-1.0700562607035413</v>
      </c>
      <c r="Q5" s="20">
        <v>-1.0697044971900211</v>
      </c>
      <c r="R5" s="20">
        <v>-1.0333701243497229</v>
      </c>
      <c r="S5" s="29">
        <f t="shared" si="1"/>
        <v>1.1338684688055165E-2</v>
      </c>
      <c r="T5" s="20">
        <v>-9.3981659185543354E-2</v>
      </c>
      <c r="U5" s="20">
        <v>-7.0271449753103621E-2</v>
      </c>
      <c r="V5" s="20">
        <v>-7.1174027624147485E-2</v>
      </c>
      <c r="W5" s="20">
        <v>-7.2744115609083698E-2</v>
      </c>
      <c r="X5" s="29">
        <f t="shared" si="2"/>
        <v>1.8335635989879607E-3</v>
      </c>
      <c r="Y5" s="20">
        <v>-2.0051472604316234</v>
      </c>
      <c r="Z5" s="20">
        <v>-2.0047379150324609</v>
      </c>
      <c r="AA5" s="20">
        <v>-2.0078209417771258</v>
      </c>
      <c r="AB5" s="20">
        <v>-2.0083457529882249</v>
      </c>
      <c r="AC5" s="14"/>
      <c r="AD5" s="14"/>
      <c r="AE5" s="14"/>
      <c r="AF5" s="14"/>
      <c r="AG5" s="14"/>
      <c r="AH5" s="14"/>
      <c r="AI5" s="14"/>
      <c r="AJ5" s="14"/>
      <c r="AK5" s="14"/>
      <c r="AL5" s="12"/>
      <c r="AM5" s="12"/>
      <c r="AN5" s="1"/>
      <c r="AO5" s="1"/>
      <c r="AP5" s="1"/>
      <c r="AQ5" s="1"/>
      <c r="AR5" s="1"/>
      <c r="AS5" s="1"/>
      <c r="AT5" s="1"/>
      <c r="AU5" s="1"/>
    </row>
    <row r="6" spans="1:47" x14ac:dyDescent="0.2">
      <c r="A6" s="7" t="s">
        <v>121</v>
      </c>
      <c r="B6" s="1">
        <v>0.11247678162719255</v>
      </c>
      <c r="C6" s="1">
        <v>8.7934463499921511E-2</v>
      </c>
      <c r="D6" s="1">
        <v>7.3126511589581389E-2</v>
      </c>
      <c r="E6" s="1">
        <v>3.6176170388571682E-2</v>
      </c>
      <c r="F6" s="1">
        <v>4.4552028340371974E-2</v>
      </c>
      <c r="G6" s="1">
        <v>8.2195875022479381E-3</v>
      </c>
      <c r="H6" s="1">
        <v>0.11336233587718536</v>
      </c>
      <c r="I6" s="1">
        <v>6.9846804468165491E-3</v>
      </c>
      <c r="J6" s="1">
        <v>3.0648407279171286E-2</v>
      </c>
      <c r="K6" s="1">
        <v>4.470225661686178E-2</v>
      </c>
      <c r="L6" s="29">
        <f t="shared" si="0"/>
        <v>3.8608296469376212E-2</v>
      </c>
      <c r="M6" s="20">
        <v>-1.3103609401170506</v>
      </c>
      <c r="N6" s="20">
        <v>-1.3074952556603212</v>
      </c>
      <c r="O6" s="20">
        <v>-1.2809155704533113</v>
      </c>
      <c r="P6" s="20">
        <v>-1.2439652292523016</v>
      </c>
      <c r="Q6" s="20">
        <v>-1.2494553616084072</v>
      </c>
      <c r="R6" s="20">
        <v>-1.2131229207702832</v>
      </c>
      <c r="S6" s="29">
        <f t="shared" si="1"/>
        <v>8.8698907829014469E-3</v>
      </c>
      <c r="T6" s="20">
        <v>-0.114606349303987</v>
      </c>
      <c r="U6" s="20">
        <v>-9.3101829982562376E-2</v>
      </c>
      <c r="V6" s="20">
        <v>-0.10279781541259701</v>
      </c>
      <c r="W6" s="20">
        <v>-0.10582834063034932</v>
      </c>
      <c r="X6" s="29">
        <f t="shared" si="2"/>
        <v>1.1107504163715173E-3</v>
      </c>
      <c r="Y6" s="20">
        <v>-1.9685094922061552</v>
      </c>
      <c r="Z6" s="20">
        <v>-1.9683373778570377</v>
      </c>
      <c r="AA6" s="20">
        <v>-1.9704131257236728</v>
      </c>
      <c r="AB6" s="20">
        <v>-1.9702683261016154</v>
      </c>
      <c r="AC6" s="14"/>
      <c r="AD6" s="14"/>
      <c r="AE6" s="14"/>
      <c r="AF6" s="14"/>
      <c r="AG6" s="14"/>
      <c r="AH6" s="14"/>
      <c r="AI6" s="14"/>
      <c r="AJ6" s="14"/>
      <c r="AK6" s="14"/>
      <c r="AL6" s="12"/>
      <c r="AM6" s="12"/>
      <c r="AN6" s="1"/>
      <c r="AO6" s="1"/>
      <c r="AP6" s="1"/>
      <c r="AQ6" s="1"/>
      <c r="AR6" s="1"/>
      <c r="AS6" s="1"/>
      <c r="AT6" s="1"/>
      <c r="AU6" s="1"/>
    </row>
    <row r="7" spans="1:47" x14ac:dyDescent="0.2">
      <c r="A7" s="7" t="s">
        <v>122</v>
      </c>
      <c r="B7" s="1">
        <v>0.15025400165459901</v>
      </c>
      <c r="C7" s="1">
        <v>1.620780316394832E-2</v>
      </c>
      <c r="D7" s="1">
        <v>3.4246144614876961E-2</v>
      </c>
      <c r="E7" s="1">
        <v>4.4016867134231141E-3</v>
      </c>
      <c r="F7" s="1">
        <v>1.4160511253381802E-2</v>
      </c>
      <c r="G7" s="1">
        <v>5.2831539585296294E-2</v>
      </c>
      <c r="H7" s="1">
        <v>0.28701985066314384</v>
      </c>
      <c r="I7" s="1">
        <v>7.7468455161976646E-2</v>
      </c>
      <c r="J7" s="1">
        <v>6.4625542631450372E-2</v>
      </c>
      <c r="K7" s="1">
        <v>4.8256749931858245E-2</v>
      </c>
      <c r="L7" s="29">
        <f t="shared" si="0"/>
        <v>6.2101592987403705E-2</v>
      </c>
      <c r="M7" s="20">
        <v>-1.9763588164690467</v>
      </c>
      <c r="N7" s="20">
        <v>-1.894566927276059</v>
      </c>
      <c r="O7" s="20">
        <v>-1.8857102349908408</v>
      </c>
      <c r="P7" s="20">
        <v>-1.8470624036625405</v>
      </c>
      <c r="Q7" s="20">
        <v>-1.8350898643976192</v>
      </c>
      <c r="R7" s="20">
        <v>-1.796418836065705</v>
      </c>
      <c r="S7" s="29">
        <f t="shared" si="1"/>
        <v>2.0664763539176609E-2</v>
      </c>
      <c r="T7" s="20">
        <v>-4.9378796116066166E-2</v>
      </c>
      <c r="U7" s="20">
        <v>1.1050546111851702E-3</v>
      </c>
      <c r="V7" s="20">
        <v>-2.532471445739809E-2</v>
      </c>
      <c r="W7" s="20">
        <v>-2.7324978109810279E-2</v>
      </c>
      <c r="X7" s="29">
        <f t="shared" si="2"/>
        <v>7.5014691384512212E-4</v>
      </c>
      <c r="Y7" s="20">
        <v>-1.7755163890694858</v>
      </c>
      <c r="Z7" s="20">
        <v>-1.7737459304990741</v>
      </c>
      <c r="AA7" s="20">
        <v>-1.7742111951666379</v>
      </c>
      <c r="AB7" s="20">
        <v>-1.7744246462391886</v>
      </c>
      <c r="AC7" s="14"/>
      <c r="AD7" s="14"/>
      <c r="AE7" s="14"/>
      <c r="AF7" s="14"/>
      <c r="AG7" s="14"/>
      <c r="AH7" s="14"/>
      <c r="AI7" s="14"/>
      <c r="AJ7" s="14"/>
      <c r="AK7" s="14"/>
      <c r="AL7" s="12"/>
      <c r="AM7" s="12"/>
      <c r="AN7" s="1"/>
      <c r="AO7" s="1"/>
      <c r="AP7" s="1"/>
      <c r="AQ7" s="1"/>
      <c r="AR7" s="1"/>
      <c r="AS7" s="1"/>
      <c r="AT7" s="1"/>
      <c r="AU7" s="1"/>
    </row>
    <row r="8" spans="1:47" x14ac:dyDescent="0.2">
      <c r="A8" s="7" t="s">
        <v>152</v>
      </c>
      <c r="B8" s="1">
        <v>0.47024372650407731</v>
      </c>
      <c r="C8" s="1">
        <v>0.44053899833262911</v>
      </c>
      <c r="D8" s="1">
        <v>0.36894023991811586</v>
      </c>
      <c r="E8" s="1">
        <v>0.31773409462574209</v>
      </c>
      <c r="F8" s="1">
        <v>0.44159713790215305</v>
      </c>
      <c r="G8" s="1">
        <v>0.3921954924378066</v>
      </c>
      <c r="H8" s="1">
        <v>4.0151034605622637</v>
      </c>
      <c r="I8" s="1">
        <v>0.2374282281204585</v>
      </c>
      <c r="J8" s="1">
        <v>3.5866958224343892</v>
      </c>
      <c r="K8" s="1">
        <v>0.19495986216478078</v>
      </c>
      <c r="L8" s="29">
        <f t="shared" si="0"/>
        <v>5.2412292534600759E-2</v>
      </c>
      <c r="M8" s="20">
        <v>4.0674809534914464</v>
      </c>
      <c r="N8" s="20">
        <v>4.0874295945823178</v>
      </c>
      <c r="O8" s="20">
        <v>4.1558602799725746</v>
      </c>
      <c r="P8" s="20">
        <v>4.2070664252649479</v>
      </c>
      <c r="Q8" s="20">
        <v>4.0929065430487901</v>
      </c>
      <c r="R8" s="20">
        <v>4.1423081885131365</v>
      </c>
      <c r="S8" s="29">
        <f t="shared" si="1"/>
        <v>7.6724884987666702E-3</v>
      </c>
      <c r="T8" s="20">
        <v>-0.10455269278123418</v>
      </c>
      <c r="U8" s="20">
        <v>-8.7783349381761633E-2</v>
      </c>
      <c r="V8" s="20">
        <v>-8.9463602415456756E-2</v>
      </c>
      <c r="W8" s="20">
        <v>-9.6768621277547623E-2</v>
      </c>
      <c r="X8" s="29">
        <f t="shared" si="2"/>
        <v>3.0270319623068066E-3</v>
      </c>
      <c r="Y8" s="20">
        <v>-6.2111719872142901</v>
      </c>
      <c r="Z8" s="20">
        <v>-6.2181852435331857</v>
      </c>
      <c r="AA8" s="20">
        <v>-6.2133369174752335</v>
      </c>
      <c r="AB8" s="20">
        <v>-6.2157350596733956</v>
      </c>
      <c r="AC8" s="14"/>
      <c r="AD8" s="14"/>
      <c r="AE8" s="14"/>
      <c r="AF8" s="14"/>
      <c r="AG8" s="14"/>
      <c r="AH8" s="14"/>
      <c r="AI8" s="14"/>
      <c r="AJ8" s="14"/>
      <c r="AK8" s="14"/>
      <c r="AL8" s="12"/>
      <c r="AM8" s="12"/>
      <c r="AN8" s="1"/>
      <c r="AO8" s="1"/>
      <c r="AP8" s="1"/>
      <c r="AQ8" s="1"/>
      <c r="AR8" s="1"/>
      <c r="AS8" s="1"/>
      <c r="AT8" s="1"/>
      <c r="AU8" s="1"/>
    </row>
    <row r="9" spans="1:47" x14ac:dyDescent="0.2">
      <c r="A9" s="7" t="s">
        <v>153</v>
      </c>
      <c r="B9" s="1">
        <v>8.3128511644986691E-2</v>
      </c>
      <c r="C9" s="1">
        <v>9.4854222431902002E-2</v>
      </c>
      <c r="D9" s="1">
        <v>3.6910842723305581E-2</v>
      </c>
      <c r="E9" s="1">
        <v>7.0728853602304742E-2</v>
      </c>
      <c r="F9" s="1">
        <v>2.6379245275718333E-2</v>
      </c>
      <c r="G9" s="1">
        <v>1.0161000282949306E-2</v>
      </c>
      <c r="H9" s="1">
        <v>0.85015442239584083</v>
      </c>
      <c r="I9" s="1">
        <v>0.21700398190125147</v>
      </c>
      <c r="J9" s="1">
        <v>3.2263352406117107E-2</v>
      </c>
      <c r="K9" s="1">
        <v>8.342841687202851E-2</v>
      </c>
      <c r="L9" s="29">
        <f t="shared" si="0"/>
        <v>6.5349631019666066E-2</v>
      </c>
      <c r="M9" s="20">
        <v>3.028833238998403</v>
      </c>
      <c r="N9" s="20">
        <v>2.9916753099762845</v>
      </c>
      <c r="O9" s="20">
        <v>3.1313238223933841</v>
      </c>
      <c r="P9" s="20">
        <v>3.1651418332723833</v>
      </c>
      <c r="Q9" s="20">
        <v>3.077966308686547</v>
      </c>
      <c r="R9" s="20">
        <v>3.1145065542452146</v>
      </c>
      <c r="S9" s="29">
        <f t="shared" si="1"/>
        <v>1.043333692209209E-2</v>
      </c>
      <c r="T9" s="20">
        <v>-0.11615060285958898</v>
      </c>
      <c r="U9" s="20">
        <v>-9.2709385542114192E-2</v>
      </c>
      <c r="V9" s="20">
        <v>-0.1079424809528253</v>
      </c>
      <c r="W9" s="20">
        <v>-0.11322474872163178</v>
      </c>
      <c r="X9" s="29">
        <f t="shared" si="2"/>
        <v>4.0428975448175853E-3</v>
      </c>
      <c r="Y9" s="20">
        <v>-5.4858111477838012</v>
      </c>
      <c r="Z9" s="20">
        <v>-5.4838201468660719</v>
      </c>
      <c r="AA9" s="20">
        <v>-5.4764704987172532</v>
      </c>
      <c r="AB9" s="20">
        <v>-5.4811208052406331</v>
      </c>
      <c r="AC9" s="14"/>
      <c r="AD9" s="14"/>
      <c r="AE9" s="14"/>
      <c r="AF9" s="14"/>
      <c r="AG9" s="14"/>
      <c r="AH9" s="14"/>
      <c r="AI9" s="14"/>
      <c r="AJ9" s="14"/>
      <c r="AK9" s="14"/>
      <c r="AL9" s="12"/>
      <c r="AM9" s="12"/>
      <c r="AN9" s="1"/>
      <c r="AO9" s="1"/>
      <c r="AP9" s="1"/>
      <c r="AQ9" s="1"/>
      <c r="AR9" s="1"/>
      <c r="AS9" s="1"/>
      <c r="AT9" s="1"/>
      <c r="AU9" s="1"/>
    </row>
    <row r="10" spans="1:47" x14ac:dyDescent="0.2">
      <c r="A10" s="7" t="s">
        <v>154</v>
      </c>
      <c r="B10" s="1">
        <v>0.16360549718550388</v>
      </c>
      <c r="C10" s="1">
        <v>0.17332197819057438</v>
      </c>
      <c r="D10" s="1">
        <v>5.7178945029359607E-2</v>
      </c>
      <c r="E10" s="1">
        <v>2.5891432557727523E-2</v>
      </c>
      <c r="F10" s="1">
        <v>0.10759515161254418</v>
      </c>
      <c r="G10" s="1">
        <v>7.5117736405631685E-2</v>
      </c>
      <c r="H10" s="1">
        <v>2.2791965307367223</v>
      </c>
      <c r="I10" s="1">
        <v>0.64729616827457326</v>
      </c>
      <c r="J10" s="1">
        <v>2.1416751631047046</v>
      </c>
      <c r="K10" s="1">
        <v>0.5838367362023984</v>
      </c>
      <c r="L10" s="29">
        <f t="shared" si="0"/>
        <v>5.6616453414387174E-2</v>
      </c>
      <c r="M10" s="20">
        <v>3.1282342566039398</v>
      </c>
      <c r="N10" s="20">
        <v>3.0957849452503421</v>
      </c>
      <c r="O10" s="20">
        <v>3.2141844312407222</v>
      </c>
      <c r="P10" s="20">
        <v>3.2454719437123543</v>
      </c>
      <c r="Q10" s="20">
        <v>3.1759387780092552</v>
      </c>
      <c r="R10" s="20">
        <v>3.2084161932161672</v>
      </c>
      <c r="S10" s="29">
        <f t="shared" si="1"/>
        <v>1.1848254799663435E-2</v>
      </c>
      <c r="T10" s="20">
        <v>-0.1254078029585346</v>
      </c>
      <c r="U10" s="20">
        <v>-9.8717352123381771E-2</v>
      </c>
      <c r="V10" s="20">
        <v>-0.10256427150134838</v>
      </c>
      <c r="W10" s="20">
        <v>-0.1114284393909328</v>
      </c>
      <c r="X10" s="29">
        <f t="shared" si="2"/>
        <v>2.4128367362328332E-3</v>
      </c>
      <c r="Y10" s="20">
        <v>-5.6614319508309086</v>
      </c>
      <c r="Z10" s="20">
        <v>-5.665389571317534</v>
      </c>
      <c r="AA10" s="20">
        <v>-5.6637991047687324</v>
      </c>
      <c r="AB10" s="20">
        <v>-5.667105490230866</v>
      </c>
      <c r="AC10" s="14"/>
      <c r="AD10" s="14"/>
      <c r="AE10" s="14"/>
      <c r="AF10" s="14"/>
      <c r="AG10" s="14"/>
      <c r="AH10" s="14"/>
      <c r="AI10" s="14"/>
      <c r="AJ10" s="14"/>
      <c r="AK10" s="14"/>
      <c r="AL10" s="12"/>
      <c r="AM10" s="12"/>
      <c r="AN10" s="1"/>
      <c r="AO10" s="1"/>
      <c r="AP10" s="1"/>
      <c r="AQ10" s="1"/>
      <c r="AR10" s="1"/>
      <c r="AS10" s="1"/>
      <c r="AT10" s="1"/>
      <c r="AU10" s="1"/>
    </row>
    <row r="11" spans="1:47" x14ac:dyDescent="0.2">
      <c r="A11" s="7" t="s">
        <v>155</v>
      </c>
      <c r="B11" s="1">
        <v>0.12685156214538429</v>
      </c>
      <c r="C11" s="1">
        <v>0.17107048158769178</v>
      </c>
      <c r="D11" s="1">
        <v>7.7692825371451057E-2</v>
      </c>
      <c r="E11" s="1">
        <v>3.9775250048439403E-2</v>
      </c>
      <c r="F11" s="1">
        <v>0.11311022964035233</v>
      </c>
      <c r="G11" s="1">
        <v>7.3195124040798198E-2</v>
      </c>
      <c r="H11" s="1">
        <v>0.66269324851931666</v>
      </c>
      <c r="I11" s="1">
        <v>1.5054197504764666E-2</v>
      </c>
      <c r="J11" s="1">
        <v>3.6201273867578543E-2</v>
      </c>
      <c r="K11" s="1">
        <v>4.2358461913880596E-2</v>
      </c>
      <c r="L11" s="29">
        <f t="shared" si="0"/>
        <v>4.5482917862382795E-2</v>
      </c>
      <c r="M11" s="44">
        <v>2.3430728116428821</v>
      </c>
      <c r="N11" s="44">
        <v>2.2867600421274279</v>
      </c>
      <c r="O11" s="44">
        <v>2.379129614005338</v>
      </c>
      <c r="P11" s="44">
        <v>2.4170471893283501</v>
      </c>
      <c r="Q11" s="44">
        <v>2.3521539599129939</v>
      </c>
      <c r="R11" s="44">
        <v>2.3920690655125485</v>
      </c>
      <c r="S11" s="45">
        <f t="shared" si="1"/>
        <v>5.0923244687956972E-3</v>
      </c>
      <c r="T11" s="44">
        <v>-5.6764325119755363E-2</v>
      </c>
      <c r="U11" s="44">
        <v>-4.6323492267106872E-2</v>
      </c>
      <c r="V11" s="44">
        <v>-5.273045033357257E-2</v>
      </c>
      <c r="W11" s="44">
        <v>-5.7398509527924579E-2</v>
      </c>
      <c r="X11" s="45">
        <f t="shared" si="2"/>
        <v>4.0360412566541994E-3</v>
      </c>
      <c r="Y11" s="44">
        <v>-5.3581600486685108</v>
      </c>
      <c r="Z11" s="44">
        <v>-5.3565070314480128</v>
      </c>
      <c r="AA11" s="44">
        <v>-5.3490919890432167</v>
      </c>
      <c r="AB11" s="44">
        <v>-5.3528656800254222</v>
      </c>
      <c r="AC11" s="14"/>
      <c r="AD11" s="14"/>
      <c r="AE11" s="14"/>
      <c r="AF11" s="14"/>
      <c r="AG11" s="14"/>
      <c r="AH11" s="14"/>
      <c r="AI11" s="14"/>
      <c r="AJ11" s="14"/>
      <c r="AK11" s="14"/>
      <c r="AL11" s="15"/>
      <c r="AM11" s="15"/>
      <c r="AN11" s="1"/>
      <c r="AO11" s="1"/>
      <c r="AP11" s="1"/>
      <c r="AQ11" s="1"/>
      <c r="AR11" s="1"/>
      <c r="AS11" s="1"/>
      <c r="AT11" s="1"/>
      <c r="AU11" s="1"/>
    </row>
    <row r="12" spans="1:47" x14ac:dyDescent="0.2">
      <c r="A12" s="32" t="s">
        <v>176</v>
      </c>
      <c r="B12" s="1">
        <f t="shared" ref="B12:K12" si="3">AVERAGE(B2:B7)</f>
        <v>0.14576682708865998</v>
      </c>
      <c r="C12" s="1">
        <f t="shared" si="3"/>
        <v>6.0429731338814609E-2</v>
      </c>
      <c r="D12" s="1">
        <f t="shared" si="3"/>
        <v>6.5530152195953192E-2</v>
      </c>
      <c r="E12" s="1">
        <f t="shared" si="3"/>
        <v>4.3598957114972491E-2</v>
      </c>
      <c r="F12" s="1">
        <f t="shared" si="3"/>
        <v>4.5984773489692397E-2</v>
      </c>
      <c r="G12" s="1">
        <f t="shared" si="3"/>
        <v>3.7860558649578234E-2</v>
      </c>
      <c r="H12" s="1">
        <f t="shared" si="3"/>
        <v>0.16153040821977527</v>
      </c>
      <c r="I12" s="1">
        <f t="shared" si="3"/>
        <v>2.9443000085552711E-2</v>
      </c>
      <c r="J12" s="1">
        <f t="shared" si="3"/>
        <v>5.0049031918638263E-2</v>
      </c>
      <c r="K12" s="1">
        <f t="shared" si="3"/>
        <v>3.7488315401969029E-2</v>
      </c>
      <c r="L12" s="29"/>
      <c r="M12" s="43"/>
      <c r="N12" s="43"/>
      <c r="O12" s="43"/>
      <c r="P12" s="43"/>
      <c r="Q12" s="43"/>
      <c r="R12" s="43"/>
      <c r="S12" s="29"/>
      <c r="T12" s="43"/>
      <c r="U12" s="43"/>
      <c r="V12" s="43"/>
      <c r="W12" s="43"/>
      <c r="X12" s="29"/>
      <c r="Y12" s="44"/>
      <c r="Z12" s="44"/>
      <c r="AA12" s="44"/>
      <c r="AB12" s="44"/>
      <c r="AC12" s="14"/>
      <c r="AD12" s="14"/>
      <c r="AE12" s="14"/>
      <c r="AF12" s="14"/>
      <c r="AG12" s="14"/>
      <c r="AH12" s="14"/>
      <c r="AI12" s="14"/>
      <c r="AJ12" s="14"/>
      <c r="AK12" s="14"/>
      <c r="AL12" s="12"/>
      <c r="AM12" s="12"/>
      <c r="AN12" s="1"/>
      <c r="AO12" s="1"/>
      <c r="AP12" s="1"/>
      <c r="AQ12" s="1"/>
      <c r="AR12" s="1"/>
      <c r="AS12" s="1"/>
      <c r="AT12" s="1"/>
      <c r="AU12" s="1"/>
    </row>
    <row r="13" spans="1:47" x14ac:dyDescent="0.2">
      <c r="A13" s="32" t="s">
        <v>175</v>
      </c>
      <c r="B13" s="1">
        <f>AVERAGE(B8:B11)</f>
        <v>0.21095732436998804</v>
      </c>
      <c r="C13" s="1">
        <f t="shared" ref="C13:K13" si="4">AVERAGE(C8:C11)</f>
        <v>0.21994642013569932</v>
      </c>
      <c r="D13" s="1">
        <f t="shared" si="4"/>
        <v>0.13518071326055803</v>
      </c>
      <c r="E13" s="1">
        <f t="shared" si="4"/>
        <v>0.11353240770855344</v>
      </c>
      <c r="F13" s="1">
        <f t="shared" si="4"/>
        <v>0.17217044110769197</v>
      </c>
      <c r="G13" s="1">
        <f t="shared" si="4"/>
        <v>0.13766733829179645</v>
      </c>
      <c r="H13" s="1">
        <f t="shared" si="4"/>
        <v>1.9517869155535359</v>
      </c>
      <c r="I13" s="1">
        <f t="shared" si="4"/>
        <v>0.27919564395026197</v>
      </c>
      <c r="J13" s="1">
        <f t="shared" si="4"/>
        <v>1.4492089029531974</v>
      </c>
      <c r="K13" s="1">
        <f t="shared" si="4"/>
        <v>0.22614586928827207</v>
      </c>
      <c r="L13" s="29"/>
      <c r="M13" s="27"/>
      <c r="N13" s="27"/>
      <c r="O13" s="27"/>
      <c r="P13" s="27"/>
      <c r="Q13" s="27"/>
      <c r="R13" s="27"/>
      <c r="S13" s="29"/>
      <c r="T13" s="27"/>
      <c r="U13" s="27"/>
      <c r="V13" s="27"/>
      <c r="W13" s="27"/>
      <c r="X13" s="29"/>
      <c r="Y13" s="20"/>
      <c r="Z13" s="20"/>
      <c r="AA13" s="20"/>
      <c r="AB13" s="20"/>
      <c r="AC13" s="14"/>
      <c r="AD13" s="14"/>
      <c r="AE13" s="14"/>
      <c r="AF13" s="14"/>
      <c r="AG13" s="14"/>
      <c r="AH13" s="14"/>
      <c r="AI13" s="14"/>
      <c r="AJ13" s="14"/>
      <c r="AK13" s="14"/>
      <c r="AL13" s="15"/>
      <c r="AM13" s="15"/>
      <c r="AN13" s="1"/>
      <c r="AO13" s="1"/>
      <c r="AP13" s="1"/>
      <c r="AQ13" s="1"/>
      <c r="AR13" s="1"/>
      <c r="AS13" s="1"/>
      <c r="AT13" s="1"/>
      <c r="AU13" s="1"/>
    </row>
    <row r="14" spans="1:47" s="36" customFormat="1" x14ac:dyDescent="0.2">
      <c r="A14" s="10" t="s">
        <v>116</v>
      </c>
      <c r="B14" s="35">
        <f>AVERAGE(B2:B11)</f>
        <v>0.17184302600119122</v>
      </c>
      <c r="C14" s="35">
        <f t="shared" ref="C14:K14" si="5">AVERAGE(C2:C11)</f>
        <v>0.1242364068575685</v>
      </c>
      <c r="D14" s="35">
        <f t="shared" si="5"/>
        <v>9.3390376621795126E-2</v>
      </c>
      <c r="E14" s="35">
        <f t="shared" si="5"/>
        <v>7.1572337352404869E-2</v>
      </c>
      <c r="F14" s="35">
        <f t="shared" si="5"/>
        <v>9.6459040536892221E-2</v>
      </c>
      <c r="G14" s="35">
        <f t="shared" si="5"/>
        <v>7.7783270506465524E-2</v>
      </c>
      <c r="H14" s="35">
        <f t="shared" si="5"/>
        <v>0.87763301115327952</v>
      </c>
      <c r="I14" s="35">
        <f t="shared" si="5"/>
        <v>0.12934405763143642</v>
      </c>
      <c r="J14" s="35">
        <f t="shared" si="5"/>
        <v>0.60971298033246191</v>
      </c>
      <c r="K14" s="35">
        <f t="shared" si="5"/>
        <v>0.11295133695649025</v>
      </c>
      <c r="L14" s="29"/>
      <c r="M14" s="33"/>
      <c r="N14" s="33"/>
      <c r="O14" s="33"/>
      <c r="P14" s="33"/>
      <c r="Q14" s="33"/>
      <c r="R14" s="33"/>
      <c r="S14" s="29"/>
      <c r="T14" s="33"/>
      <c r="U14" s="33"/>
      <c r="V14" s="33"/>
      <c r="W14" s="33"/>
      <c r="X14" s="29"/>
      <c r="Y14" s="34"/>
      <c r="Z14" s="34"/>
      <c r="AA14" s="34"/>
      <c r="AB14" s="34"/>
      <c r="AC14" s="10"/>
      <c r="AD14" s="35"/>
      <c r="AE14" s="35"/>
      <c r="AF14" s="35"/>
      <c r="AG14" s="35"/>
      <c r="AH14" s="35"/>
      <c r="AI14" s="35"/>
      <c r="AJ14" s="35"/>
      <c r="AK14" s="35"/>
      <c r="AL14" s="10"/>
      <c r="AM14" s="10"/>
      <c r="AN14" s="35"/>
      <c r="AO14" s="35"/>
      <c r="AP14" s="35"/>
      <c r="AQ14" s="35"/>
      <c r="AR14" s="35"/>
      <c r="AS14" s="35"/>
      <c r="AT14" s="35"/>
      <c r="AU14" s="35"/>
    </row>
    <row r="15" spans="1:47" s="36" customFormat="1" x14ac:dyDescent="0.2">
      <c r="A15" s="15" t="s">
        <v>196</v>
      </c>
      <c r="B15" s="7" t="s">
        <v>144</v>
      </c>
      <c r="C15" s="7" t="s">
        <v>145</v>
      </c>
      <c r="D15" s="7" t="s">
        <v>146</v>
      </c>
      <c r="E15" s="7" t="s">
        <v>147</v>
      </c>
      <c r="F15" s="7" t="s">
        <v>148</v>
      </c>
      <c r="G15" s="7" t="s">
        <v>149</v>
      </c>
      <c r="H15" s="7" t="s">
        <v>150</v>
      </c>
      <c r="I15" s="7" t="s">
        <v>41</v>
      </c>
      <c r="J15" s="7" t="s">
        <v>42</v>
      </c>
      <c r="K15" s="7" t="s">
        <v>168</v>
      </c>
      <c r="L15" s="28" t="s">
        <v>51</v>
      </c>
      <c r="M15" s="33"/>
      <c r="N15" s="33"/>
      <c r="O15" s="33"/>
      <c r="P15" s="33"/>
      <c r="Q15" s="33"/>
      <c r="R15" s="33"/>
      <c r="S15" s="29" t="s">
        <v>52</v>
      </c>
      <c r="T15" s="33"/>
      <c r="U15" s="33"/>
      <c r="V15" s="33"/>
      <c r="W15" s="33"/>
      <c r="X15" s="29" t="s">
        <v>151</v>
      </c>
      <c r="Y15" s="34"/>
      <c r="Z15" s="34"/>
      <c r="AA15" s="34"/>
      <c r="AB15" s="34"/>
      <c r="AC15" s="10"/>
      <c r="AD15" s="35"/>
      <c r="AE15" s="35"/>
      <c r="AF15" s="35"/>
      <c r="AG15" s="35"/>
      <c r="AH15" s="35"/>
      <c r="AI15" s="35"/>
      <c r="AJ15" s="35"/>
      <c r="AK15" s="35"/>
      <c r="AL15" s="10"/>
      <c r="AM15" s="10"/>
      <c r="AN15" s="35"/>
      <c r="AO15" s="35"/>
      <c r="AP15" s="35"/>
      <c r="AQ15" s="35"/>
      <c r="AR15" s="35"/>
      <c r="AS15" s="35"/>
      <c r="AT15" s="35"/>
      <c r="AU15" s="35"/>
    </row>
    <row r="16" spans="1:47" x14ac:dyDescent="0.2">
      <c r="A16" s="7" t="s">
        <v>59</v>
      </c>
      <c r="B16" s="7">
        <v>9.2196152859235769E-2</v>
      </c>
      <c r="C16" s="7">
        <v>7.5567184522688957E-2</v>
      </c>
      <c r="D16" s="7">
        <v>0.12070989033652857</v>
      </c>
      <c r="E16" s="7">
        <v>1.3479917508411602E-2</v>
      </c>
      <c r="F16" s="7">
        <v>1.41946975504289E-2</v>
      </c>
      <c r="G16" s="7">
        <v>0.12567431735944468</v>
      </c>
      <c r="H16" s="7">
        <v>9.712758887279993E-2</v>
      </c>
      <c r="I16" s="7">
        <v>8.7799175376094607E-2</v>
      </c>
      <c r="J16" s="7">
        <v>9.815125849486972E-2</v>
      </c>
      <c r="K16" s="7">
        <v>9.614113890191256E-2</v>
      </c>
      <c r="L16" s="29">
        <f t="shared" ref="L16:L43" si="6">STDEV(M16:R16)</f>
        <v>9.094527978826758E-2</v>
      </c>
      <c r="M16" s="20">
        <v>-16.119754066192097</v>
      </c>
      <c r="N16" s="20">
        <v>-16.101431353446888</v>
      </c>
      <c r="O16" s="20">
        <v>-16.143209162647999</v>
      </c>
      <c r="P16" s="20">
        <v>-16.035979189819884</v>
      </c>
      <c r="Q16" s="20">
        <v>-16.00890614367588</v>
      </c>
      <c r="R16" s="20">
        <v>-15.897426523866866</v>
      </c>
      <c r="S16" s="29">
        <f t="shared" ref="S16:S43" si="7">STDEV(T16:W16)</f>
        <v>1.7963549771052346E-3</v>
      </c>
      <c r="T16" s="20">
        <v>0.30146957096057825</v>
      </c>
      <c r="U16" s="20">
        <v>0.30098516312445028</v>
      </c>
      <c r="V16" s="20">
        <v>0.29826712731564825</v>
      </c>
      <c r="W16" s="20">
        <v>0.29801311504349426</v>
      </c>
      <c r="X16" s="29">
        <f t="shared" ref="X16:X43" si="8">STDEV(Y16:AB16)</f>
        <v>7.6937250785737209E-4</v>
      </c>
      <c r="Y16" s="20">
        <v>-0.16621165762771814</v>
      </c>
      <c r="Z16" s="20">
        <v>-0.16742099420025347</v>
      </c>
      <c r="AA16" s="20">
        <v>-0.1680678550041767</v>
      </c>
      <c r="AB16" s="20">
        <v>-0.16721227381718512</v>
      </c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3"/>
      <c r="AO16" s="3"/>
      <c r="AP16" s="3"/>
      <c r="AQ16" s="3"/>
      <c r="AR16" s="3"/>
      <c r="AS16" s="3"/>
      <c r="AT16" s="3"/>
      <c r="AU16" s="3"/>
    </row>
    <row r="17" spans="1:47" x14ac:dyDescent="0.2">
      <c r="A17" s="7" t="s">
        <v>60</v>
      </c>
      <c r="B17" s="7">
        <v>2.9516802329515479E-2</v>
      </c>
      <c r="C17" s="7">
        <v>4.5447570258252967E-2</v>
      </c>
      <c r="D17" s="7">
        <v>8.2422055497289315E-2</v>
      </c>
      <c r="E17" s="7">
        <v>2.4998823821184124E-2</v>
      </c>
      <c r="F17" s="7">
        <v>4.7224179295462299E-2</v>
      </c>
      <c r="G17" s="7">
        <v>0.16017623925215341</v>
      </c>
      <c r="H17" s="7">
        <v>0.15442696529086708</v>
      </c>
      <c r="I17" s="7">
        <v>0.15101513322510962</v>
      </c>
      <c r="J17" s="7">
        <v>0.15026026931497716</v>
      </c>
      <c r="K17" s="7">
        <v>0.14760294741432689</v>
      </c>
      <c r="L17" s="29">
        <f t="shared" si="6"/>
        <v>8.7634373457076253E-2</v>
      </c>
      <c r="M17" s="20">
        <v>-16.011805277652265</v>
      </c>
      <c r="N17" s="20">
        <v>-16.029222487313678</v>
      </c>
      <c r="O17" s="20">
        <v>-16.062665791614283</v>
      </c>
      <c r="P17" s="20">
        <v>-15.955244912295809</v>
      </c>
      <c r="Q17" s="20">
        <v>-15.931662453234916</v>
      </c>
      <c r="R17" s="20">
        <v>-15.818710393278224</v>
      </c>
      <c r="S17" s="29">
        <f t="shared" si="7"/>
        <v>1.8504902326727123E-3</v>
      </c>
      <c r="T17" s="20">
        <v>0.28233007357244538</v>
      </c>
      <c r="U17" s="20">
        <v>0.28361673112274915</v>
      </c>
      <c r="V17" s="20">
        <v>0.28138089767172197</v>
      </c>
      <c r="W17" s="20">
        <v>0.27922708731883161</v>
      </c>
      <c r="X17" s="29">
        <f t="shared" si="8"/>
        <v>5.6941470380632005E-4</v>
      </c>
      <c r="Y17" s="20">
        <v>-0.18634159824969806</v>
      </c>
      <c r="Z17" s="20">
        <v>-0.18614181406732472</v>
      </c>
      <c r="AA17" s="20">
        <v>-0.18743716155472817</v>
      </c>
      <c r="AB17" s="20">
        <v>-0.18664045478845431</v>
      </c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3"/>
      <c r="AO17" s="3"/>
      <c r="AP17" s="3"/>
      <c r="AQ17" s="3"/>
      <c r="AR17" s="3"/>
      <c r="AS17" s="3"/>
      <c r="AT17" s="3"/>
      <c r="AU17" s="3"/>
    </row>
    <row r="18" spans="1:47" x14ac:dyDescent="0.2">
      <c r="A18" s="7" t="s">
        <v>61</v>
      </c>
      <c r="B18" s="7">
        <v>0.18218940657622318</v>
      </c>
      <c r="C18" s="7">
        <v>0.15609186329256242</v>
      </c>
      <c r="D18" s="7">
        <v>0.19738822932877798</v>
      </c>
      <c r="E18" s="7">
        <v>8.8951362144973886E-2</v>
      </c>
      <c r="F18" s="7">
        <v>6.552348245206617E-2</v>
      </c>
      <c r="G18" s="7">
        <v>4.7727038115989898E-2</v>
      </c>
      <c r="H18" s="7">
        <v>4.8445147687999138E-2</v>
      </c>
      <c r="I18" s="7">
        <v>3.9557628397842839E-2</v>
      </c>
      <c r="J18" s="7">
        <v>4.4796749889161616E-2</v>
      </c>
      <c r="K18" s="7">
        <v>3.9788029403405992E-2</v>
      </c>
      <c r="L18" s="29">
        <f t="shared" si="6"/>
        <v>9.1848099207874484E-2</v>
      </c>
      <c r="M18" s="20">
        <v>-16.310693972847083</v>
      </c>
      <c r="N18" s="20">
        <v>-16.287616226713908</v>
      </c>
      <c r="O18" s="20">
        <v>-16.32778309828916</v>
      </c>
      <c r="P18" s="20">
        <v>-16.219346231105355</v>
      </c>
      <c r="Q18" s="20">
        <v>-16.195590041342435</v>
      </c>
      <c r="R18" s="20">
        <v>-16.082339520774379</v>
      </c>
      <c r="S18" s="29">
        <f t="shared" si="7"/>
        <v>1.7774576688225161E-3</v>
      </c>
      <c r="T18" s="20">
        <v>0.31528310463545123</v>
      </c>
      <c r="U18" s="20">
        <v>0.31921321855504148</v>
      </c>
      <c r="V18" s="20">
        <v>0.3188666564871992</v>
      </c>
      <c r="W18" s="20">
        <v>0.31789609793040291</v>
      </c>
      <c r="X18" s="29">
        <f t="shared" si="8"/>
        <v>6.9795116697281322E-4</v>
      </c>
      <c r="Y18" s="20">
        <v>-5.7078538364592167E-2</v>
      </c>
      <c r="Z18" s="20">
        <v>-5.7988855133697226E-2</v>
      </c>
      <c r="AA18" s="20">
        <v>-5.8771787526817269E-2</v>
      </c>
      <c r="AB18" s="20">
        <v>-5.8129539040035108E-2</v>
      </c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3"/>
      <c r="AO18" s="3"/>
      <c r="AP18" s="3"/>
      <c r="AQ18" s="3"/>
      <c r="AR18" s="3"/>
      <c r="AS18" s="3"/>
      <c r="AT18" s="3"/>
      <c r="AU18" s="3"/>
    </row>
    <row r="19" spans="1:47" x14ac:dyDescent="0.2">
      <c r="A19" s="7" t="s">
        <v>62</v>
      </c>
      <c r="B19" s="7">
        <v>4.4076861430180636E-2</v>
      </c>
      <c r="C19" s="7">
        <v>4.7071338446424194E-2</v>
      </c>
      <c r="D19" s="7">
        <v>1.3096088122602212E-2</v>
      </c>
      <c r="E19" s="7">
        <v>0.11978081539560359</v>
      </c>
      <c r="F19" s="7">
        <v>0.14437508674399313</v>
      </c>
      <c r="G19" s="7">
        <v>0.25613081442215579</v>
      </c>
      <c r="H19" s="7">
        <v>0.24196234031273411</v>
      </c>
      <c r="I19" s="7">
        <v>0.24020751872734059</v>
      </c>
      <c r="J19" s="7">
        <v>0.21534081439806629</v>
      </c>
      <c r="K19" s="7">
        <v>0.21317985563063468</v>
      </c>
      <c r="L19" s="29">
        <f t="shared" si="6"/>
        <v>8.9738737160073676E-2</v>
      </c>
      <c r="M19" s="20">
        <v>-16.08422200020884</v>
      </c>
      <c r="N19" s="20">
        <v>-16.078369979006006</v>
      </c>
      <c r="O19" s="20">
        <v>-16.113916476515449</v>
      </c>
      <c r="P19" s="20">
        <v>-16.007231749242447</v>
      </c>
      <c r="Q19" s="20">
        <v>-15.982201715741329</v>
      </c>
      <c r="R19" s="20">
        <v>-15.870445988063166</v>
      </c>
      <c r="S19" s="29">
        <f t="shared" si="7"/>
        <v>1.0860410376888254E-3</v>
      </c>
      <c r="T19" s="20">
        <v>0.28695473614374883</v>
      </c>
      <c r="U19" s="20">
        <v>0.28475820265025137</v>
      </c>
      <c r="V19" s="20">
        <v>0.28587178256959811</v>
      </c>
      <c r="W19" s="20">
        <v>0.28463632856954291</v>
      </c>
      <c r="X19" s="29">
        <f t="shared" si="8"/>
        <v>5.215228855735359E-4</v>
      </c>
      <c r="Y19" s="20">
        <v>-0.1761273745047271</v>
      </c>
      <c r="Z19" s="20">
        <v>-0.17678838519782425</v>
      </c>
      <c r="AA19" s="20">
        <v>-0.17633071793154895</v>
      </c>
      <c r="AB19" s="20">
        <v>-0.17553102608422119</v>
      </c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3"/>
      <c r="AO19" s="3"/>
      <c r="AP19" s="3"/>
      <c r="AQ19" s="3"/>
      <c r="AR19" s="3"/>
      <c r="AS19" s="3"/>
      <c r="AT19" s="3"/>
      <c r="AU19" s="3"/>
    </row>
    <row r="20" spans="1:47" x14ac:dyDescent="0.2">
      <c r="A20" s="7" t="s">
        <v>63</v>
      </c>
      <c r="B20" s="7">
        <v>1.0671747605214332E-2</v>
      </c>
      <c r="C20" s="7">
        <v>4.5516108582115689E-2</v>
      </c>
      <c r="D20" s="7">
        <v>1.9652649959064905E-3</v>
      </c>
      <c r="E20" s="7">
        <v>0.10644236362104637</v>
      </c>
      <c r="F20" s="7">
        <v>0.13408866393330304</v>
      </c>
      <c r="G20" s="7">
        <v>0.24630871068776622</v>
      </c>
      <c r="H20" s="7">
        <v>0.23174425738059662</v>
      </c>
      <c r="I20" s="7">
        <v>0.22571441017293009</v>
      </c>
      <c r="J20" s="7">
        <v>0.21023821422564365</v>
      </c>
      <c r="K20" s="7">
        <v>0.20816618342499532</v>
      </c>
      <c r="L20" s="29">
        <f t="shared" si="6"/>
        <v>9.36819888267066E-2</v>
      </c>
      <c r="M20" s="20">
        <v>-16.270981918152611</v>
      </c>
      <c r="N20" s="20">
        <v>-16.226688343082358</v>
      </c>
      <c r="O20" s="20">
        <v>-16.27645768156853</v>
      </c>
      <c r="P20" s="20">
        <v>-16.168050052951578</v>
      </c>
      <c r="Q20" s="20">
        <v>-16.1416013448003</v>
      </c>
      <c r="R20" s="20">
        <v>-16.029381298045838</v>
      </c>
      <c r="S20" s="29">
        <f t="shared" si="7"/>
        <v>2.6522013614874952E-3</v>
      </c>
      <c r="T20" s="20">
        <v>0.30037940094429449</v>
      </c>
      <c r="U20" s="20">
        <v>0.29388988915519371</v>
      </c>
      <c r="V20" s="20">
        <v>0.2969892549426198</v>
      </c>
      <c r="W20" s="20">
        <v>0.29729125846748017</v>
      </c>
      <c r="X20" s="29">
        <f t="shared" si="8"/>
        <v>1.6511909548708938E-3</v>
      </c>
      <c r="Y20" s="20">
        <v>-9.6493135186469695E-2</v>
      </c>
      <c r="Z20" s="20">
        <v>-9.9452837490718565E-2</v>
      </c>
      <c r="AA20" s="20">
        <v>-0.10026423836999589</v>
      </c>
      <c r="AB20" s="20">
        <v>-9.9368649733877434E-2</v>
      </c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3"/>
      <c r="AO20" s="3"/>
      <c r="AP20" s="3"/>
      <c r="AQ20" s="3"/>
      <c r="AR20" s="3"/>
      <c r="AS20" s="3"/>
      <c r="AT20" s="3"/>
      <c r="AU20" s="3"/>
    </row>
    <row r="21" spans="1:47" x14ac:dyDescent="0.2">
      <c r="A21" s="7" t="s">
        <v>64</v>
      </c>
      <c r="B21" s="7">
        <v>0.12676656042606729</v>
      </c>
      <c r="C21" s="7">
        <v>0.10224626850083854</v>
      </c>
      <c r="D21" s="7">
        <v>0.14323605271812936</v>
      </c>
      <c r="E21" s="7">
        <v>3.4536132299294336E-2</v>
      </c>
      <c r="F21" s="7">
        <v>5.1310933240192036E-3</v>
      </c>
      <c r="G21" s="7">
        <v>0.10645776090763534</v>
      </c>
      <c r="H21" s="7">
        <v>0.12855350067461566</v>
      </c>
      <c r="I21" s="7">
        <v>0.13604032383316597</v>
      </c>
      <c r="J21" s="7">
        <v>0.14443868283135683</v>
      </c>
      <c r="K21" s="7">
        <v>0.14699541671221358</v>
      </c>
      <c r="L21" s="29">
        <f t="shared" si="6"/>
        <v>9.1666595156807987E-2</v>
      </c>
      <c r="M21" s="20">
        <v>-16.214209806513932</v>
      </c>
      <c r="N21" s="20">
        <v>-16.178642529076285</v>
      </c>
      <c r="O21" s="20">
        <v>-16.230053907732845</v>
      </c>
      <c r="P21" s="20">
        <v>-16.121353987314009</v>
      </c>
      <c r="Q21" s="20">
        <v>-16.094844116269378</v>
      </c>
      <c r="R21" s="20">
        <v>-15.983255262037725</v>
      </c>
      <c r="S21" s="29">
        <f t="shared" si="7"/>
        <v>4.2822655712637051E-3</v>
      </c>
      <c r="T21" s="20">
        <v>0.31149497804663873</v>
      </c>
      <c r="U21" s="20">
        <v>0.30231297236251814</v>
      </c>
      <c r="V21" s="20">
        <v>0.30893919111976242</v>
      </c>
      <c r="W21" s="20">
        <v>0.31125159995965324</v>
      </c>
      <c r="X21" s="29">
        <f t="shared" si="8"/>
        <v>1.9881539700012489E-3</v>
      </c>
      <c r="Y21" s="20">
        <v>-0.27635173195877338</v>
      </c>
      <c r="Z21" s="20">
        <v>-0.27821671178707252</v>
      </c>
      <c r="AA21" s="20">
        <v>-0.27442133610504837</v>
      </c>
      <c r="AB21" s="20">
        <v>-0.27383857701429343</v>
      </c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3"/>
      <c r="AO21" s="3"/>
      <c r="AP21" s="3"/>
      <c r="AQ21" s="3"/>
      <c r="AR21" s="3"/>
      <c r="AS21" s="3"/>
      <c r="AT21" s="3"/>
      <c r="AU21" s="3"/>
    </row>
    <row r="22" spans="1:47" x14ac:dyDescent="0.2">
      <c r="A22" s="7" t="s">
        <v>65</v>
      </c>
      <c r="B22" s="7">
        <v>0.38580640188070325</v>
      </c>
      <c r="C22" s="7">
        <v>0.34965272448711526</v>
      </c>
      <c r="D22" s="7">
        <v>0.36445441564399572</v>
      </c>
      <c r="E22" s="7">
        <v>0.25924635171736532</v>
      </c>
      <c r="F22" s="7">
        <v>0.22719501143199203</v>
      </c>
      <c r="G22" s="7">
        <v>0.12223193786174555</v>
      </c>
      <c r="H22" s="7">
        <v>0.15699313286613734</v>
      </c>
      <c r="I22" s="7">
        <v>0.14993591121476221</v>
      </c>
      <c r="J22" s="7">
        <v>0.15068122259235903</v>
      </c>
      <c r="K22" s="7">
        <v>0.15249438389819378</v>
      </c>
      <c r="L22" s="29">
        <f t="shared" si="6"/>
        <v>0.1045048196166249</v>
      </c>
      <c r="M22" s="20">
        <v>-16.963126896413399</v>
      </c>
      <c r="N22" s="20">
        <v>-16.896836536916741</v>
      </c>
      <c r="O22" s="20">
        <v>-16.924059769161055</v>
      </c>
      <c r="P22" s="20">
        <v>-16.818851705234422</v>
      </c>
      <c r="Q22" s="20">
        <v>-16.784512389157722</v>
      </c>
      <c r="R22" s="20">
        <v>-16.679549315587476</v>
      </c>
      <c r="S22" s="29">
        <f t="shared" si="7"/>
        <v>1.1193351414266903E-2</v>
      </c>
      <c r="T22" s="20">
        <v>0.37250590247868931</v>
      </c>
      <c r="U22" s="20">
        <v>0.34662378852480347</v>
      </c>
      <c r="V22" s="20">
        <v>0.36596917767841236</v>
      </c>
      <c r="W22" s="20">
        <v>0.36595603596959808</v>
      </c>
      <c r="X22" s="29">
        <f t="shared" si="8"/>
        <v>6.2033497551470303E-3</v>
      </c>
      <c r="Y22" s="20">
        <v>0.34751459205400653</v>
      </c>
      <c r="Z22" s="20">
        <v>0.34326002390482074</v>
      </c>
      <c r="AA22" s="20">
        <v>0.33633617583864478</v>
      </c>
      <c r="AB22" s="20">
        <v>0.33406134175613306</v>
      </c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3"/>
      <c r="AO22" s="3"/>
      <c r="AP22" s="3"/>
      <c r="AQ22" s="3"/>
      <c r="AR22" s="3"/>
      <c r="AS22" s="3"/>
      <c r="AT22" s="3"/>
      <c r="AU22" s="3"/>
    </row>
    <row r="23" spans="1:47" x14ac:dyDescent="0.2">
      <c r="A23" s="7" t="s">
        <v>66</v>
      </c>
      <c r="B23" s="7">
        <v>0.25116055391359382</v>
      </c>
      <c r="C23" s="7">
        <v>0.24460228183294599</v>
      </c>
      <c r="D23" s="7">
        <v>0.2068275782071424</v>
      </c>
      <c r="E23" s="7">
        <v>0.10015540079826404</v>
      </c>
      <c r="F23" s="7">
        <v>7.7968508528212827E-2</v>
      </c>
      <c r="G23" s="7">
        <v>2.9966258015246303E-2</v>
      </c>
      <c r="H23" s="7">
        <v>2.6699843267650045E-2</v>
      </c>
      <c r="I23" s="7">
        <v>2.0161356537272333E-2</v>
      </c>
      <c r="J23" s="7">
        <v>3.0147055497158213E-2</v>
      </c>
      <c r="K23" s="7">
        <v>2.7378980781928106E-2</v>
      </c>
      <c r="L23" s="29">
        <f t="shared" si="6"/>
        <v>0.10681367004342307</v>
      </c>
      <c r="M23" s="20">
        <v>-16.582433264200425</v>
      </c>
      <c r="N23" s="20">
        <v>-16.510083229799161</v>
      </c>
      <c r="O23" s="20">
        <v>-16.528783601715151</v>
      </c>
      <c r="P23" s="20">
        <v>-16.422111424306276</v>
      </c>
      <c r="Q23" s="20">
        <v>-16.396223236784628</v>
      </c>
      <c r="R23" s="20">
        <v>-16.28828847024117</v>
      </c>
      <c r="S23" s="29">
        <f t="shared" si="7"/>
        <v>1.7923969746723115E-2</v>
      </c>
      <c r="T23" s="20">
        <v>0.33640838517241589</v>
      </c>
      <c r="U23" s="20">
        <v>0.29280936419237269</v>
      </c>
      <c r="V23" s="20">
        <v>0.31429696487224013</v>
      </c>
      <c r="W23" s="20">
        <v>0.31871661868796719</v>
      </c>
      <c r="X23" s="29">
        <f t="shared" si="8"/>
        <v>1.4972059128186556E-2</v>
      </c>
      <c r="Y23" s="20">
        <v>8.0564325114413304E-2</v>
      </c>
      <c r="Z23" s="20">
        <v>5.8371583773843168E-2</v>
      </c>
      <c r="AA23" s="20">
        <v>9.3359058635770223E-2</v>
      </c>
      <c r="AB23" s="20">
        <v>8.523810956844835E-2</v>
      </c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3"/>
      <c r="AO23" s="3"/>
      <c r="AP23" s="3"/>
      <c r="AQ23" s="3"/>
      <c r="AR23" s="3"/>
      <c r="AS23" s="3"/>
      <c r="AT23" s="3"/>
      <c r="AU23" s="3"/>
    </row>
    <row r="24" spans="1:47" x14ac:dyDescent="0.2">
      <c r="A24" s="7" t="s">
        <v>67</v>
      </c>
      <c r="B24" s="7">
        <v>7.7152939042427066E-2</v>
      </c>
      <c r="C24" s="7">
        <v>4.4171099352210669E-2</v>
      </c>
      <c r="D24" s="7">
        <v>8.5167852379134851E-2</v>
      </c>
      <c r="E24" s="7">
        <v>2.3610035285779957E-2</v>
      </c>
      <c r="F24" s="7">
        <v>4.9066609016856083E-2</v>
      </c>
      <c r="G24" s="7">
        <v>0.16111966667326502</v>
      </c>
      <c r="H24" s="7">
        <v>0.1358891959279844</v>
      </c>
      <c r="I24" s="7">
        <v>0.15234410430772069</v>
      </c>
      <c r="J24" s="7">
        <v>0.15101713453756258</v>
      </c>
      <c r="K24" s="7">
        <v>0.14703304286911198</v>
      </c>
      <c r="L24" s="29">
        <f t="shared" si="6"/>
        <v>9.2889663313425214E-2</v>
      </c>
      <c r="M24" s="20">
        <v>-16.321373972838554</v>
      </c>
      <c r="N24" s="20">
        <v>-16.280191088904637</v>
      </c>
      <c r="O24" s="20">
        <v>-16.33010646920938</v>
      </c>
      <c r="P24" s="20">
        <v>-16.221328581544462</v>
      </c>
      <c r="Q24" s="20">
        <v>-16.195602618416046</v>
      </c>
      <c r="R24" s="20">
        <v>-16.083549560759639</v>
      </c>
      <c r="S24" s="29">
        <f t="shared" si="7"/>
        <v>3.455124054938038E-3</v>
      </c>
      <c r="T24" s="20">
        <v>0.32620884601534805</v>
      </c>
      <c r="U24" s="20">
        <v>0.31896365941577265</v>
      </c>
      <c r="V24" s="20">
        <v>0.32612152079286277</v>
      </c>
      <c r="W24" s="20">
        <v>0.32504800546241724</v>
      </c>
      <c r="X24" s="29">
        <f t="shared" si="8"/>
        <v>1.0983365207498487E-3</v>
      </c>
      <c r="Y24" s="20">
        <v>-0.13228781221922042</v>
      </c>
      <c r="Z24" s="20">
        <v>-0.13324366986334757</v>
      </c>
      <c r="AA24" s="20">
        <v>-0.13148290396261944</v>
      </c>
      <c r="AB24" s="20">
        <v>-0.13067877802951361</v>
      </c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3"/>
      <c r="AO24" s="3"/>
      <c r="AP24" s="3"/>
      <c r="AQ24" s="3"/>
      <c r="AR24" s="3"/>
      <c r="AS24" s="3"/>
      <c r="AT24" s="3"/>
      <c r="AU24" s="3"/>
    </row>
    <row r="25" spans="1:47" x14ac:dyDescent="0.2">
      <c r="A25" s="7" t="s">
        <v>68</v>
      </c>
      <c r="B25" s="7">
        <v>9.72684824127278E-2</v>
      </c>
      <c r="C25" s="7">
        <v>6.485831999169335E-2</v>
      </c>
      <c r="D25" s="7">
        <v>0.10633438553551379</v>
      </c>
      <c r="E25" s="7">
        <v>6.5428364768121833E-3</v>
      </c>
      <c r="F25" s="7">
        <v>2.6201596688100501E-2</v>
      </c>
      <c r="G25" s="7">
        <v>0.14071618396302943</v>
      </c>
      <c r="H25" s="7">
        <v>0.13933370037077475</v>
      </c>
      <c r="I25" s="7">
        <v>0.1285333283642206</v>
      </c>
      <c r="J25" s="7">
        <v>0.14028448309776154</v>
      </c>
      <c r="K25" s="7">
        <v>0.12135091421124176</v>
      </c>
      <c r="L25" s="29">
        <f t="shared" si="6"/>
        <v>8.9623113635190571E-2</v>
      </c>
      <c r="M25" s="20">
        <v>-16.316857539227232</v>
      </c>
      <c r="N25" s="20">
        <v>-16.300944484507895</v>
      </c>
      <c r="O25" s="20">
        <v>-16.352591098265151</v>
      </c>
      <c r="P25" s="20">
        <v>-16.239713876252825</v>
      </c>
      <c r="Q25" s="20">
        <v>-16.217626702607468</v>
      </c>
      <c r="R25" s="20">
        <v>-16.103112115332539</v>
      </c>
      <c r="S25" s="29">
        <f t="shared" si="7"/>
        <v>7.7652488572290601E-3</v>
      </c>
      <c r="T25" s="20">
        <v>0.29240627603856212</v>
      </c>
      <c r="U25" s="20">
        <v>0.29814178923066686</v>
      </c>
      <c r="V25" s="20">
        <v>0.30843410948187611</v>
      </c>
      <c r="W25" s="20">
        <v>0.30774286972905124</v>
      </c>
      <c r="X25" s="29">
        <f t="shared" si="8"/>
        <v>5.1215490342547375E-3</v>
      </c>
      <c r="Y25" s="20">
        <v>2.4882780775940794E-2</v>
      </c>
      <c r="Z25" s="20">
        <v>3.5644375285533721E-2</v>
      </c>
      <c r="AA25" s="20">
        <v>3.5522603247760014E-2</v>
      </c>
      <c r="AB25" s="20">
        <v>3.378542956651627E-2</v>
      </c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3"/>
      <c r="AO25" s="3"/>
      <c r="AP25" s="3"/>
      <c r="AQ25" s="3"/>
      <c r="AR25" s="3"/>
      <c r="AS25" s="3"/>
      <c r="AT25" s="3"/>
      <c r="AU25" s="3"/>
    </row>
    <row r="26" spans="1:47" x14ac:dyDescent="0.2">
      <c r="A26" s="7" t="s">
        <v>69</v>
      </c>
      <c r="B26" s="7">
        <v>6.4062712391754761E-4</v>
      </c>
      <c r="C26" s="7">
        <v>4.5323153201056399E-2</v>
      </c>
      <c r="D26" s="7">
        <v>1.7970465306249239E-2</v>
      </c>
      <c r="E26" s="7">
        <v>9.3056168948582374E-2</v>
      </c>
      <c r="F26" s="7">
        <v>0.11169591947889612</v>
      </c>
      <c r="G26" s="7">
        <v>0.22512917496953333</v>
      </c>
      <c r="H26" s="7">
        <v>0.2727413479504216</v>
      </c>
      <c r="I26" s="7">
        <v>0.26452699737670071</v>
      </c>
      <c r="J26" s="7">
        <v>0.25631230256913395</v>
      </c>
      <c r="K26" s="7">
        <v>0.26178782244379961</v>
      </c>
      <c r="L26" s="29">
        <f t="shared" si="6"/>
        <v>9.2861631894554389E-2</v>
      </c>
      <c r="M26" s="20">
        <v>-16.129955665248779</v>
      </c>
      <c r="N26" s="20">
        <v>-16.087504751272217</v>
      </c>
      <c r="O26" s="20">
        <v>-16.143874777502042</v>
      </c>
      <c r="P26" s="20">
        <v>-16.032848143247211</v>
      </c>
      <c r="Q26" s="20">
        <v>-16.007267160696102</v>
      </c>
      <c r="R26" s="20">
        <v>-15.893833905205467</v>
      </c>
      <c r="S26" s="29">
        <f t="shared" si="7"/>
        <v>7.9146146014223533E-3</v>
      </c>
      <c r="T26" s="20">
        <v>0.30218154574308786</v>
      </c>
      <c r="U26" s="20">
        <v>0.29699185090213515</v>
      </c>
      <c r="V26" s="20">
        <v>0.29357867867734733</v>
      </c>
      <c r="W26" s="20">
        <v>0.28342338921984989</v>
      </c>
      <c r="X26" s="29">
        <f t="shared" si="8"/>
        <v>4.0424633604371546E-3</v>
      </c>
      <c r="Y26" s="20">
        <v>-0.20016650761822627</v>
      </c>
      <c r="Z26" s="20">
        <v>-0.19146394642886164</v>
      </c>
      <c r="AA26" s="20">
        <v>-0.19497436648155417</v>
      </c>
      <c r="AB26" s="20">
        <v>-0.19176030904485017</v>
      </c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3"/>
      <c r="AO26" s="3"/>
      <c r="AP26" s="3"/>
      <c r="AQ26" s="3"/>
      <c r="AR26" s="3"/>
      <c r="AS26" s="3"/>
      <c r="AT26" s="3"/>
      <c r="AU26" s="3"/>
    </row>
    <row r="27" spans="1:47" x14ac:dyDescent="0.2">
      <c r="A27" s="7" t="s">
        <v>70</v>
      </c>
      <c r="B27" s="7">
        <v>0.19221747022697125</v>
      </c>
      <c r="C27" s="7">
        <v>0.16238011950545664</v>
      </c>
      <c r="D27" s="7">
        <v>0.19749957064913895</v>
      </c>
      <c r="E27" s="7">
        <v>8.944236811056408E-2</v>
      </c>
      <c r="F27" s="7">
        <v>6.5142908335144495E-2</v>
      </c>
      <c r="G27" s="7">
        <v>4.7579531582949218E-2</v>
      </c>
      <c r="H27" s="7">
        <v>3.3529471631928064E-2</v>
      </c>
      <c r="I27" s="7">
        <v>2.2078796591265624E-2</v>
      </c>
      <c r="J27" s="7">
        <v>2.0492429427230806E-2</v>
      </c>
      <c r="K27" s="7">
        <v>2.1366024512385638E-2</v>
      </c>
      <c r="L27" s="29">
        <f t="shared" si="6"/>
        <v>9.4955776694631025E-2</v>
      </c>
      <c r="M27" s="20">
        <v>-16.405681853748263</v>
      </c>
      <c r="N27" s="20">
        <v>-16.367768360124082</v>
      </c>
      <c r="O27" s="20">
        <v>-16.407405149655343</v>
      </c>
      <c r="P27" s="20">
        <v>-16.299347947116768</v>
      </c>
      <c r="Q27" s="20">
        <v>-16.273783083197785</v>
      </c>
      <c r="R27" s="20">
        <v>-16.161060643279693</v>
      </c>
      <c r="S27" s="29">
        <f t="shared" si="7"/>
        <v>1.8568759112483496E-3</v>
      </c>
      <c r="T27" s="20">
        <v>0.32475851779097797</v>
      </c>
      <c r="U27" s="20">
        <v>0.32066934687408621</v>
      </c>
      <c r="V27" s="20">
        <v>0.32382052846472914</v>
      </c>
      <c r="W27" s="20">
        <v>0.32183543512929191</v>
      </c>
      <c r="X27" s="29">
        <f t="shared" si="8"/>
        <v>1.6611739910253264E-3</v>
      </c>
      <c r="Y27" s="20">
        <v>-4.0594134269685313E-2</v>
      </c>
      <c r="Z27" s="20">
        <v>-4.4581106255461203E-2</v>
      </c>
      <c r="AA27" s="20">
        <v>-4.3214949458525928E-2</v>
      </c>
      <c r="AB27" s="20">
        <v>-4.249526026665084E-2</v>
      </c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3"/>
      <c r="AO27" s="3"/>
      <c r="AP27" s="3"/>
      <c r="AQ27" s="3"/>
      <c r="AR27" s="3"/>
      <c r="AS27" s="3"/>
      <c r="AT27" s="3"/>
      <c r="AU27" s="3"/>
    </row>
    <row r="28" spans="1:47" x14ac:dyDescent="0.2">
      <c r="A28" s="7" t="s">
        <v>71</v>
      </c>
      <c r="B28" s="7">
        <v>7.5521455254886946E-2</v>
      </c>
      <c r="C28" s="7">
        <v>7.984351973275193E-2</v>
      </c>
      <c r="D28" s="7">
        <v>0.11245215202854252</v>
      </c>
      <c r="E28" s="7">
        <v>6.6681944290595176E-3</v>
      </c>
      <c r="F28" s="7">
        <v>1.9384855619964177E-2</v>
      </c>
      <c r="G28" s="7">
        <v>0.13027764961072419</v>
      </c>
      <c r="H28" s="7">
        <v>0.11840736233936812</v>
      </c>
      <c r="I28" s="7">
        <v>0.11469118249287237</v>
      </c>
      <c r="J28" s="7">
        <v>0.11679069264642496</v>
      </c>
      <c r="K28" s="7">
        <v>0.11558015605510209</v>
      </c>
      <c r="L28" s="29">
        <f t="shared" si="6"/>
        <v>8.8864591556064979E-2</v>
      </c>
      <c r="M28" s="20">
        <v>-16.094041978121691</v>
      </c>
      <c r="N28" s="20">
        <v>-16.092771350763005</v>
      </c>
      <c r="O28" s="20">
        <v>-16.127528674960288</v>
      </c>
      <c r="P28" s="20">
        <v>-16.021744717360804</v>
      </c>
      <c r="Q28" s="20">
        <v>-15.996147465161886</v>
      </c>
      <c r="R28" s="20">
        <v>-15.885254671171126</v>
      </c>
      <c r="S28" s="29">
        <f t="shared" si="7"/>
        <v>1.6486997930347386E-3</v>
      </c>
      <c r="T28" s="20">
        <v>0.30188496407608756</v>
      </c>
      <c r="U28" s="20">
        <v>0.29790397450295447</v>
      </c>
      <c r="V28" s="20">
        <v>0.3002276719571611</v>
      </c>
      <c r="W28" s="20">
        <v>0.2995487684574899</v>
      </c>
      <c r="X28" s="29">
        <f t="shared" si="8"/>
        <v>8.3935548477559062E-4</v>
      </c>
      <c r="Y28" s="20">
        <v>-0.16166444120928342</v>
      </c>
      <c r="Z28" s="20">
        <v>-0.16327614347270286</v>
      </c>
      <c r="AA28" s="20">
        <v>-0.16345114902541599</v>
      </c>
      <c r="AB28" s="20">
        <v>-0.16231644767564035</v>
      </c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3"/>
      <c r="AO28" s="3"/>
      <c r="AP28" s="3"/>
      <c r="AQ28" s="3"/>
      <c r="AR28" s="3"/>
      <c r="AS28" s="3"/>
      <c r="AT28" s="3"/>
      <c r="AU28" s="3"/>
    </row>
    <row r="29" spans="1:47" x14ac:dyDescent="0.2">
      <c r="A29" s="7" t="s">
        <v>72</v>
      </c>
      <c r="B29" s="7">
        <v>6.7902982878146084E-2</v>
      </c>
      <c r="C29" s="7">
        <v>7.9087128438249693E-2</v>
      </c>
      <c r="D29" s="7">
        <v>0.1125466017049028</v>
      </c>
      <c r="E29" s="7">
        <v>6.2700048440404652E-3</v>
      </c>
      <c r="F29" s="7">
        <v>1.9954495595213152E-2</v>
      </c>
      <c r="G29" s="7">
        <v>0.13129071852720478</v>
      </c>
      <c r="H29" s="7">
        <v>0.12720142788298897</v>
      </c>
      <c r="I29" s="7">
        <v>0.1280938491231787</v>
      </c>
      <c r="J29" s="7">
        <v>0.1255882983858401</v>
      </c>
      <c r="K29" s="7">
        <v>0.12489062723517111</v>
      </c>
      <c r="L29" s="29">
        <f t="shared" si="6"/>
        <v>8.8124270709836638E-2</v>
      </c>
      <c r="M29" s="20">
        <v>-16.042851364940788</v>
      </c>
      <c r="N29" s="20">
        <v>-16.045896746179686</v>
      </c>
      <c r="O29" s="20">
        <v>-16.083249373588501</v>
      </c>
      <c r="P29" s="20">
        <v>-15.976972776727637</v>
      </c>
      <c r="Q29" s="20">
        <v>-15.951199357052978</v>
      </c>
      <c r="R29" s="20">
        <v>-15.839863134120986</v>
      </c>
      <c r="S29" s="29">
        <f t="shared" si="7"/>
        <v>3.0122729119951733E-3</v>
      </c>
      <c r="T29" s="20">
        <v>0.30093450516074866</v>
      </c>
      <c r="U29" s="20">
        <v>0.29357340104014767</v>
      </c>
      <c r="V29" s="20">
        <v>0.29746048297417255</v>
      </c>
      <c r="W29" s="20">
        <v>0.2969576462684772</v>
      </c>
      <c r="X29" s="29">
        <f t="shared" si="8"/>
        <v>5.0538129588140364E-4</v>
      </c>
      <c r="Y29" s="20">
        <v>-0.17328612309810934</v>
      </c>
      <c r="Z29" s="20">
        <v>-0.174063783298712</v>
      </c>
      <c r="AA29" s="20">
        <v>-0.17405771109057586</v>
      </c>
      <c r="AB29" s="20">
        <v>-0.17310379362028655</v>
      </c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3"/>
      <c r="AO29" s="3"/>
      <c r="AP29" s="3"/>
      <c r="AQ29" s="3"/>
      <c r="AR29" s="3"/>
      <c r="AS29" s="3"/>
      <c r="AT29" s="3"/>
      <c r="AU29" s="3"/>
    </row>
    <row r="30" spans="1:47" x14ac:dyDescent="0.2">
      <c r="A30" s="7" t="s">
        <v>73</v>
      </c>
      <c r="B30" s="7">
        <v>9.32874626732451E-2</v>
      </c>
      <c r="C30" s="7">
        <v>0.10504055077167644</v>
      </c>
      <c r="D30" s="7">
        <v>0.14483571157190184</v>
      </c>
      <c r="E30" s="7">
        <v>3.7504553431524298E-2</v>
      </c>
      <c r="F30" s="7">
        <v>1.288993073494675E-2</v>
      </c>
      <c r="G30" s="7">
        <v>9.9835347322745863E-2</v>
      </c>
      <c r="H30" s="7">
        <v>8.3031702689816259E-2</v>
      </c>
      <c r="I30" s="7">
        <v>7.0512530089887962E-2</v>
      </c>
      <c r="J30" s="7">
        <v>7.3202029381847902E-2</v>
      </c>
      <c r="K30" s="7">
        <v>7.4808241759814445E-2</v>
      </c>
      <c r="L30" s="29">
        <f t="shared" si="6"/>
        <v>8.8839100923393241E-2</v>
      </c>
      <c r="M30" s="20">
        <v>-16.158730345718286</v>
      </c>
      <c r="N30" s="20">
        <v>-16.168406544433786</v>
      </c>
      <c r="O30" s="20">
        <v>-16.204725412262285</v>
      </c>
      <c r="P30" s="20">
        <v>-16.097394254121909</v>
      </c>
      <c r="Q30" s="20">
        <v>-16.07099224876713</v>
      </c>
      <c r="R30" s="20">
        <v>-15.958266970709438</v>
      </c>
      <c r="S30" s="29">
        <f t="shared" si="7"/>
        <v>2.4761073306960638E-3</v>
      </c>
      <c r="T30" s="20">
        <v>0.30741063578174582</v>
      </c>
      <c r="U30" s="20">
        <v>0.3091797392295319</v>
      </c>
      <c r="V30" s="20">
        <v>0.30600479126845964</v>
      </c>
      <c r="W30" s="20">
        <v>0.30331569198276304</v>
      </c>
      <c r="X30" s="29">
        <f t="shared" si="8"/>
        <v>1.9102896128252408E-3</v>
      </c>
      <c r="Y30" s="20">
        <v>-4.5267752736705233E-2</v>
      </c>
      <c r="Z30" s="20">
        <v>-4.9113745567422609E-2</v>
      </c>
      <c r="AA30" s="20">
        <v>-4.9415090578077248E-2</v>
      </c>
      <c r="AB30" s="20">
        <v>-4.8513373950578503E-2</v>
      </c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3"/>
      <c r="AO30" s="3"/>
      <c r="AP30" s="3"/>
      <c r="AQ30" s="3"/>
      <c r="AR30" s="3"/>
      <c r="AS30" s="3"/>
      <c r="AT30" s="3"/>
      <c r="AU30" s="3"/>
    </row>
    <row r="31" spans="1:47" x14ac:dyDescent="0.2">
      <c r="A31" s="7" t="s">
        <v>74</v>
      </c>
      <c r="B31" s="7">
        <v>0.13562896457064505</v>
      </c>
      <c r="C31" s="7">
        <v>0.13267956038938228</v>
      </c>
      <c r="D31" s="7">
        <v>9.5244003749646755E-2</v>
      </c>
      <c r="E31" s="7">
        <v>0.20403435420398602</v>
      </c>
      <c r="F31" s="7">
        <v>0.22725070122254626</v>
      </c>
      <c r="G31" s="7">
        <v>0.34228502887803886</v>
      </c>
      <c r="H31" s="7">
        <v>0.32430447812868907</v>
      </c>
      <c r="I31" s="7">
        <v>0.31297322814912915</v>
      </c>
      <c r="J31" s="7">
        <v>0.31546045478062884</v>
      </c>
      <c r="K31" s="7">
        <v>0.31857846168587561</v>
      </c>
      <c r="L31" s="29">
        <f t="shared" si="6"/>
        <v>9.0406189323205752E-2</v>
      </c>
      <c r="M31" s="20">
        <v>-16.300760069282138</v>
      </c>
      <c r="N31" s="20">
        <v>-16.30086699754311</v>
      </c>
      <c r="O31" s="20">
        <v>-16.337911875754465</v>
      </c>
      <c r="P31" s="20">
        <v>-16.229121525300123</v>
      </c>
      <c r="Q31" s="20">
        <v>-16.204682908171144</v>
      </c>
      <c r="R31" s="20">
        <v>-16.08964858051565</v>
      </c>
      <c r="S31" s="29">
        <f t="shared" si="7"/>
        <v>1.4215510951854455E-3</v>
      </c>
      <c r="T31" s="20">
        <v>0.32555310071355587</v>
      </c>
      <c r="U31" s="20">
        <v>0.3276997313573568</v>
      </c>
      <c r="V31" s="20">
        <v>0.32565403023712142</v>
      </c>
      <c r="W31" s="20">
        <v>0.32426004850309248</v>
      </c>
      <c r="X31" s="29">
        <f t="shared" si="8"/>
        <v>2.0839354009772691E-3</v>
      </c>
      <c r="Y31" s="20">
        <v>2.3535933139225106E-2</v>
      </c>
      <c r="Z31" s="20">
        <v>1.854682657513583E-2</v>
      </c>
      <c r="AA31" s="20">
        <v>2.0201849266988529E-2</v>
      </c>
      <c r="AB31" s="20">
        <v>2.0373560890595888E-2</v>
      </c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3"/>
      <c r="AO31" s="3"/>
      <c r="AP31" s="3"/>
      <c r="AQ31" s="3"/>
      <c r="AR31" s="3"/>
      <c r="AS31" s="3"/>
      <c r="AT31" s="3"/>
      <c r="AU31" s="3"/>
    </row>
    <row r="32" spans="1:47" x14ac:dyDescent="0.2">
      <c r="A32" s="7" t="s">
        <v>75</v>
      </c>
      <c r="B32" s="7">
        <v>0.15858056610563653</v>
      </c>
      <c r="C32" s="7">
        <v>0.15571897558899184</v>
      </c>
      <c r="D32" s="7">
        <v>0.21963771032127144</v>
      </c>
      <c r="E32" s="7">
        <v>0.11564057074478629</v>
      </c>
      <c r="F32" s="7">
        <v>8.2278552125075732E-2</v>
      </c>
      <c r="G32" s="7">
        <v>2.410959484209596E-2</v>
      </c>
      <c r="H32" s="7">
        <v>1.6603718061276584E-3</v>
      </c>
      <c r="I32" s="7">
        <v>2.0125009294564622E-2</v>
      </c>
      <c r="J32" s="7">
        <v>2.5730116302774109E-2</v>
      </c>
      <c r="K32" s="7">
        <v>2.2839500834887838E-2</v>
      </c>
      <c r="L32" s="29">
        <f t="shared" si="6"/>
        <v>8.3570407256368523E-2</v>
      </c>
      <c r="M32" s="20">
        <v>-16.682030523073291</v>
      </c>
      <c r="N32" s="20">
        <v>-16.679520966828644</v>
      </c>
      <c r="O32" s="20">
        <v>-16.743666527003459</v>
      </c>
      <c r="P32" s="20">
        <v>-16.639669387426974</v>
      </c>
      <c r="Q32" s="20">
        <v>-16.606004846897612</v>
      </c>
      <c r="R32" s="20">
        <v>-16.499616699930442</v>
      </c>
      <c r="S32" s="29">
        <f t="shared" si="7"/>
        <v>8.3229789466865173E-4</v>
      </c>
      <c r="T32" s="20">
        <v>0.32951737028477235</v>
      </c>
      <c r="U32" s="20">
        <v>0.33082767175738659</v>
      </c>
      <c r="V32" s="20">
        <v>0.33055377753206966</v>
      </c>
      <c r="W32" s="20">
        <v>0.32907605430251241</v>
      </c>
      <c r="X32" s="29">
        <f t="shared" si="8"/>
        <v>7.1199146858216659E-4</v>
      </c>
      <c r="Y32" s="20">
        <v>-0.24336741331711828</v>
      </c>
      <c r="Z32" s="20">
        <v>-0.24432568051773418</v>
      </c>
      <c r="AA32" s="20">
        <v>-0.24382496084988195</v>
      </c>
      <c r="AB32" s="20">
        <v>-0.24264975952997594</v>
      </c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3"/>
      <c r="AO32" s="3"/>
      <c r="AP32" s="3"/>
      <c r="AQ32" s="3"/>
      <c r="AR32" s="3"/>
      <c r="AS32" s="3"/>
      <c r="AT32" s="3"/>
      <c r="AU32" s="3"/>
    </row>
    <row r="33" spans="1:47" x14ac:dyDescent="0.2">
      <c r="A33" s="7" t="s">
        <v>76</v>
      </c>
      <c r="B33" s="7">
        <v>4.5134942700102154E-2</v>
      </c>
      <c r="C33" s="7">
        <v>3.3582215668232773E-2</v>
      </c>
      <c r="D33" s="7">
        <v>0.10148811695169807</v>
      </c>
      <c r="E33" s="7">
        <v>1.2581423669465519E-2</v>
      </c>
      <c r="F33" s="7">
        <v>3.1598981670092396E-2</v>
      </c>
      <c r="G33" s="7">
        <v>0.14912018493285456</v>
      </c>
      <c r="H33" s="7">
        <v>0.14181377421664171</v>
      </c>
      <c r="I33" s="7">
        <v>0.13831146041564751</v>
      </c>
      <c r="J33" s="7">
        <v>0.13427463864417161</v>
      </c>
      <c r="K33" s="7">
        <v>0.1354292518804881</v>
      </c>
      <c r="L33" s="29">
        <f t="shared" si="6"/>
        <v>8.4511648196078315E-2</v>
      </c>
      <c r="M33" s="20">
        <v>-16.478779736985693</v>
      </c>
      <c r="N33" s="20">
        <v>-16.479220515543791</v>
      </c>
      <c r="O33" s="20">
        <v>-16.551685841609135</v>
      </c>
      <c r="P33" s="20">
        <v>-16.437616300987973</v>
      </c>
      <c r="Q33" s="20">
        <v>-16.416974874539751</v>
      </c>
      <c r="R33" s="20">
        <v>-16.299453671276989</v>
      </c>
      <c r="S33" s="29">
        <f t="shared" si="7"/>
        <v>6.9891954444006666E-3</v>
      </c>
      <c r="T33" s="20">
        <v>0.31147781314303302</v>
      </c>
      <c r="U33" s="20">
        <v>0.32124858345652973</v>
      </c>
      <c r="V33" s="20">
        <v>0.32688571818915779</v>
      </c>
      <c r="W33" s="20">
        <v>0.32564385728304834</v>
      </c>
      <c r="X33" s="29">
        <f t="shared" si="8"/>
        <v>9.2520245089389543E-4</v>
      </c>
      <c r="Y33" s="20">
        <v>-9.8133018857442675E-2</v>
      </c>
      <c r="Z33" s="20">
        <v>-9.5910283580973837E-2</v>
      </c>
      <c r="AA33" s="20">
        <v>-9.6987993531720967E-2</v>
      </c>
      <c r="AB33" s="20">
        <v>-9.7370001073204579E-2</v>
      </c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3"/>
      <c r="AO33" s="3"/>
      <c r="AP33" s="3"/>
      <c r="AQ33" s="3"/>
      <c r="AR33" s="3"/>
      <c r="AS33" s="3"/>
      <c r="AT33" s="3"/>
      <c r="AU33" s="3"/>
    </row>
    <row r="34" spans="1:47" x14ac:dyDescent="0.2">
      <c r="A34" s="7" t="s">
        <v>77</v>
      </c>
      <c r="B34" s="7">
        <v>0.17379157336822787</v>
      </c>
      <c r="C34" s="7">
        <v>0.16009608922509938</v>
      </c>
      <c r="D34" s="7">
        <v>0.22954336101676703</v>
      </c>
      <c r="E34" s="7">
        <v>0.12291811497740995</v>
      </c>
      <c r="F34" s="7">
        <v>9.1202263113062731E-2</v>
      </c>
      <c r="G34" s="7">
        <v>1.7401199962198521E-2</v>
      </c>
      <c r="H34" s="7">
        <v>1.4308844589001057E-3</v>
      </c>
      <c r="I34" s="7">
        <v>1.260799901587728E-3</v>
      </c>
      <c r="J34" s="7">
        <v>2.8510542036837561E-3</v>
      </c>
      <c r="K34" s="7">
        <v>4.8682502113261972E-5</v>
      </c>
      <c r="L34" s="29">
        <f t="shared" si="6"/>
        <v>8.5170548513064728E-2</v>
      </c>
      <c r="M34" s="20">
        <v>-16.626245389307659</v>
      </c>
      <c r="N34" s="20">
        <v>-16.611474339461115</v>
      </c>
      <c r="O34" s="20">
        <v>-16.67800165381394</v>
      </c>
      <c r="P34" s="20">
        <v>-16.571376407774583</v>
      </c>
      <c r="Q34" s="20">
        <v>-16.540396741969506</v>
      </c>
      <c r="R34" s="20">
        <v>-16.431793278894244</v>
      </c>
      <c r="S34" s="29">
        <f t="shared" si="7"/>
        <v>1.0176523262036541E-3</v>
      </c>
      <c r="T34" s="20">
        <v>0.3178594170630073</v>
      </c>
      <c r="U34" s="20">
        <v>0.31982827340325859</v>
      </c>
      <c r="V34" s="20">
        <v>0.3177905207100894</v>
      </c>
      <c r="W34" s="20">
        <v>0.31773643956331038</v>
      </c>
      <c r="X34" s="29">
        <f t="shared" si="8"/>
        <v>1.7304843960543402E-3</v>
      </c>
      <c r="Y34" s="20">
        <v>-6.0705601123577757E-2</v>
      </c>
      <c r="Z34" s="20">
        <v>-6.3750023167243028E-2</v>
      </c>
      <c r="AA34" s="20">
        <v>-6.4632227912916743E-2</v>
      </c>
      <c r="AB34" s="20">
        <v>-6.3841960706869413E-2</v>
      </c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3"/>
      <c r="AO34" s="3"/>
      <c r="AP34" s="3"/>
      <c r="AQ34" s="3"/>
      <c r="AR34" s="3"/>
      <c r="AS34" s="3"/>
      <c r="AT34" s="3"/>
      <c r="AU34" s="3"/>
    </row>
    <row r="35" spans="1:47" x14ac:dyDescent="0.2">
      <c r="A35" s="7" t="s">
        <v>110</v>
      </c>
      <c r="B35" s="7">
        <v>0.22857514256148725</v>
      </c>
      <c r="C35" s="7">
        <v>0.21661247284108232</v>
      </c>
      <c r="D35" s="7">
        <v>0.29688111289927299</v>
      </c>
      <c r="E35" s="7">
        <v>0.18677725140021195</v>
      </c>
      <c r="F35" s="7">
        <v>0.15579829172710724</v>
      </c>
      <c r="G35" s="7">
        <v>4.7226102626522604E-2</v>
      </c>
      <c r="H35" s="7">
        <v>7.3098774248551379E-2</v>
      </c>
      <c r="I35" s="7">
        <v>4.5227621315582667E-2</v>
      </c>
      <c r="J35" s="7">
        <v>4.8556164962257675E-2</v>
      </c>
      <c r="K35" s="7">
        <v>4.7191804113859703E-2</v>
      </c>
      <c r="L35" s="29">
        <f t="shared" si="6"/>
        <v>8.2850517985425115E-2</v>
      </c>
      <c r="M35" s="20">
        <v>-17.126438217328246</v>
      </c>
      <c r="N35" s="20">
        <v>-17.115415090700996</v>
      </c>
      <c r="O35" s="20">
        <v>-17.198334917865701</v>
      </c>
      <c r="P35" s="20">
        <v>-17.088231056366638</v>
      </c>
      <c r="Q35" s="20">
        <v>-17.058508866686335</v>
      </c>
      <c r="R35" s="20">
        <v>-16.94993667758575</v>
      </c>
      <c r="S35" s="29">
        <f t="shared" si="7"/>
        <v>3.0546225518641658E-3</v>
      </c>
      <c r="T35" s="20">
        <v>0.32540866436162402</v>
      </c>
      <c r="U35" s="20">
        <v>0.32519224453433232</v>
      </c>
      <c r="V35" s="20">
        <v>0.32899583804073024</v>
      </c>
      <c r="W35" s="20">
        <v>0.33154753646601748</v>
      </c>
      <c r="X35" s="29">
        <f t="shared" si="8"/>
        <v>9.9992634206684202E-4</v>
      </c>
      <c r="Y35" s="20">
        <v>2.0154410405135031E-2</v>
      </c>
      <c r="Z35" s="20">
        <v>2.1310373325582051E-2</v>
      </c>
      <c r="AA35" s="20">
        <v>2.0157966925695645E-2</v>
      </c>
      <c r="AB35" s="20">
        <v>1.8863038493208622E-2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3"/>
      <c r="AO35" s="3"/>
      <c r="AP35" s="3"/>
      <c r="AQ35" s="3"/>
      <c r="AR35" s="3"/>
      <c r="AS35" s="3"/>
      <c r="AT35" s="3"/>
      <c r="AU35" s="3"/>
    </row>
    <row r="36" spans="1:47" x14ac:dyDescent="0.2">
      <c r="A36" s="7" t="s">
        <v>111</v>
      </c>
      <c r="B36" s="7">
        <v>0.17369068063179893</v>
      </c>
      <c r="C36" s="7">
        <v>0.16816949335125331</v>
      </c>
      <c r="D36" s="7">
        <v>0.23829261553704073</v>
      </c>
      <c r="E36" s="7">
        <v>0.13232163042287792</v>
      </c>
      <c r="F36" s="7">
        <v>0.10041709659440767</v>
      </c>
      <c r="G36" s="7">
        <v>6.1143751386844025E-3</v>
      </c>
      <c r="H36" s="7">
        <v>2.3754969665544801E-3</v>
      </c>
      <c r="I36" s="7">
        <v>1.4584235605411555E-3</v>
      </c>
      <c r="J36" s="7">
        <v>3.6748513201164679E-3</v>
      </c>
      <c r="K36" s="7">
        <v>4.7812039110587401E-3</v>
      </c>
      <c r="L36" s="29">
        <f t="shared" si="6"/>
        <v>8.3247376740425524E-2</v>
      </c>
      <c r="M36" s="20">
        <v>-17.142847716810046</v>
      </c>
      <c r="N36" s="20">
        <v>-17.13579152238459</v>
      </c>
      <c r="O36" s="20">
        <v>-17.202863340784816</v>
      </c>
      <c r="P36" s="20">
        <v>-17.096892355670654</v>
      </c>
      <c r="Q36" s="20">
        <v>-17.065884768324818</v>
      </c>
      <c r="R36" s="20">
        <v>-16.959353296591726</v>
      </c>
      <c r="S36" s="29">
        <f t="shared" si="7"/>
        <v>1.0839710774726047E-3</v>
      </c>
      <c r="T36" s="20">
        <v>0.3299641979242528</v>
      </c>
      <c r="U36" s="20">
        <v>0.33105791629871417</v>
      </c>
      <c r="V36" s="20">
        <v>0.32873443245161049</v>
      </c>
      <c r="W36" s="20">
        <v>0.32887156256050226</v>
      </c>
      <c r="X36" s="29">
        <f t="shared" si="8"/>
        <v>1.4727430121859891E-3</v>
      </c>
      <c r="Y36" s="20">
        <v>-3.1107161746004978E-2</v>
      </c>
      <c r="Z36" s="20">
        <v>-3.3735887265377504E-2</v>
      </c>
      <c r="AA36" s="20">
        <v>-3.4463707203833752E-2</v>
      </c>
      <c r="AB36" s="20">
        <v>-3.3703890830093571E-2</v>
      </c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3"/>
      <c r="AO36" s="3"/>
      <c r="AP36" s="3"/>
      <c r="AQ36" s="3"/>
      <c r="AR36" s="3"/>
      <c r="AS36" s="3"/>
      <c r="AT36" s="3"/>
      <c r="AU36" s="3"/>
    </row>
    <row r="37" spans="1:47" x14ac:dyDescent="0.2">
      <c r="A37" s="7" t="s">
        <v>112</v>
      </c>
      <c r="B37" s="7">
        <v>0.17797676965737841</v>
      </c>
      <c r="C37" s="7">
        <v>0.16727752446059396</v>
      </c>
      <c r="D37" s="7">
        <v>0.24525804314872124</v>
      </c>
      <c r="E37" s="7">
        <v>0.13733884692463194</v>
      </c>
      <c r="F37" s="7">
        <v>0.10948655008007657</v>
      </c>
      <c r="G37" s="7">
        <v>2.2817436817357262E-4</v>
      </c>
      <c r="H37" s="7">
        <v>1.4138112671657765E-4</v>
      </c>
      <c r="I37" s="7">
        <v>2.2871001930506729E-3</v>
      </c>
      <c r="J37" s="7">
        <v>5.1297570662698355E-3</v>
      </c>
      <c r="K37" s="7">
        <v>3.0297666314207383E-3</v>
      </c>
      <c r="L37" s="29">
        <f t="shared" si="6"/>
        <v>8.2440067084435742E-2</v>
      </c>
      <c r="M37" s="20">
        <v>-16.923142282209504</v>
      </c>
      <c r="N37" s="20">
        <v>-16.911523969082456</v>
      </c>
      <c r="O37" s="20">
        <v>-16.987322642949273</v>
      </c>
      <c r="P37" s="20">
        <v>-16.879403446725185</v>
      </c>
      <c r="Q37" s="20">
        <v>-16.851918498680984</v>
      </c>
      <c r="R37" s="20">
        <v>-16.742660122969081</v>
      </c>
      <c r="S37" s="29">
        <f t="shared" si="7"/>
        <v>5.8530396613236326E-4</v>
      </c>
      <c r="T37" s="20">
        <v>0.3112623021739605</v>
      </c>
      <c r="U37" s="20">
        <v>0.31247244964219834</v>
      </c>
      <c r="V37" s="20">
        <v>0.31139864995703698</v>
      </c>
      <c r="W37" s="20">
        <v>0.31126534712022347</v>
      </c>
      <c r="X37" s="29">
        <f t="shared" si="8"/>
        <v>1.4244819288764473E-3</v>
      </c>
      <c r="Y37" s="20">
        <v>-0.12239678962183392</v>
      </c>
      <c r="Z37" s="20">
        <v>-0.12452600502033588</v>
      </c>
      <c r="AA37" s="20">
        <v>-0.12563405015648377</v>
      </c>
      <c r="AB37" s="20">
        <v>-0.12513339851931712</v>
      </c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3"/>
      <c r="AO37" s="3"/>
      <c r="AP37" s="3"/>
      <c r="AQ37" s="3"/>
      <c r="AR37" s="3"/>
      <c r="AS37" s="3"/>
      <c r="AT37" s="3"/>
      <c r="AU37" s="3"/>
    </row>
    <row r="38" spans="1:47" x14ac:dyDescent="0.2">
      <c r="A38" s="7" t="s">
        <v>113</v>
      </c>
      <c r="B38" s="7">
        <v>0.1154454452665078</v>
      </c>
      <c r="C38" s="7">
        <v>0.12808263065276237</v>
      </c>
      <c r="D38" s="7">
        <v>0.19882002672598842</v>
      </c>
      <c r="E38" s="7">
        <v>9.5129037679990147E-2</v>
      </c>
      <c r="F38" s="7">
        <v>6.0271537708881495E-2</v>
      </c>
      <c r="G38" s="7">
        <v>4.4458623248644913E-2</v>
      </c>
      <c r="H38" s="7">
        <v>3.9363075504542544E-2</v>
      </c>
      <c r="I38" s="7">
        <v>6.3356980676129937E-2</v>
      </c>
      <c r="J38" s="7">
        <v>4.5962217637485758E-2</v>
      </c>
      <c r="K38" s="7">
        <v>5.6152564806710381E-2</v>
      </c>
      <c r="L38" s="29">
        <f t="shared" si="6"/>
        <v>8.0918421987659694E-2</v>
      </c>
      <c r="M38" s="20">
        <v>-16.731307713462556</v>
      </c>
      <c r="N38" s="20">
        <v>-16.746858101085898</v>
      </c>
      <c r="O38" s="20">
        <v>-16.814550669667607</v>
      </c>
      <c r="P38" s="20">
        <v>-16.71085968062161</v>
      </c>
      <c r="Q38" s="20">
        <v>-16.677164150467643</v>
      </c>
      <c r="R38" s="20">
        <v>-16.57243398951012</v>
      </c>
      <c r="S38" s="29">
        <f t="shared" si="7"/>
        <v>2.5424811972007693E-3</v>
      </c>
      <c r="T38" s="20">
        <v>0.32042650348892349</v>
      </c>
      <c r="U38" s="20">
        <v>0.32493806763324018</v>
      </c>
      <c r="V38" s="20">
        <v>0.31944862508743571</v>
      </c>
      <c r="W38" s="20">
        <v>0.31987447143131587</v>
      </c>
      <c r="X38" s="29">
        <f t="shared" si="8"/>
        <v>1.3665631786875508E-3</v>
      </c>
      <c r="Y38" s="20">
        <v>-0.45186423529287534</v>
      </c>
      <c r="Z38" s="20">
        <v>-0.45346259720010601</v>
      </c>
      <c r="AA38" s="20">
        <v>-0.45101798214581801</v>
      </c>
      <c r="AB38" s="20">
        <v>-0.4502818586725531</v>
      </c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3"/>
      <c r="AO38" s="3"/>
      <c r="AP38" s="3"/>
      <c r="AQ38" s="3"/>
      <c r="AR38" s="3"/>
      <c r="AS38" s="3"/>
      <c r="AT38" s="3"/>
      <c r="AU38" s="3"/>
    </row>
    <row r="39" spans="1:47" x14ac:dyDescent="0.2">
      <c r="A39" s="7" t="s">
        <v>82</v>
      </c>
      <c r="B39" s="7">
        <v>0.13561721144873273</v>
      </c>
      <c r="C39" s="7">
        <v>0.15489603217898973</v>
      </c>
      <c r="D39" s="7">
        <v>0.23471171252822176</v>
      </c>
      <c r="E39" s="7">
        <v>0.12332954327180945</v>
      </c>
      <c r="F39" s="7">
        <v>9.2776940158805332E-2</v>
      </c>
      <c r="G39" s="7">
        <v>2.0237036447166346E-2</v>
      </c>
      <c r="H39" s="7">
        <v>8.3253512244508832E-3</v>
      </c>
      <c r="I39" s="7">
        <v>5.3472091659111376E-3</v>
      </c>
      <c r="J39" s="7">
        <v>3.3050223885101593E-3</v>
      </c>
      <c r="K39" s="7">
        <v>6.4271558911060955E-3</v>
      </c>
      <c r="L39" s="29">
        <f t="shared" si="6"/>
        <v>8.4644194733550573E-2</v>
      </c>
      <c r="M39" s="20">
        <v>-16.506523025262929</v>
      </c>
      <c r="N39" s="20">
        <v>-16.531970343065172</v>
      </c>
      <c r="O39" s="20">
        <v>-16.604769069081271</v>
      </c>
      <c r="P39" s="20">
        <v>-16.493386899824859</v>
      </c>
      <c r="Q39" s="20">
        <v>-16.462157351067315</v>
      </c>
      <c r="R39" s="20">
        <v>-16.349143374461345</v>
      </c>
      <c r="S39" s="29">
        <f t="shared" si="7"/>
        <v>1.2126343635351729E-3</v>
      </c>
      <c r="T39" s="20">
        <v>0.28834938183511899</v>
      </c>
      <c r="U39" s="20">
        <v>0.29008563577496627</v>
      </c>
      <c r="V39" s="20">
        <v>0.28847398521127932</v>
      </c>
      <c r="W39" s="20">
        <v>0.28713097028900392</v>
      </c>
      <c r="X39" s="29">
        <f t="shared" si="8"/>
        <v>2.4631817257921391E-3</v>
      </c>
      <c r="Y39" s="20">
        <v>-0.18674356802092482</v>
      </c>
      <c r="Z39" s="20">
        <v>-0.1823113248887831</v>
      </c>
      <c r="AA39" s="20">
        <v>-0.18771662865823141</v>
      </c>
      <c r="AB39" s="20">
        <v>-0.1870505593804932</v>
      </c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"/>
      <c r="AO39" s="3"/>
      <c r="AP39" s="3"/>
      <c r="AQ39" s="3"/>
      <c r="AR39" s="3"/>
      <c r="AS39" s="3"/>
      <c r="AT39" s="3"/>
      <c r="AU39" s="3"/>
    </row>
    <row r="40" spans="1:47" x14ac:dyDescent="0.2">
      <c r="A40" s="7" t="s">
        <v>83</v>
      </c>
      <c r="B40" s="7">
        <v>0.12113598899158984</v>
      </c>
      <c r="C40" s="7">
        <v>0.14412003837892595</v>
      </c>
      <c r="D40" s="7">
        <v>0.22752127876896211</v>
      </c>
      <c r="E40" s="7">
        <v>0.11278009462915606</v>
      </c>
      <c r="F40" s="7">
        <v>7.9935223140460754E-2</v>
      </c>
      <c r="G40" s="7">
        <v>3.1851839738758936E-2</v>
      </c>
      <c r="H40" s="7">
        <v>1.9659139087223276E-2</v>
      </c>
      <c r="I40" s="7">
        <v>1.8739366380742584E-2</v>
      </c>
      <c r="J40" s="7">
        <v>1.8663297129227874E-2</v>
      </c>
      <c r="K40" s="7">
        <v>1.9868926157783018E-2</v>
      </c>
      <c r="L40" s="29">
        <f t="shared" si="6"/>
        <v>8.5291029216719494E-2</v>
      </c>
      <c r="M40" s="20">
        <v>-16.66772886857672</v>
      </c>
      <c r="N40" s="20">
        <v>-16.694154355944118</v>
      </c>
      <c r="O40" s="20">
        <v>-16.774504663989607</v>
      </c>
      <c r="P40" s="20">
        <v>-16.659763479849804</v>
      </c>
      <c r="Q40" s="20">
        <v>-16.626821632640478</v>
      </c>
      <c r="R40" s="20">
        <v>-16.515034569761259</v>
      </c>
      <c r="S40" s="29">
        <f t="shared" si="7"/>
        <v>4.9729574548398935E-4</v>
      </c>
      <c r="T40" s="20">
        <v>0.30886803487105818</v>
      </c>
      <c r="U40" s="20">
        <v>0.30836790568517936</v>
      </c>
      <c r="V40" s="20">
        <v>0.30951913519844348</v>
      </c>
      <c r="W40" s="20">
        <v>0.30860119245584255</v>
      </c>
      <c r="X40" s="29">
        <f t="shared" si="8"/>
        <v>1.9511216456534481E-3</v>
      </c>
      <c r="Y40" s="20">
        <v>-4.3575155285926689E-2</v>
      </c>
      <c r="Z40" s="20">
        <v>-3.9633588119988898E-2</v>
      </c>
      <c r="AA40" s="20">
        <v>-4.3835749977797205E-2</v>
      </c>
      <c r="AB40" s="20">
        <v>-4.3014782955826475E-2</v>
      </c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3"/>
      <c r="AO40" s="3"/>
      <c r="AP40" s="3"/>
      <c r="AQ40" s="3"/>
      <c r="AR40" s="3"/>
      <c r="AS40" s="3"/>
      <c r="AT40" s="3"/>
      <c r="AU40" s="3"/>
    </row>
    <row r="41" spans="1:47" x14ac:dyDescent="0.2">
      <c r="A41" s="9" t="s">
        <v>114</v>
      </c>
      <c r="B41" s="7">
        <v>0.12275324581223068</v>
      </c>
      <c r="C41" s="7">
        <v>0.10172345117307047</v>
      </c>
      <c r="D41" s="7">
        <v>0.21337597717051815</v>
      </c>
      <c r="E41" s="7">
        <v>0.10336580426574149</v>
      </c>
      <c r="F41" s="7">
        <v>6.5559112377090445E-2</v>
      </c>
      <c r="G41" s="7">
        <v>4.3132928998801168E-2</v>
      </c>
      <c r="H41" s="7">
        <v>3.4469935800009344E-2</v>
      </c>
      <c r="I41" s="7">
        <v>3.4954768132642533E-2</v>
      </c>
      <c r="J41" s="7">
        <v>4.0673738199210829E-2</v>
      </c>
      <c r="K41" s="7">
        <v>4.2809433978360678E-2</v>
      </c>
      <c r="L41" s="29">
        <f t="shared" si="6"/>
        <v>8.377393990171933E-2</v>
      </c>
      <c r="M41" s="20">
        <v>-16.999356404977398</v>
      </c>
      <c r="N41" s="20">
        <v>-16.987828351814553</v>
      </c>
      <c r="O41" s="20">
        <v>-17.088426609189479</v>
      </c>
      <c r="P41" s="20">
        <v>-16.978416436284704</v>
      </c>
      <c r="Q41" s="20">
        <v>-16.94092939989465</v>
      </c>
      <c r="R41" s="20">
        <v>-16.832237358518761</v>
      </c>
      <c r="S41" s="29">
        <f t="shared" si="7"/>
        <v>6.3196153201797688E-3</v>
      </c>
      <c r="T41" s="20">
        <v>0.33083626509004654</v>
      </c>
      <c r="U41" s="20">
        <v>0.34369004038649403</v>
      </c>
      <c r="V41" s="20">
        <v>0.33129434461775981</v>
      </c>
      <c r="W41" s="20">
        <v>0.33103850101746191</v>
      </c>
      <c r="X41" s="29">
        <f t="shared" si="8"/>
        <v>1.3887475145798586E-3</v>
      </c>
      <c r="Y41" s="20">
        <v>-4.1533105924880728E-2</v>
      </c>
      <c r="Z41" s="20">
        <v>-4.488513974501248E-2</v>
      </c>
      <c r="AA41" s="20">
        <v>-4.3543712598799238E-2</v>
      </c>
      <c r="AB41" s="20">
        <v>-4.296821349990107E-2</v>
      </c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3"/>
      <c r="AO41" s="3"/>
      <c r="AP41" s="3"/>
      <c r="AQ41" s="3"/>
      <c r="AR41" s="3"/>
      <c r="AS41" s="3"/>
      <c r="AT41" s="3"/>
      <c r="AU41" s="3"/>
    </row>
    <row r="42" spans="1:47" x14ac:dyDescent="0.2">
      <c r="A42" s="7" t="s">
        <v>85</v>
      </c>
      <c r="B42" s="7">
        <v>0.18773308742963857</v>
      </c>
      <c r="C42" s="7">
        <v>0.23616487502757288</v>
      </c>
      <c r="D42" s="7">
        <v>0.30730109523626514</v>
      </c>
      <c r="E42" s="7">
        <v>0.1981731801380644</v>
      </c>
      <c r="F42" s="7">
        <v>0.17734991129143673</v>
      </c>
      <c r="G42" s="7">
        <v>6.6502411910556392E-2</v>
      </c>
      <c r="H42" s="7">
        <v>6.8805034197117587E-2</v>
      </c>
      <c r="I42" s="7">
        <v>6.9070786795770056E-2</v>
      </c>
      <c r="J42" s="7">
        <v>7.4098251803450532E-2</v>
      </c>
      <c r="K42" s="7">
        <v>7.5307910828010138E-2</v>
      </c>
      <c r="L42" s="29">
        <f t="shared" si="6"/>
        <v>8.2948522572376046E-2</v>
      </c>
      <c r="M42" s="20">
        <v>-16.686142941983555</v>
      </c>
      <c r="N42" s="20">
        <v>-16.725110391435496</v>
      </c>
      <c r="O42" s="20">
        <v>-16.80839980009149</v>
      </c>
      <c r="P42" s="20">
        <v>-16.699271884993287</v>
      </c>
      <c r="Q42" s="20">
        <v>-16.66508972111966</v>
      </c>
      <c r="R42" s="20">
        <v>-16.554242221738779</v>
      </c>
      <c r="S42" s="29">
        <f t="shared" si="7"/>
        <v>7.6627465118282575E-3</v>
      </c>
      <c r="T42" s="20">
        <v>0.32163495977544704</v>
      </c>
      <c r="U42" s="20">
        <v>0.30932632119460785</v>
      </c>
      <c r="V42" s="20">
        <v>0.32424675713048223</v>
      </c>
      <c r="W42" s="20">
        <v>0.31030561050660577</v>
      </c>
      <c r="X42" s="29">
        <f t="shared" si="8"/>
        <v>1.3323396474068684E-3</v>
      </c>
      <c r="Y42" s="20">
        <v>9.47489477846984E-3</v>
      </c>
      <c r="Z42" s="20">
        <v>1.2319195213315386E-2</v>
      </c>
      <c r="AA42" s="20">
        <v>9.5519477247415843E-3</v>
      </c>
      <c r="AB42" s="20">
        <v>1.0134199321616954E-2</v>
      </c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3"/>
      <c r="AO42" s="3"/>
      <c r="AP42" s="3"/>
      <c r="AQ42" s="3"/>
      <c r="AR42" s="3"/>
      <c r="AS42" s="3"/>
      <c r="AT42" s="3"/>
      <c r="AU42" s="3"/>
    </row>
    <row r="43" spans="1:47" x14ac:dyDescent="0.2">
      <c r="A43" s="7" t="s">
        <v>115</v>
      </c>
      <c r="B43" s="7">
        <v>0.10073040685163714</v>
      </c>
      <c r="C43" s="7">
        <v>9.4676336122864302E-2</v>
      </c>
      <c r="D43" s="7">
        <v>0.18072326013462792</v>
      </c>
      <c r="E43" s="7">
        <v>7.3444675633813072E-2</v>
      </c>
      <c r="F43" s="7">
        <v>3.8509888701825257E-2</v>
      </c>
      <c r="G43" s="7">
        <v>6.9818069235251135E-2</v>
      </c>
      <c r="H43" s="7">
        <v>6.3923564354189222E-2</v>
      </c>
      <c r="I43" s="7">
        <v>6.333473305993842E-2</v>
      </c>
      <c r="J43" s="7">
        <v>6.5737483494823334E-2</v>
      </c>
      <c r="K43" s="7">
        <v>6.7245433058674142E-2</v>
      </c>
      <c r="L43" s="29">
        <f t="shared" si="6"/>
        <v>8.2996024633609417E-2</v>
      </c>
      <c r="M43" s="20">
        <v>-16.94383831770357</v>
      </c>
      <c r="N43" s="20">
        <v>-16.938792695942876</v>
      </c>
      <c r="O43" s="20">
        <v>-17.023660509724131</v>
      </c>
      <c r="P43" s="20">
        <v>-16.916381925223316</v>
      </c>
      <c r="Q43" s="20">
        <v>-16.881429265891484</v>
      </c>
      <c r="R43" s="20">
        <v>-16.773101307954409</v>
      </c>
      <c r="S43" s="29">
        <f t="shared" si="7"/>
        <v>1.073168035126853E-3</v>
      </c>
      <c r="T43" s="20">
        <v>0.3115065523830281</v>
      </c>
      <c r="U43" s="20">
        <v>0.31400304038958804</v>
      </c>
      <c r="V43" s="20">
        <v>0.31328784922911818</v>
      </c>
      <c r="W43" s="20">
        <v>0.31248614374031874</v>
      </c>
      <c r="X43" s="29">
        <f t="shared" si="8"/>
        <v>8.327102784065468E-4</v>
      </c>
      <c r="Y43" s="20">
        <v>-6.2698641531097749E-2</v>
      </c>
      <c r="Z43" s="20">
        <v>-6.41866805695777E-2</v>
      </c>
      <c r="AA43" s="20">
        <v>-6.4650599639616238E-2</v>
      </c>
      <c r="AB43" s="20">
        <v>-6.3866766550659995E-2</v>
      </c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3"/>
      <c r="AO43" s="3"/>
      <c r="AP43" s="3"/>
      <c r="AQ43" s="3"/>
      <c r="AR43" s="3"/>
      <c r="AS43" s="3"/>
      <c r="AT43" s="3"/>
      <c r="AU43" s="3"/>
    </row>
    <row r="44" spans="1:47" s="36" customFormat="1" x14ac:dyDescent="0.2">
      <c r="A44" s="8" t="s">
        <v>116</v>
      </c>
      <c r="B44" s="10">
        <f>AVERAGE(B16:B43)</f>
        <v>0.12868464042959529</v>
      </c>
      <c r="C44" s="10">
        <f t="shared" ref="C44:K44" si="9">AVERAGE(C16:C43)</f>
        <v>0.12645353307053075</v>
      </c>
      <c r="D44" s="10">
        <f t="shared" si="9"/>
        <v>0.16770373672195563</v>
      </c>
      <c r="E44" s="10">
        <f t="shared" si="9"/>
        <v>9.3875709171230365E-2</v>
      </c>
      <c r="F44" s="10">
        <f t="shared" si="9"/>
        <v>8.3302574594266696E-2</v>
      </c>
      <c r="G44" s="10">
        <f t="shared" si="9"/>
        <v>0.10332524712854774</v>
      </c>
      <c r="H44" s="10">
        <f t="shared" si="9"/>
        <v>9.9123508795228438E-2</v>
      </c>
      <c r="I44" s="10">
        <f t="shared" si="9"/>
        <v>9.6702133316842992E-2</v>
      </c>
      <c r="J44" s="10">
        <f t="shared" si="9"/>
        <v>9.6852095900785917E-2</v>
      </c>
      <c r="K44" s="10">
        <f t="shared" si="9"/>
        <v>9.6366923626235196E-2</v>
      </c>
      <c r="L44" s="29"/>
      <c r="M44" s="33"/>
      <c r="N44" s="33"/>
      <c r="O44" s="33"/>
      <c r="P44" s="33"/>
      <c r="Q44" s="33"/>
      <c r="R44" s="33"/>
      <c r="S44" s="29"/>
      <c r="T44" s="33"/>
      <c r="U44" s="33"/>
      <c r="V44" s="33"/>
      <c r="W44" s="33"/>
      <c r="X44" s="29"/>
      <c r="Y44" s="34"/>
      <c r="Z44" s="34"/>
      <c r="AA44" s="34"/>
      <c r="AB44" s="34"/>
      <c r="AC44" s="10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</row>
    <row r="45" spans="1:47" x14ac:dyDescent="0.2">
      <c r="A45" s="42" t="s">
        <v>197</v>
      </c>
      <c r="B45" s="7" t="s">
        <v>144</v>
      </c>
      <c r="C45" s="7" t="s">
        <v>145</v>
      </c>
      <c r="D45" s="7" t="s">
        <v>146</v>
      </c>
      <c r="E45" s="7" t="s">
        <v>147</v>
      </c>
      <c r="F45" s="7" t="s">
        <v>148</v>
      </c>
      <c r="G45" s="7" t="s">
        <v>149</v>
      </c>
      <c r="H45" s="7" t="s">
        <v>150</v>
      </c>
      <c r="I45" s="7" t="s">
        <v>41</v>
      </c>
      <c r="J45" s="7" t="s">
        <v>42</v>
      </c>
      <c r="K45" s="7" t="s">
        <v>168</v>
      </c>
      <c r="L45" s="28" t="s">
        <v>51</v>
      </c>
      <c r="M45" s="33"/>
      <c r="N45" s="33"/>
      <c r="O45" s="33"/>
      <c r="P45" s="33"/>
      <c r="Q45" s="33"/>
      <c r="R45" s="33"/>
      <c r="S45" s="29" t="s">
        <v>52</v>
      </c>
      <c r="T45" s="33"/>
      <c r="U45" s="33"/>
      <c r="V45" s="33"/>
      <c r="W45" s="33"/>
      <c r="X45" s="29" t="s">
        <v>151</v>
      </c>
      <c r="AC45" s="15"/>
      <c r="AD45" s="12"/>
      <c r="AE45" s="12"/>
      <c r="AF45" s="12"/>
      <c r="AG45" s="12"/>
      <c r="AH45" s="12"/>
      <c r="AI45" s="12"/>
      <c r="AJ45" s="12"/>
      <c r="AK45" s="12"/>
      <c r="AL45" s="15"/>
      <c r="AM45" s="15"/>
      <c r="AN45" s="1"/>
      <c r="AO45" s="1"/>
      <c r="AP45" s="1"/>
      <c r="AQ45" s="1"/>
      <c r="AR45" s="1"/>
      <c r="AS45" s="1"/>
      <c r="AT45" s="1"/>
      <c r="AU45" s="1"/>
    </row>
    <row r="46" spans="1:47" x14ac:dyDescent="0.2">
      <c r="A46" s="7" t="s">
        <v>112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29">
        <f t="shared" ref="L46:L70" si="10">STDEV(M46:R46)</f>
        <v>6.9463577533298126E-2</v>
      </c>
      <c r="M46" s="20">
        <v>-2.1193140216727486</v>
      </c>
      <c r="N46" s="20">
        <v>-2.052027414762509</v>
      </c>
      <c r="O46" s="20">
        <v>-1.9631209995906469</v>
      </c>
      <c r="P46" s="20">
        <v>-1.9631209995906469</v>
      </c>
      <c r="Q46" s="20">
        <v>-1.9827142879932653</v>
      </c>
      <c r="R46" s="20">
        <v>-1.9351604737845653</v>
      </c>
      <c r="S46" s="29">
        <f t="shared" ref="S46:S70" si="11">STDEV(T46:W46)</f>
        <v>2.5035871780005759E-3</v>
      </c>
      <c r="T46" s="20">
        <v>-5.8593620018217461E-2</v>
      </c>
      <c r="U46" s="20">
        <v>-5.3154595973731719E-2</v>
      </c>
      <c r="V46" s="20">
        <v>-5.3919514470235901E-2</v>
      </c>
      <c r="W46" s="20">
        <v>-5.3824770080918578E-2</v>
      </c>
      <c r="X46" s="29">
        <f t="shared" ref="X46:X70" si="12">STDEV(Y46:AB46)</f>
        <v>1.9852412438252395E-3</v>
      </c>
      <c r="Y46" s="20">
        <v>-1.8864539905876176</v>
      </c>
      <c r="Z46" s="20">
        <v>-1.891012532359599</v>
      </c>
      <c r="AA46" s="20">
        <v>-1.8898369732080624</v>
      </c>
      <c r="AB46" s="20">
        <v>-1.8900113134438106</v>
      </c>
      <c r="AC46" s="15"/>
      <c r="AD46" s="15"/>
      <c r="AE46" s="15"/>
      <c r="AF46" s="14"/>
      <c r="AG46" s="14"/>
      <c r="AH46" s="14"/>
      <c r="AI46" s="14"/>
      <c r="AJ46" s="14"/>
      <c r="AK46" s="14"/>
      <c r="AL46" s="15"/>
      <c r="AM46" s="4"/>
      <c r="AN46" s="1"/>
      <c r="AO46" s="1"/>
      <c r="AP46" s="1"/>
      <c r="AQ46" s="1"/>
      <c r="AR46" s="1"/>
      <c r="AS46" s="1"/>
      <c r="AT46" s="1"/>
      <c r="AU46" s="1"/>
    </row>
    <row r="47" spans="1:47" x14ac:dyDescent="0.2">
      <c r="A47" s="7" t="s">
        <v>123</v>
      </c>
      <c r="B47" s="7">
        <v>4.8968568656244771E-2</v>
      </c>
      <c r="C47" s="7">
        <v>2.9024656892137846E-2</v>
      </c>
      <c r="D47" s="7">
        <v>4.0808814876284072E-2</v>
      </c>
      <c r="E47" s="7">
        <v>3.240264079160371E-2</v>
      </c>
      <c r="F47" s="7">
        <v>4.0385031157454621E-2</v>
      </c>
      <c r="G47" s="7">
        <v>3.1967001096275927E-2</v>
      </c>
      <c r="H47" s="7">
        <v>1.3924616688833713E-2</v>
      </c>
      <c r="I47" s="7">
        <v>5.2195641268585669E-2</v>
      </c>
      <c r="J47" s="7">
        <v>6.9219462251725372E-2</v>
      </c>
      <c r="K47" s="7">
        <v>2.7499875761429426E-2</v>
      </c>
      <c r="L47" s="29">
        <f t="shared" si="10"/>
        <v>6.6742757852729317E-2</v>
      </c>
      <c r="M47" s="20">
        <v>-2.2184528037417155</v>
      </c>
      <c r="N47" s="20">
        <v>-2.1706908936472633</v>
      </c>
      <c r="O47" s="20">
        <v>-2.0737642943058008</v>
      </c>
      <c r="P47" s="20">
        <v>-2.0737642943058008</v>
      </c>
      <c r="Q47" s="20">
        <v>-2.0879402079934257</v>
      </c>
      <c r="R47" s="20">
        <v>-2.0488044238459042</v>
      </c>
      <c r="S47" s="29">
        <f t="shared" si="11"/>
        <v>3.0471773670957504E-3</v>
      </c>
      <c r="T47" s="20">
        <v>-5.9333593893405957E-2</v>
      </c>
      <c r="U47" s="20">
        <v>-5.3647817557795505E-2</v>
      </c>
      <c r="V47" s="20">
        <v>-5.4517706460139946E-2</v>
      </c>
      <c r="W47" s="20">
        <v>-5.2350378880868381E-2</v>
      </c>
      <c r="X47" s="29">
        <f t="shared" si="12"/>
        <v>3.9795794398084176E-3</v>
      </c>
      <c r="Y47" s="20">
        <v>-1.7531066659872176</v>
      </c>
      <c r="Z47" s="20">
        <v>-1.7583311749986426</v>
      </c>
      <c r="AA47" s="20">
        <v>-1.7616928457114009</v>
      </c>
      <c r="AB47" s="20">
        <v>-1.7613747534862461</v>
      </c>
      <c r="AC47" s="15"/>
      <c r="AD47" s="15"/>
      <c r="AE47" s="15"/>
      <c r="AF47" s="14"/>
      <c r="AG47" s="14"/>
      <c r="AH47" s="14"/>
      <c r="AI47" s="14"/>
      <c r="AJ47" s="14"/>
      <c r="AK47" s="14"/>
      <c r="AL47" s="15"/>
      <c r="AM47" s="4"/>
      <c r="AN47" s="1"/>
      <c r="AO47" s="1"/>
      <c r="AP47" s="1"/>
      <c r="AQ47" s="1"/>
      <c r="AR47" s="1"/>
      <c r="AS47" s="1"/>
      <c r="AT47" s="1"/>
      <c r="AU47" s="1"/>
    </row>
    <row r="48" spans="1:47" x14ac:dyDescent="0.2">
      <c r="A48" s="6" t="s">
        <v>124</v>
      </c>
      <c r="B48" s="7">
        <v>2.1021391894186281E-2</v>
      </c>
      <c r="C48" s="7">
        <v>1.3254395492424575E-2</v>
      </c>
      <c r="D48" s="7">
        <v>1.3947759088945522E-2</v>
      </c>
      <c r="E48" s="7">
        <v>1.0954924277025602E-2</v>
      </c>
      <c r="F48" s="7">
        <v>1.2732882293943093E-2</v>
      </c>
      <c r="G48" s="7">
        <v>9.4784677404115003E-3</v>
      </c>
      <c r="H48" s="7">
        <v>1.2799155246172478E-2</v>
      </c>
      <c r="I48" s="7">
        <v>8.3566699997846827E-3</v>
      </c>
      <c r="J48" s="7">
        <v>1.671308546006911E-2</v>
      </c>
      <c r="K48" s="7">
        <v>4.1982734751920825E-3</v>
      </c>
      <c r="L48" s="29">
        <f t="shared" si="10"/>
        <v>6.5377759456116111E-2</v>
      </c>
      <c r="M48" s="20">
        <v>-2.0207675838812431</v>
      </c>
      <c r="N48" s="20">
        <v>-1.9618369897026846</v>
      </c>
      <c r="O48" s="20">
        <v>-1.8750395691939585</v>
      </c>
      <c r="P48" s="20">
        <v>-1.8750395691939585</v>
      </c>
      <c r="Q48" s="20">
        <v>-1.8932524488706266</v>
      </c>
      <c r="R48" s="20">
        <v>-1.848953049215458</v>
      </c>
      <c r="S48" s="29">
        <f t="shared" si="11"/>
        <v>2.1267939905585771E-3</v>
      </c>
      <c r="T48" s="20">
        <v>-6.4257289873658058E-2</v>
      </c>
      <c r="U48" s="20">
        <v>-6.0228038297074342E-2</v>
      </c>
      <c r="V48" s="20">
        <v>-6.0089410205293584E-2</v>
      </c>
      <c r="W48" s="20">
        <v>-5.9750531252268299E-2</v>
      </c>
      <c r="X48" s="29">
        <f t="shared" si="12"/>
        <v>1.2566611625630746E-3</v>
      </c>
      <c r="Y48" s="20">
        <v>-1.8768153666294962</v>
      </c>
      <c r="Z48" s="20">
        <v>-1.8793751196036557</v>
      </c>
      <c r="AA48" s="20">
        <v>-1.8792935835926676</v>
      </c>
      <c r="AB48" s="20">
        <v>-1.8793145091011567</v>
      </c>
      <c r="AC48" s="15"/>
      <c r="AD48" s="15"/>
      <c r="AE48" s="15"/>
      <c r="AF48" s="14"/>
      <c r="AG48" s="14"/>
      <c r="AH48" s="14"/>
      <c r="AI48" s="14"/>
      <c r="AJ48" s="14"/>
      <c r="AK48" s="14"/>
      <c r="AL48" s="15"/>
      <c r="AM48" s="4"/>
      <c r="AN48" s="1"/>
      <c r="AO48" s="1"/>
      <c r="AP48" s="1"/>
      <c r="AQ48" s="1"/>
      <c r="AR48" s="1"/>
      <c r="AS48" s="1"/>
      <c r="AT48" s="1"/>
      <c r="AU48" s="1"/>
    </row>
    <row r="49" spans="1:47" x14ac:dyDescent="0.2">
      <c r="A49" s="7" t="s">
        <v>125</v>
      </c>
      <c r="B49" s="7">
        <v>4.2251650892892068E-2</v>
      </c>
      <c r="C49" s="7">
        <v>2.6412186481364008E-2</v>
      </c>
      <c r="D49" s="7">
        <v>3.8087216170865412E-2</v>
      </c>
      <c r="E49" s="7">
        <v>2.6658323794085836E-2</v>
      </c>
      <c r="F49" s="7">
        <v>3.1318442720661421E-2</v>
      </c>
      <c r="G49" s="7">
        <v>1.9381000621304212E-2</v>
      </c>
      <c r="H49" s="7">
        <v>3.5451510931457042E-2</v>
      </c>
      <c r="I49" s="7">
        <v>1.6946150347803668E-2</v>
      </c>
      <c r="J49" s="7">
        <v>3.2589856487902802E-2</v>
      </c>
      <c r="K49" s="7">
        <v>1.040702142953287E-2</v>
      </c>
      <c r="L49" s="29">
        <f t="shared" si="10"/>
        <v>6.2845519817234866E-2</v>
      </c>
      <c r="M49" s="20">
        <v>-2.0700393496903069</v>
      </c>
      <c r="N49" s="20">
        <v>-2.0179932423986551</v>
      </c>
      <c r="O49" s="20">
        <v>-1.9298449973165659</v>
      </c>
      <c r="P49" s="20">
        <v>-1.9298449973165659</v>
      </c>
      <c r="Q49" s="20">
        <v>-1.9452154146815575</v>
      </c>
      <c r="R49" s="20">
        <v>-1.9095990425722142</v>
      </c>
      <c r="S49" s="29">
        <f t="shared" si="11"/>
        <v>1.7466250120321426E-3</v>
      </c>
      <c r="T49" s="20">
        <v>-5.9403178695454313E-2</v>
      </c>
      <c r="U49" s="20">
        <v>-5.7388800527287974E-2</v>
      </c>
      <c r="V49" s="20">
        <v>-5.5823384726248655E-2</v>
      </c>
      <c r="W49" s="20">
        <v>-5.5637213008885286E-2</v>
      </c>
      <c r="X49" s="29">
        <f t="shared" si="12"/>
        <v>8.9128388962913055E-4</v>
      </c>
      <c r="Y49" s="20">
        <v>-1.792167452999931</v>
      </c>
      <c r="Z49" s="20">
        <v>-1.7939003136885321</v>
      </c>
      <c r="AA49" s="20">
        <v>-1.7940507814320448</v>
      </c>
      <c r="AB49" s="20">
        <v>-1.7938793011068908</v>
      </c>
      <c r="AC49" s="15"/>
      <c r="AD49" s="15"/>
      <c r="AE49" s="15"/>
      <c r="AF49" s="14"/>
      <c r="AG49" s="14"/>
      <c r="AH49" s="14"/>
      <c r="AI49" s="14"/>
      <c r="AJ49" s="14"/>
      <c r="AK49" s="14"/>
      <c r="AL49" s="15"/>
      <c r="AM49" s="4"/>
      <c r="AN49" s="1"/>
      <c r="AO49" s="1"/>
      <c r="AP49" s="1"/>
      <c r="AQ49" s="1"/>
      <c r="AR49" s="1"/>
      <c r="AS49" s="1"/>
      <c r="AT49" s="1"/>
      <c r="AU49" s="1"/>
    </row>
    <row r="50" spans="1:47" x14ac:dyDescent="0.2">
      <c r="A50" s="7" t="s">
        <v>126</v>
      </c>
      <c r="B50" s="7">
        <v>8.4960143473560734E-2</v>
      </c>
      <c r="C50" s="7">
        <v>6.3469918257329727E-2</v>
      </c>
      <c r="D50" s="7">
        <v>6.498424479849696E-2</v>
      </c>
      <c r="E50" s="7">
        <v>6.2161475323896376E-2</v>
      </c>
      <c r="F50" s="7">
        <v>6.3420350111738966E-2</v>
      </c>
      <c r="G50" s="7">
        <v>6.065796800820733E-2</v>
      </c>
      <c r="H50" s="7">
        <v>3.1478241523568595E-2</v>
      </c>
      <c r="I50" s="7">
        <v>7.6120569174873864E-2</v>
      </c>
      <c r="J50" s="7">
        <v>8.0720815022377934E-2</v>
      </c>
      <c r="K50" s="7">
        <v>6.2495344665031372E-2</v>
      </c>
      <c r="L50" s="29">
        <f t="shared" si="10"/>
        <v>6.104503953734805E-2</v>
      </c>
      <c r="M50" s="20">
        <v>-1.9190227025089808</v>
      </c>
      <c r="N50" s="20">
        <v>-1.8744443432380014</v>
      </c>
      <c r="O50" s="20">
        <v>-1.7870445157046049</v>
      </c>
      <c r="P50" s="20">
        <v>-1.7870445157046049</v>
      </c>
      <c r="Q50" s="20">
        <v>-1.8055221534066304</v>
      </c>
      <c r="R50" s="20">
        <v>-1.7607307213014618</v>
      </c>
      <c r="S50" s="29">
        <f t="shared" si="11"/>
        <v>3.225945206152314E-3</v>
      </c>
      <c r="T50" s="20">
        <v>-7.0216101921115368E-2</v>
      </c>
      <c r="U50" s="20">
        <v>-6.344641417265004E-2</v>
      </c>
      <c r="V50" s="20">
        <v>-6.3742636651489687E-2</v>
      </c>
      <c r="W50" s="20">
        <v>-6.4190875194519686E-2</v>
      </c>
      <c r="X50" s="29">
        <f t="shared" si="12"/>
        <v>2.0347631046586361E-3</v>
      </c>
      <c r="Y50" s="20">
        <v>-1.8916626843749271</v>
      </c>
      <c r="Z50" s="20">
        <v>-1.8963338674278583</v>
      </c>
      <c r="AA50" s="20">
        <v>-1.8954288595889544</v>
      </c>
      <c r="AB50" s="20">
        <v>-1.8949169928051057</v>
      </c>
      <c r="AC50" s="15"/>
      <c r="AD50" s="15"/>
      <c r="AE50" s="15"/>
      <c r="AF50" s="14"/>
      <c r="AG50" s="14"/>
      <c r="AH50" s="14"/>
      <c r="AI50" s="14"/>
      <c r="AJ50" s="14"/>
      <c r="AK50" s="14"/>
      <c r="AL50" s="15"/>
      <c r="AM50" s="4"/>
      <c r="AN50" s="1"/>
      <c r="AO50" s="1"/>
      <c r="AP50" s="1"/>
      <c r="AQ50" s="1"/>
      <c r="AR50" s="1"/>
      <c r="AS50" s="1"/>
      <c r="AT50" s="1"/>
      <c r="AU50" s="1"/>
    </row>
    <row r="51" spans="1:47" x14ac:dyDescent="0.2">
      <c r="A51" s="7" t="s">
        <v>127</v>
      </c>
      <c r="B51" s="7">
        <v>4.74110435509143E-2</v>
      </c>
      <c r="C51" s="7">
        <v>3.4943486748751695E-2</v>
      </c>
      <c r="D51" s="7">
        <v>3.4830151583269853E-2</v>
      </c>
      <c r="E51" s="7">
        <v>2.8962644415739813E-2</v>
      </c>
      <c r="F51" s="7">
        <v>3.2456328149483848E-2</v>
      </c>
      <c r="G51" s="7">
        <v>2.6073351417853718E-2</v>
      </c>
      <c r="H51" s="7">
        <v>7.8177927837836947E-3</v>
      </c>
      <c r="I51" s="7">
        <v>2.6725035427547006E-2</v>
      </c>
      <c r="J51" s="7">
        <v>3.2968001727546437E-2</v>
      </c>
      <c r="K51" s="7">
        <v>2.0978259461711612E-2</v>
      </c>
      <c r="L51" s="29">
        <f t="shared" si="10"/>
        <v>6.164641257792966E-2</v>
      </c>
      <c r="M51" s="20">
        <v>-1.9290227391160499</v>
      </c>
      <c r="N51" s="20">
        <v>-1.876483391190134</v>
      </c>
      <c r="O51" s="20">
        <v>-1.7924382165685502</v>
      </c>
      <c r="P51" s="20">
        <v>-1.7924382165685502</v>
      </c>
      <c r="Q51" s="20">
        <v>-1.809416755186158</v>
      </c>
      <c r="R51" s="20">
        <v>-1.7682459177090879</v>
      </c>
      <c r="S51" s="29">
        <f t="shared" si="11"/>
        <v>2.169482789089881E-3</v>
      </c>
      <c r="T51" s="20">
        <v>-7.2084640992316235E-2</v>
      </c>
      <c r="U51" s="20">
        <v>-6.8067980096411268E-2</v>
      </c>
      <c r="V51" s="20">
        <v>-6.8015973811296412E-2</v>
      </c>
      <c r="W51" s="20">
        <v>-6.7316468616330158E-2</v>
      </c>
      <c r="X51" s="29">
        <f t="shared" si="12"/>
        <v>7.4604269025044993E-4</v>
      </c>
      <c r="Y51" s="20">
        <v>-1.8628432086193034</v>
      </c>
      <c r="Z51" s="20">
        <v>-1.8636996850605425</v>
      </c>
      <c r="AA51" s="20">
        <v>-1.8644606524733589</v>
      </c>
      <c r="AB51" s="20">
        <v>-1.8643608195660226</v>
      </c>
      <c r="AC51" s="15"/>
      <c r="AD51" s="15"/>
      <c r="AE51" s="15"/>
      <c r="AF51" s="14"/>
      <c r="AG51" s="14"/>
      <c r="AH51" s="14"/>
      <c r="AI51" s="14"/>
      <c r="AJ51" s="14"/>
      <c r="AK51" s="14"/>
      <c r="AL51" s="15"/>
      <c r="AM51" s="4"/>
      <c r="AN51" s="1"/>
      <c r="AO51" s="1"/>
      <c r="AP51" s="1"/>
      <c r="AQ51" s="1"/>
      <c r="AR51" s="1"/>
      <c r="AS51" s="1"/>
      <c r="AT51" s="1"/>
      <c r="AU51" s="1"/>
    </row>
    <row r="52" spans="1:47" x14ac:dyDescent="0.2">
      <c r="A52" s="7" t="s">
        <v>128</v>
      </c>
      <c r="B52" s="7">
        <v>1.6871747854565022E-2</v>
      </c>
      <c r="C52" s="7">
        <v>3.4629248736044449E-2</v>
      </c>
      <c r="D52" s="7">
        <v>2.1693319735598848E-2</v>
      </c>
      <c r="E52" s="7">
        <v>1.6351010179912251E-2</v>
      </c>
      <c r="F52" s="7">
        <v>2.031264978245817E-2</v>
      </c>
      <c r="G52" s="7">
        <v>1.4440497642067562E-2</v>
      </c>
      <c r="H52" s="7">
        <v>7.1876019115624246E-3</v>
      </c>
      <c r="I52" s="7">
        <v>8.438778777958067E-3</v>
      </c>
      <c r="J52" s="7">
        <v>3.3180806258798157E-2</v>
      </c>
      <c r="K52" s="7">
        <v>1.0855949855854696E-2</v>
      </c>
      <c r="L52" s="29">
        <f t="shared" si="10"/>
        <v>6.2977125768091571E-2</v>
      </c>
      <c r="M52" s="20">
        <v>-1.9533000107781895</v>
      </c>
      <c r="N52" s="20">
        <v>-1.8994177105144547</v>
      </c>
      <c r="O52" s="20">
        <v>-1.8146707966473441</v>
      </c>
      <c r="P52" s="20">
        <v>-1.8146707966473441</v>
      </c>
      <c r="Q52" s="20">
        <v>-1.8298981341472935</v>
      </c>
      <c r="R52" s="20">
        <v>-1.7882164720789837</v>
      </c>
      <c r="S52" s="29">
        <f t="shared" si="11"/>
        <v>1.4653548425236395E-2</v>
      </c>
      <c r="T52" s="20">
        <v>-7.3789988311123017E-2</v>
      </c>
      <c r="U52" s="20">
        <v>-3.8191178389307072E-2</v>
      </c>
      <c r="V52" s="20">
        <v>-5.2745568949268261E-2</v>
      </c>
      <c r="W52" s="20">
        <v>-5.2741968889811336E-2</v>
      </c>
      <c r="X52" s="29">
        <f t="shared" si="12"/>
        <v>1.6150919620626634E-3</v>
      </c>
      <c r="Y52" s="20">
        <v>-1.8563998853347063</v>
      </c>
      <c r="Z52" s="20">
        <v>-1.8599564054560331</v>
      </c>
      <c r="AA52" s="20">
        <v>-1.8591101114924204</v>
      </c>
      <c r="AB52" s="20">
        <v>-1.8595976186984318</v>
      </c>
      <c r="AC52" s="15"/>
      <c r="AD52" s="15"/>
      <c r="AE52" s="15"/>
      <c r="AF52" s="14"/>
      <c r="AG52" s="14"/>
      <c r="AH52" s="14"/>
      <c r="AI52" s="14"/>
      <c r="AJ52" s="14"/>
      <c r="AK52" s="14"/>
      <c r="AL52" s="15"/>
      <c r="AM52" s="4"/>
      <c r="AN52" s="1"/>
      <c r="AO52" s="1"/>
      <c r="AP52" s="1"/>
      <c r="AQ52" s="1"/>
      <c r="AR52" s="1"/>
      <c r="AS52" s="1"/>
      <c r="AT52" s="1"/>
      <c r="AU52" s="1"/>
    </row>
    <row r="53" spans="1:47" x14ac:dyDescent="0.2">
      <c r="A53" s="7" t="s">
        <v>129</v>
      </c>
      <c r="B53" s="7">
        <v>3.6775357805917563E-2</v>
      </c>
      <c r="C53" s="7">
        <v>5.4889291660926043E-2</v>
      </c>
      <c r="D53" s="7">
        <v>3.6441548323803863E-2</v>
      </c>
      <c r="E53" s="7">
        <v>2.844834418179798E-2</v>
      </c>
      <c r="F53" s="7">
        <v>3.3127862064086466E-2</v>
      </c>
      <c r="G53" s="7">
        <v>2.4350841160983849E-2</v>
      </c>
      <c r="H53" s="7">
        <v>8.0943223840639345E-3</v>
      </c>
      <c r="I53" s="7">
        <v>2.4223026845358264E-2</v>
      </c>
      <c r="J53" s="7">
        <v>3.7002806384597742E-2</v>
      </c>
      <c r="K53" s="7">
        <v>2.0493614133383575E-2</v>
      </c>
      <c r="L53" s="29">
        <f t="shared" si="10"/>
        <v>5.9719132401671988E-2</v>
      </c>
      <c r="M53" s="20">
        <v>-1.8615322241453345</v>
      </c>
      <c r="N53" s="20">
        <v>-1.814063434442138</v>
      </c>
      <c r="O53" s="20">
        <v>-1.7311678457621376</v>
      </c>
      <c r="P53" s="20">
        <v>-1.7311678457621376</v>
      </c>
      <c r="Q53" s="20">
        <v>-1.7452402421290647</v>
      </c>
      <c r="R53" s="20">
        <v>-1.7064634488234671</v>
      </c>
      <c r="S53" s="29">
        <f t="shared" si="11"/>
        <v>1.6268133138103411E-2</v>
      </c>
      <c r="T53" s="20">
        <v>-7.5097258438352341E-2</v>
      </c>
      <c r="U53" s="20">
        <v>-3.5252181184458602E-2</v>
      </c>
      <c r="V53" s="20">
        <v>-5.4787136670941233E-2</v>
      </c>
      <c r="W53" s="20">
        <v>-5.5279988180573544E-2</v>
      </c>
      <c r="X53" s="29">
        <f t="shared" si="12"/>
        <v>8.3691212292269469E-4</v>
      </c>
      <c r="Y53" s="20">
        <v>-1.8414567918889797</v>
      </c>
      <c r="Z53" s="20">
        <v>-1.8424896358083169</v>
      </c>
      <c r="AA53" s="20">
        <v>-1.8429741606540686</v>
      </c>
      <c r="AB53" s="20">
        <v>-1.8434022791442701</v>
      </c>
      <c r="AC53" s="15"/>
      <c r="AD53" s="15"/>
      <c r="AE53" s="15"/>
      <c r="AF53" s="14"/>
      <c r="AG53" s="14"/>
      <c r="AH53" s="14"/>
      <c r="AI53" s="14"/>
      <c r="AJ53" s="14"/>
      <c r="AK53" s="14"/>
      <c r="AL53" s="15"/>
      <c r="AM53" s="4"/>
      <c r="AN53" s="1"/>
      <c r="AO53" s="1"/>
      <c r="AP53" s="1"/>
      <c r="AQ53" s="1"/>
      <c r="AR53" s="1"/>
      <c r="AS53" s="1"/>
      <c r="AT53" s="1"/>
      <c r="AU53" s="1"/>
    </row>
    <row r="54" spans="1:47" x14ac:dyDescent="0.2">
      <c r="A54" s="7" t="s">
        <v>130</v>
      </c>
      <c r="B54" s="7">
        <v>0.13631626919343853</v>
      </c>
      <c r="C54" s="7">
        <v>0.1011239229845553</v>
      </c>
      <c r="D54" s="7">
        <v>0.10187506711718664</v>
      </c>
      <c r="E54" s="7">
        <v>9.5989464419929948E-2</v>
      </c>
      <c r="F54" s="7">
        <v>9.9225742622540025E-2</v>
      </c>
      <c r="G54" s="7">
        <v>9.3339263719689924E-2</v>
      </c>
      <c r="H54" s="7">
        <v>3.5928906379196768E-2</v>
      </c>
      <c r="I54" s="7">
        <v>0.1149685632905606</v>
      </c>
      <c r="J54" s="7">
        <v>0.1112131637569278</v>
      </c>
      <c r="K54" s="7">
        <v>0.10152540975369151</v>
      </c>
      <c r="L54" s="29">
        <f t="shared" si="10"/>
        <v>5.4062347486702536E-2</v>
      </c>
      <c r="M54" s="20">
        <v>-1.7391785658319798</v>
      </c>
      <c r="N54" s="20">
        <v>-1.7102274389689658</v>
      </c>
      <c r="O54" s="20">
        <v>-1.6269009535212802</v>
      </c>
      <c r="P54" s="20">
        <v>-1.6269009535212802</v>
      </c>
      <c r="Q54" s="20">
        <v>-1.6435229421557354</v>
      </c>
      <c r="R54" s="20">
        <v>-1.6018556068498853</v>
      </c>
      <c r="S54" s="29">
        <f t="shared" si="11"/>
        <v>4.1280662964522288E-3</v>
      </c>
      <c r="T54" s="20">
        <v>-8.2596718538819267E-2</v>
      </c>
      <c r="U54" s="20">
        <v>-7.4558991228798208E-2</v>
      </c>
      <c r="V54" s="20">
        <v>-7.3849997443830862E-2</v>
      </c>
      <c r="W54" s="20">
        <v>-7.4716147510740058E-2</v>
      </c>
      <c r="X54" s="29">
        <f t="shared" si="12"/>
        <v>1.8609511659532774E-3</v>
      </c>
      <c r="Y54" s="20">
        <v>-1.8957700787143463</v>
      </c>
      <c r="Z54" s="20">
        <v>-1.8997841899135199</v>
      </c>
      <c r="AA54" s="20">
        <v>-1.899637071883904</v>
      </c>
      <c r="AB54" s="20">
        <v>-1.8985855392289792</v>
      </c>
      <c r="AC54" s="15"/>
      <c r="AD54" s="15"/>
      <c r="AE54" s="15"/>
      <c r="AF54" s="14"/>
      <c r="AG54" s="14"/>
      <c r="AH54" s="14"/>
      <c r="AI54" s="14"/>
      <c r="AJ54" s="14"/>
      <c r="AK54" s="14"/>
      <c r="AL54" s="15"/>
      <c r="AM54" s="4"/>
      <c r="AN54" s="1"/>
      <c r="AO54" s="1"/>
      <c r="AP54" s="1"/>
      <c r="AQ54" s="1"/>
      <c r="AR54" s="1"/>
      <c r="AS54" s="1"/>
      <c r="AT54" s="1"/>
      <c r="AU54" s="1"/>
    </row>
    <row r="55" spans="1:47" x14ac:dyDescent="0.2">
      <c r="A55" s="7" t="s">
        <v>131</v>
      </c>
      <c r="B55" s="7">
        <v>4.5414851356221586E-2</v>
      </c>
      <c r="C55" s="7">
        <v>8.6004947467519521E-2</v>
      </c>
      <c r="D55" s="7">
        <v>5.1106940715787363E-2</v>
      </c>
      <c r="E55" s="7">
        <v>4.0955358799176445E-2</v>
      </c>
      <c r="F55" s="7">
        <v>4.3910342661384938E-2</v>
      </c>
      <c r="G55" s="7">
        <v>3.2681684819536816E-2</v>
      </c>
      <c r="H55" s="7">
        <v>9.5915911239586649E-2</v>
      </c>
      <c r="I55" s="7">
        <v>0.10491659018310884</v>
      </c>
      <c r="J55" s="7">
        <v>8.1578652729584089E-2</v>
      </c>
      <c r="K55" s="7">
        <v>6.5630302203495194E-2</v>
      </c>
      <c r="L55" s="29">
        <f t="shared" si="10"/>
        <v>5.7814151648963807E-2</v>
      </c>
      <c r="M55" s="20">
        <v>-1.7995177705538667</v>
      </c>
      <c r="N55" s="20">
        <v>-1.7565947006466129</v>
      </c>
      <c r="O55" s="20">
        <v>-1.6750561434467659</v>
      </c>
      <c r="P55" s="20">
        <v>-1.6750561434467659</v>
      </c>
      <c r="Q55" s="20">
        <v>-1.6864795527408525</v>
      </c>
      <c r="R55" s="20">
        <v>-1.6501543963740002</v>
      </c>
      <c r="S55" s="29">
        <f t="shared" si="11"/>
        <v>2.7652890847817965E-2</v>
      </c>
      <c r="T55" s="20">
        <v>-6.8857211911062158E-2</v>
      </c>
      <c r="U55" s="20">
        <v>-1.8011012481074944E-3</v>
      </c>
      <c r="V55" s="20">
        <v>-3.9064885042496396E-2</v>
      </c>
      <c r="W55" s="20">
        <v>-4.3548862343197818E-2</v>
      </c>
      <c r="X55" s="29">
        <f t="shared" si="12"/>
        <v>8.4118551332322913E-4</v>
      </c>
      <c r="Y55" s="20">
        <v>-1.8190717984574336</v>
      </c>
      <c r="Z55" s="20">
        <v>-1.8202937937335992</v>
      </c>
      <c r="AA55" s="20">
        <v>-1.8203010999805063</v>
      </c>
      <c r="AB55" s="20">
        <v>-1.8211116137725594</v>
      </c>
      <c r="AC55" s="15"/>
      <c r="AD55" s="15"/>
      <c r="AE55" s="15"/>
      <c r="AF55" s="14"/>
      <c r="AG55" s="14"/>
      <c r="AH55" s="14"/>
      <c r="AI55" s="14"/>
      <c r="AJ55" s="14"/>
      <c r="AK55" s="14"/>
      <c r="AL55" s="15"/>
      <c r="AM55" s="4"/>
      <c r="AN55" s="1"/>
      <c r="AO55" s="1"/>
      <c r="AP55" s="1"/>
      <c r="AQ55" s="1"/>
      <c r="AR55" s="1"/>
      <c r="AS55" s="1"/>
      <c r="AT55" s="1"/>
      <c r="AU55" s="1"/>
    </row>
    <row r="56" spans="1:47" x14ac:dyDescent="0.2">
      <c r="A56" s="7" t="s">
        <v>106</v>
      </c>
      <c r="B56" s="7">
        <v>6.674646834315956E-2</v>
      </c>
      <c r="C56" s="7">
        <v>0.11405202548823512</v>
      </c>
      <c r="D56" s="7">
        <v>0.12319846460867234</v>
      </c>
      <c r="E56" s="7">
        <v>0.1277201595339772</v>
      </c>
      <c r="F56" s="7">
        <v>8.6828858552265853E-2</v>
      </c>
      <c r="G56" s="7">
        <v>9.2339388511609943E-2</v>
      </c>
      <c r="H56" s="7">
        <v>6.5378691133005873E-2</v>
      </c>
      <c r="I56" s="7">
        <v>6.4471207063457658E-2</v>
      </c>
      <c r="J56" s="7">
        <v>5.89674091690644E-2</v>
      </c>
      <c r="K56" s="7">
        <v>0.10945858518878326</v>
      </c>
      <c r="L56" s="29">
        <f t="shared" si="10"/>
        <v>5.7413790509138196E-2</v>
      </c>
      <c r="M56" s="20">
        <v>-3.8056839780835543</v>
      </c>
      <c r="N56" s="20">
        <v>-3.7830613835306255</v>
      </c>
      <c r="O56" s="20">
        <v>-3.7126780435317057</v>
      </c>
      <c r="P56" s="20">
        <v>-3.7126780435317057</v>
      </c>
      <c r="Q56" s="20">
        <v>-3.6939182570500395</v>
      </c>
      <c r="R56" s="20">
        <v>-3.6518749728006834</v>
      </c>
      <c r="S56" s="29">
        <f t="shared" si="11"/>
        <v>2.4508839935276261E-3</v>
      </c>
      <c r="T56" s="20">
        <v>-2.923210011565628E-2</v>
      </c>
      <c r="U56" s="20">
        <v>-2.9751420086320039E-2</v>
      </c>
      <c r="V56" s="20">
        <v>-2.5695270112157949E-2</v>
      </c>
      <c r="W56" s="20">
        <v>-2.4904264118418229E-2</v>
      </c>
      <c r="X56" s="29">
        <f t="shared" si="12"/>
        <v>1.1810435500940579E-3</v>
      </c>
      <c r="Y56" s="20">
        <v>-1.3146920224225331</v>
      </c>
      <c r="Z56" s="20">
        <v>-1.315933764967129</v>
      </c>
      <c r="AA56" s="20">
        <v>-1.3147243331590586</v>
      </c>
      <c r="AB56" s="20">
        <v>-1.313056708901803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4"/>
      <c r="AN56" s="1"/>
      <c r="AO56" s="1"/>
      <c r="AP56" s="1"/>
      <c r="AQ56" s="1"/>
      <c r="AR56" s="1"/>
      <c r="AS56" s="1"/>
      <c r="AT56" s="1"/>
      <c r="AU56" s="1"/>
    </row>
    <row r="57" spans="1:47" x14ac:dyDescent="0.2">
      <c r="A57" s="7" t="s">
        <v>132</v>
      </c>
      <c r="B57" s="7">
        <v>2.8638497059630064E-2</v>
      </c>
      <c r="C57" s="7">
        <v>6.000138539785671E-2</v>
      </c>
      <c r="D57" s="7">
        <v>5.7645701023412821E-2</v>
      </c>
      <c r="E57" s="7">
        <v>5.6008890870909545E-2</v>
      </c>
      <c r="F57" s="7">
        <v>3.5911188868164468E-2</v>
      </c>
      <c r="G57" s="7">
        <v>3.4784797857503102E-2</v>
      </c>
      <c r="H57" s="7">
        <v>0.32093026019793958</v>
      </c>
      <c r="I57" s="7">
        <v>1.6468564123264473E-2</v>
      </c>
      <c r="J57" s="7">
        <v>4.873554378817313E-2</v>
      </c>
      <c r="K57" s="7">
        <v>4.4488639193676294E-2</v>
      </c>
      <c r="L57" s="29">
        <f t="shared" si="10"/>
        <v>6.5826854718121788E-2</v>
      </c>
      <c r="M57" s="20">
        <v>-2.8940773528351595</v>
      </c>
      <c r="N57" s="20">
        <v>-2.8519254110489007</v>
      </c>
      <c r="O57" s="20">
        <v>-2.7673349704639243</v>
      </c>
      <c r="P57" s="20">
        <v>-2.7673349704639243</v>
      </c>
      <c r="Q57" s="20">
        <v>-2.7650072919911053</v>
      </c>
      <c r="R57" s="20">
        <v>-2.7163270867717442</v>
      </c>
      <c r="S57" s="29">
        <f t="shared" si="11"/>
        <v>2.8321057226911549E-3</v>
      </c>
      <c r="T57" s="20">
        <v>-5.978933459909571E-2</v>
      </c>
      <c r="U57" s="20">
        <v>-5.5427127978091018E-2</v>
      </c>
      <c r="V57" s="20">
        <v>-5.3218526258296227E-2</v>
      </c>
      <c r="W57" s="20">
        <v>-5.4638696174418529E-2</v>
      </c>
      <c r="X57" s="29">
        <f t="shared" si="12"/>
        <v>4.0520762657580136E-3</v>
      </c>
      <c r="Y57" s="20">
        <v>-1.6436334419039591</v>
      </c>
      <c r="Z57" s="20">
        <v>-1.6533433894667044</v>
      </c>
      <c r="AA57" s="20">
        <v>-1.6468328814176345</v>
      </c>
      <c r="AB57" s="20">
        <v>-1.6473155722206352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4"/>
      <c r="AN57" s="1"/>
      <c r="AO57" s="1"/>
      <c r="AP57" s="1"/>
      <c r="AQ57" s="1"/>
      <c r="AR57" s="1"/>
      <c r="AS57" s="1"/>
      <c r="AT57" s="1"/>
      <c r="AU57" s="1"/>
    </row>
    <row r="58" spans="1:47" x14ac:dyDescent="0.2">
      <c r="A58" s="7" t="s">
        <v>133</v>
      </c>
      <c r="B58" s="7">
        <v>3.7436998999799131E-2</v>
      </c>
      <c r="C58" s="7">
        <v>1.2537360799399488E-2</v>
      </c>
      <c r="D58" s="7">
        <v>1.0812756034027204E-2</v>
      </c>
      <c r="E58" s="7">
        <v>7.6979600636055689E-3</v>
      </c>
      <c r="F58" s="7">
        <v>2.5618187384419899E-2</v>
      </c>
      <c r="G58" s="7">
        <v>2.4090725941837698E-2</v>
      </c>
      <c r="H58" s="7">
        <v>4.6861777317602327E-2</v>
      </c>
      <c r="I58" s="7">
        <v>3.1337512566463888E-2</v>
      </c>
      <c r="J58" s="7">
        <v>9.4814104097562302E-2</v>
      </c>
      <c r="K58" s="7">
        <v>9.316008009793153E-3</v>
      </c>
      <c r="L58" s="29">
        <f t="shared" si="10"/>
        <v>6.3227814817431297E-2</v>
      </c>
      <c r="M58" s="20">
        <v>-2.6532640148502855</v>
      </c>
      <c r="N58" s="20">
        <v>-2.6041794275793211</v>
      </c>
      <c r="O58" s="20">
        <v>-2.5232385181424548</v>
      </c>
      <c r="P58" s="20">
        <v>-2.5232385181424548</v>
      </c>
      <c r="Q58" s="20">
        <v>-2.5286465702621959</v>
      </c>
      <c r="R58" s="20">
        <v>-2.4826202174960779</v>
      </c>
      <c r="S58" s="29">
        <f t="shared" si="11"/>
        <v>2.4455647073067755E-3</v>
      </c>
      <c r="T58" s="20">
        <v>-5.184353802594184E-2</v>
      </c>
      <c r="U58" s="20">
        <v>-5.0991815410990696E-2</v>
      </c>
      <c r="V58" s="20">
        <v>-4.7410802374343419E-2</v>
      </c>
      <c r="W58" s="20">
        <v>-4.7054119052160483E-2</v>
      </c>
      <c r="X58" s="29">
        <f t="shared" si="12"/>
        <v>3.1973014393955144E-3</v>
      </c>
      <c r="Y58" s="20">
        <v>-1.6428170804025575</v>
      </c>
      <c r="Z58" s="20">
        <v>-1.6494859393061279</v>
      </c>
      <c r="AA58" s="20">
        <v>-1.6495302066885411</v>
      </c>
      <c r="AB58" s="20">
        <v>-1.6462314948192185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4"/>
      <c r="AN58" s="1"/>
      <c r="AO58" s="1"/>
      <c r="AP58" s="1"/>
      <c r="AQ58" s="1"/>
      <c r="AR58" s="1"/>
      <c r="AS58" s="1"/>
      <c r="AT58" s="1"/>
      <c r="AU58" s="1"/>
    </row>
    <row r="59" spans="1:47" x14ac:dyDescent="0.2">
      <c r="A59" s="7" t="s">
        <v>114</v>
      </c>
      <c r="B59" s="7">
        <v>3.2863311837326992E-2</v>
      </c>
      <c r="C59" s="7">
        <v>1.9699233748040113E-2</v>
      </c>
      <c r="D59" s="7">
        <v>2.4259835394887685E-2</v>
      </c>
      <c r="E59" s="7">
        <v>3.0586694223116717E-2</v>
      </c>
      <c r="F59" s="7">
        <v>4.5659724178777616E-3</v>
      </c>
      <c r="G59" s="7">
        <v>2.0044604022619317E-3</v>
      </c>
      <c r="H59" s="7">
        <v>4.7095435955468778E-2</v>
      </c>
      <c r="I59" s="7">
        <v>6.9528110242074725E-3</v>
      </c>
      <c r="J59" s="7">
        <v>8.6188038442801373E-2</v>
      </c>
      <c r="K59" s="7">
        <v>1.6608127962713437E-2</v>
      </c>
      <c r="L59" s="29">
        <f t="shared" si="10"/>
        <v>5.5396564088753174E-2</v>
      </c>
      <c r="M59" s="20">
        <v>-2.9460350396508139</v>
      </c>
      <c r="N59" s="20">
        <v>-2.921939360041522</v>
      </c>
      <c r="O59" s="20">
        <v>-2.8510824151087335</v>
      </c>
      <c r="P59" s="20">
        <v>-2.8510824151087335</v>
      </c>
      <c r="Q59" s="20">
        <v>-2.838827912089013</v>
      </c>
      <c r="R59" s="20">
        <v>-2.797844530700452</v>
      </c>
      <c r="S59" s="29">
        <f t="shared" si="11"/>
        <v>3.8924414997106782E-3</v>
      </c>
      <c r="T59" s="20">
        <v>-4.7028077817709145E-2</v>
      </c>
      <c r="U59" s="20">
        <v>-4.9917447000929815E-2</v>
      </c>
      <c r="V59" s="20">
        <v>-4.1909325614490817E-2</v>
      </c>
      <c r="W59" s="20">
        <v>-4.219269073459167E-2</v>
      </c>
      <c r="X59" s="29">
        <f t="shared" si="12"/>
        <v>2.830877846135566E-3</v>
      </c>
      <c r="Y59" s="20">
        <v>-1.5634352029727334</v>
      </c>
      <c r="Z59" s="20">
        <v>-1.5690369698014273</v>
      </c>
      <c r="AA59" s="20">
        <v>-1.5694724407688374</v>
      </c>
      <c r="AB59" s="20">
        <v>-1.5659637962765125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4"/>
      <c r="AN59" s="1"/>
      <c r="AO59" s="1"/>
      <c r="AP59" s="1"/>
      <c r="AQ59" s="1"/>
      <c r="AR59" s="1"/>
      <c r="AS59" s="1"/>
      <c r="AT59" s="1"/>
      <c r="AU59" s="1"/>
    </row>
    <row r="60" spans="1:47" x14ac:dyDescent="0.2">
      <c r="A60" s="7" t="s">
        <v>134</v>
      </c>
      <c r="B60" s="7">
        <v>1.5472692951691402E-2</v>
      </c>
      <c r="C60" s="7">
        <v>3.6574785795085885E-2</v>
      </c>
      <c r="D60" s="7">
        <v>3.1744395669902614E-3</v>
      </c>
      <c r="E60" s="7">
        <v>1.5291802978477653E-3</v>
      </c>
      <c r="F60" s="7">
        <v>1.0482043508512784E-2</v>
      </c>
      <c r="G60" s="7">
        <v>9.607106901610929E-3</v>
      </c>
      <c r="H60" s="7">
        <v>1.996507855402363E-2</v>
      </c>
      <c r="I60" s="7">
        <v>1.7182549186626761E-2</v>
      </c>
      <c r="J60" s="7">
        <v>0.11795511822509475</v>
      </c>
      <c r="K60" s="7">
        <v>5.9637581654071736E-3</v>
      </c>
      <c r="L60" s="29">
        <f t="shared" si="10"/>
        <v>6.6894658588037156E-2</v>
      </c>
      <c r="M60" s="20">
        <v>-2.4013246193282995</v>
      </c>
      <c r="N60" s="20">
        <v>-2.3421726936792631</v>
      </c>
      <c r="O60" s="20">
        <v>-2.2564432550719937</v>
      </c>
      <c r="P60" s="20">
        <v>-2.2564432550719937</v>
      </c>
      <c r="Q60" s="20">
        <v>-2.2690237334247634</v>
      </c>
      <c r="R60" s="20">
        <v>-2.222344855822965</v>
      </c>
      <c r="S60" s="29">
        <f t="shared" si="11"/>
        <v>2.0059399019211242E-2</v>
      </c>
      <c r="T60" s="20">
        <v>-5.4991099150397058E-2</v>
      </c>
      <c r="U60" s="20">
        <v>-9.2267389271559974E-2</v>
      </c>
      <c r="V60" s="20">
        <v>-5.1002035982831422E-2</v>
      </c>
      <c r="W60" s="20">
        <v>-5.0984941824518452E-2</v>
      </c>
      <c r="X60" s="29">
        <f t="shared" si="12"/>
        <v>2.6208214482617638E-3</v>
      </c>
      <c r="Y60" s="20">
        <v>-1.7510732208481961</v>
      </c>
      <c r="Z60" s="20">
        <v>-1.7568292459401025</v>
      </c>
      <c r="AA60" s="20">
        <v>-1.7564030159162725</v>
      </c>
      <c r="AB60" s="20">
        <v>-1.7545596527602001</v>
      </c>
      <c r="AD60" s="15"/>
      <c r="AE60" s="15"/>
      <c r="AF60" s="15"/>
      <c r="AG60" s="15"/>
      <c r="AH60" s="15"/>
      <c r="AI60" s="15"/>
      <c r="AJ60" s="15"/>
      <c r="AK60" s="15"/>
      <c r="AL60" s="15"/>
      <c r="AM60" s="4"/>
      <c r="AN60" s="1"/>
      <c r="AO60" s="1"/>
      <c r="AP60" s="1"/>
      <c r="AQ60" s="1"/>
      <c r="AR60" s="1"/>
      <c r="AS60" s="1"/>
      <c r="AT60" s="1"/>
      <c r="AU60" s="1"/>
    </row>
    <row r="61" spans="1:47" x14ac:dyDescent="0.2">
      <c r="A61" s="7" t="s">
        <v>135</v>
      </c>
      <c r="B61" s="7">
        <v>4.3319355742164278E-2</v>
      </c>
      <c r="C61" s="7">
        <v>4.189608918004617E-2</v>
      </c>
      <c r="D61" s="7">
        <v>6.4584978681695882E-2</v>
      </c>
      <c r="E61" s="7">
        <v>5.6529670133946608E-2</v>
      </c>
      <c r="F61" s="7">
        <v>5.9283812656030888E-2</v>
      </c>
      <c r="G61" s="7">
        <v>5.1826872971471483E-2</v>
      </c>
      <c r="H61" s="7">
        <v>6.0631067646068626E-3</v>
      </c>
      <c r="I61" s="7">
        <v>4.9343485852530344E-2</v>
      </c>
      <c r="J61" s="7">
        <v>1.6441731808953586E-2</v>
      </c>
      <c r="K61" s="7">
        <v>3.1867037137555565E-2</v>
      </c>
      <c r="L61" s="29">
        <f t="shared" si="10"/>
        <v>7.4303014196296785E-2</v>
      </c>
      <c r="M61" s="20">
        <v>-1.9580130693398878</v>
      </c>
      <c r="N61" s="20">
        <v>-1.9024418002523986</v>
      </c>
      <c r="O61" s="20">
        <v>-1.7949807202851991</v>
      </c>
      <c r="P61" s="20">
        <v>-1.7949807202851991</v>
      </c>
      <c r="Q61" s="20">
        <v>-1.8103767244578526</v>
      </c>
      <c r="R61" s="20">
        <v>-1.7702798499337116</v>
      </c>
      <c r="S61" s="29">
        <f t="shared" si="11"/>
        <v>6.0131330935739554E-3</v>
      </c>
      <c r="T61" s="20">
        <v>-6.7541079053865249E-2</v>
      </c>
      <c r="U61" s="20">
        <v>-5.3273599262215726E-2</v>
      </c>
      <c r="V61" s="20">
        <v>-5.7306423685672778E-2</v>
      </c>
      <c r="W61" s="20">
        <v>-5.8760112507116907E-2</v>
      </c>
      <c r="X61" s="29">
        <f t="shared" si="12"/>
        <v>1.4040932495048115E-3</v>
      </c>
      <c r="Y61" s="20">
        <v>-1.8069881281426663</v>
      </c>
      <c r="Z61" s="20">
        <v>-1.8100830544011788</v>
      </c>
      <c r="AA61" s="20">
        <v>-1.8095606731641265</v>
      </c>
      <c r="AB61" s="20">
        <v>-1.8096297218969943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4"/>
      <c r="AN61" s="1"/>
      <c r="AO61" s="1"/>
      <c r="AP61" s="1"/>
      <c r="AQ61" s="1"/>
      <c r="AR61" s="1"/>
      <c r="AS61" s="1"/>
      <c r="AT61" s="1"/>
      <c r="AU61" s="1"/>
    </row>
    <row r="62" spans="1:47" x14ac:dyDescent="0.2">
      <c r="A62" s="7" t="s">
        <v>136</v>
      </c>
      <c r="B62" s="7">
        <v>8.9942022570639324E-2</v>
      </c>
      <c r="C62" s="7">
        <v>9.7990822166305502E-2</v>
      </c>
      <c r="D62" s="7">
        <v>0.15364480279487491</v>
      </c>
      <c r="E62" s="7">
        <v>0.14003611189010989</v>
      </c>
      <c r="F62" s="7">
        <v>0.14308419113455351</v>
      </c>
      <c r="G62" s="7">
        <v>0.130701811225578</v>
      </c>
      <c r="H62" s="7">
        <v>0.16913757043835931</v>
      </c>
      <c r="I62" s="7">
        <v>0.15088608333525722</v>
      </c>
      <c r="J62" s="7">
        <v>7.5418448842412111E-2</v>
      </c>
      <c r="K62" s="7">
        <v>0.10329329162878453</v>
      </c>
      <c r="L62" s="29">
        <f t="shared" si="10"/>
        <v>8.9855524446311105E-2</v>
      </c>
      <c r="M62" s="20">
        <v>-1.7293659744364296</v>
      </c>
      <c r="N62" s="20">
        <v>-1.6710202196503321</v>
      </c>
      <c r="O62" s="20">
        <v>-1.5328088354102554</v>
      </c>
      <c r="P62" s="20">
        <v>-1.5328088354102554</v>
      </c>
      <c r="Q62" s="20">
        <v>-1.5473458760293952</v>
      </c>
      <c r="R62" s="20">
        <v>-1.5121744417296703</v>
      </c>
      <c r="S62" s="29">
        <f t="shared" si="11"/>
        <v>8.1256217252468899E-3</v>
      </c>
      <c r="T62" s="20">
        <v>-7.8293059798356809E-2</v>
      </c>
      <c r="U62" s="20">
        <v>-5.8733176018418008E-2</v>
      </c>
      <c r="V62" s="20">
        <v>-6.5326991535223547E-2</v>
      </c>
      <c r="W62" s="20">
        <v>-6.7309382786245736E-2</v>
      </c>
      <c r="X62" s="29">
        <f t="shared" si="12"/>
        <v>9.5952963001039117E-4</v>
      </c>
      <c r="Y62" s="20">
        <v>-1.7382605754731579</v>
      </c>
      <c r="Z62" s="20">
        <v>-1.739950325260784</v>
      </c>
      <c r="AA62" s="20">
        <v>-1.7402055484333563</v>
      </c>
      <c r="AB62" s="20">
        <v>-1.7403109215678003</v>
      </c>
      <c r="AD62" s="15"/>
      <c r="AE62" s="15"/>
      <c r="AF62" s="15"/>
      <c r="AG62" s="15"/>
      <c r="AH62" s="15"/>
      <c r="AI62" s="15"/>
      <c r="AJ62" s="15"/>
      <c r="AK62" s="15"/>
      <c r="AL62" s="15"/>
      <c r="AM62" s="4"/>
      <c r="AN62" s="1"/>
      <c r="AO62" s="1"/>
      <c r="AP62" s="1"/>
      <c r="AQ62" s="1"/>
      <c r="AR62" s="1"/>
      <c r="AS62" s="1"/>
      <c r="AT62" s="1"/>
      <c r="AU62" s="1"/>
    </row>
    <row r="63" spans="1:47" x14ac:dyDescent="0.2">
      <c r="A63" s="7" t="s">
        <v>137</v>
      </c>
      <c r="B63" s="7">
        <v>0.28026620668400271</v>
      </c>
      <c r="C63" s="7">
        <v>0.31598310015135911</v>
      </c>
      <c r="D63" s="7">
        <v>0.35706295112784114</v>
      </c>
      <c r="E63" s="7">
        <v>0.33755348993118628</v>
      </c>
      <c r="F63" s="7">
        <v>0.3512677634978536</v>
      </c>
      <c r="G63" s="7">
        <v>0.33322513147801991</v>
      </c>
      <c r="H63" s="7">
        <v>0.33819541595975733</v>
      </c>
      <c r="I63" s="7">
        <v>0.3714265875789422</v>
      </c>
      <c r="J63" s="7">
        <v>0.35211524930549642</v>
      </c>
      <c r="K63" s="7">
        <v>0.32730612142027504</v>
      </c>
      <c r="L63" s="29">
        <f t="shared" si="10"/>
        <v>9.7253349369139611E-2</v>
      </c>
      <c r="M63" s="20">
        <v>-1.9457144458853961</v>
      </c>
      <c r="N63" s="20">
        <v>-1.8696512316822882</v>
      </c>
      <c r="O63" s="20">
        <v>-1.7291998846745871</v>
      </c>
      <c r="P63" s="20">
        <v>-1.7291998846745871</v>
      </c>
      <c r="Q63" s="20">
        <v>-1.7379080092278651</v>
      </c>
      <c r="R63" s="20">
        <v>-1.7083968270389986</v>
      </c>
      <c r="S63" s="29">
        <f t="shared" si="11"/>
        <v>1.1589771290202085E-2</v>
      </c>
      <c r="T63" s="20">
        <v>-8.5616625893075449E-2</v>
      </c>
      <c r="U63" s="20">
        <v>-6.2094229031978927E-2</v>
      </c>
      <c r="V63" s="20">
        <v>-8.553575927637691E-2</v>
      </c>
      <c r="W63" s="20">
        <v>-8.4615543029377641E-2</v>
      </c>
      <c r="X63" s="29">
        <f t="shared" si="12"/>
        <v>2.5990902178527984E-3</v>
      </c>
      <c r="Y63" s="20">
        <v>-1.5642643538161094</v>
      </c>
      <c r="Z63" s="20">
        <v>-1.559965982230213</v>
      </c>
      <c r="AA63" s="20">
        <v>-1.5660883533867951</v>
      </c>
      <c r="AB63" s="20">
        <v>-1.5642590557628984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4"/>
      <c r="AN63" s="1"/>
      <c r="AO63" s="1"/>
      <c r="AP63" s="1"/>
      <c r="AQ63" s="1"/>
      <c r="AR63" s="1"/>
      <c r="AS63" s="1"/>
      <c r="AT63" s="1"/>
      <c r="AU63" s="1"/>
    </row>
    <row r="64" spans="1:47" x14ac:dyDescent="0.2">
      <c r="A64" s="7" t="s">
        <v>138</v>
      </c>
      <c r="B64" s="7">
        <v>1.4422680847025915E-2</v>
      </c>
      <c r="C64" s="7">
        <v>4.1790552177251583E-2</v>
      </c>
      <c r="D64" s="7">
        <v>2.6542466037458801E-2</v>
      </c>
      <c r="E64" s="7">
        <v>3.6982466221862853E-2</v>
      </c>
      <c r="F64" s="7">
        <v>1.6649647490761477E-2</v>
      </c>
      <c r="G64" s="7">
        <v>2.5858985598706474E-2</v>
      </c>
      <c r="H64" s="7">
        <v>9.4254181868150488E-2</v>
      </c>
      <c r="I64" s="7">
        <v>3.3745428827923418E-2</v>
      </c>
      <c r="J64" s="7">
        <v>2.7485393052037232E-2</v>
      </c>
      <c r="K64" s="7">
        <v>4.4506416512215874E-2</v>
      </c>
      <c r="L64" s="29">
        <f t="shared" si="10"/>
        <v>6.4541764732697751E-2</v>
      </c>
      <c r="M64" s="20">
        <v>-2.3587613048989819</v>
      </c>
      <c r="N64" s="20">
        <v>-2.3237886411689628</v>
      </c>
      <c r="O64" s="20">
        <v>-2.2319027111222645</v>
      </c>
      <c r="P64" s="20">
        <v>-2.2319027111222645</v>
      </c>
      <c r="Q64" s="20">
        <v>-2.2306650802160637</v>
      </c>
      <c r="R64" s="20">
        <v>-2.192320604115308</v>
      </c>
      <c r="S64" s="29">
        <f t="shared" si="11"/>
        <v>4.9444204449376151E-3</v>
      </c>
      <c r="T64" s="20">
        <v>-5.8668872938627707E-2</v>
      </c>
      <c r="U64" s="20">
        <v>-4.9610222992565227E-2</v>
      </c>
      <c r="V64" s="20">
        <v>-4.7600448977610212E-2</v>
      </c>
      <c r="W64" s="20">
        <v>-4.9707215037961397E-2</v>
      </c>
      <c r="X64" s="29">
        <f t="shared" si="12"/>
        <v>1.5032438760092823E-3</v>
      </c>
      <c r="Y64" s="20">
        <v>-1.6528541352880008</v>
      </c>
      <c r="Z64" s="20">
        <v>-1.6560862311115632</v>
      </c>
      <c r="AA64" s="20">
        <v>-1.6558567933909336</v>
      </c>
      <c r="AB64" s="20">
        <v>-1.6543277237547314</v>
      </c>
      <c r="AD64" s="15"/>
      <c r="AE64" s="15"/>
      <c r="AF64" s="14"/>
      <c r="AG64" s="14"/>
      <c r="AH64" s="14"/>
      <c r="AI64" s="14"/>
      <c r="AJ64" s="14"/>
      <c r="AK64" s="14"/>
      <c r="AL64" s="14"/>
      <c r="AM64" s="4"/>
      <c r="AN64" s="1"/>
      <c r="AO64" s="1"/>
      <c r="AP64" s="1"/>
      <c r="AQ64" s="1"/>
      <c r="AR64" s="1"/>
      <c r="AS64" s="1"/>
      <c r="AT64" s="1"/>
      <c r="AU64" s="1"/>
    </row>
    <row r="65" spans="1:47" x14ac:dyDescent="0.2">
      <c r="A65" s="7" t="s">
        <v>139</v>
      </c>
      <c r="B65" s="7">
        <v>0.13974334048627846</v>
      </c>
      <c r="C65" s="7">
        <v>0.11111421883170536</v>
      </c>
      <c r="D65" s="7">
        <v>0.1463639863653361</v>
      </c>
      <c r="E65" s="7">
        <v>0.12185732051527642</v>
      </c>
      <c r="F65" s="7">
        <v>0.13079371270841467</v>
      </c>
      <c r="G65" s="7">
        <v>0.10561787957035662</v>
      </c>
      <c r="H65" s="7">
        <v>0.25404532942881763</v>
      </c>
      <c r="I65" s="7">
        <v>0.14278015968242608</v>
      </c>
      <c r="J65" s="7">
        <v>0.1006416684592204</v>
      </c>
      <c r="K65" s="7">
        <v>0.10270692363591305</v>
      </c>
      <c r="L65" s="29">
        <f t="shared" si="10"/>
        <v>6.3401075062516674E-2</v>
      </c>
      <c r="M65" s="20">
        <v>-2.0090799063651019</v>
      </c>
      <c r="N65" s="20">
        <v>-1.9766917034858758</v>
      </c>
      <c r="O65" s="20">
        <v>-1.8727249031790758</v>
      </c>
      <c r="P65" s="20">
        <v>-1.8727249031790758</v>
      </c>
      <c r="Q65" s="20">
        <v>-1.8834657082307233</v>
      </c>
      <c r="R65" s="20">
        <v>-1.8610877271600808</v>
      </c>
      <c r="S65" s="29">
        <f t="shared" si="11"/>
        <v>2.5577281443919134E-3</v>
      </c>
      <c r="T65" s="20">
        <v>-6.5016932097226754E-2</v>
      </c>
      <c r="U65" s="20">
        <v>-5.9631176938006653E-2</v>
      </c>
      <c r="V65" s="20">
        <v>-5.9715798717999938E-2</v>
      </c>
      <c r="W65" s="20">
        <v>-6.0569643824757144E-2</v>
      </c>
      <c r="X65" s="29">
        <f t="shared" si="12"/>
        <v>1.6561892130536153E-3</v>
      </c>
      <c r="Y65" s="20">
        <v>-1.8105214533299769</v>
      </c>
      <c r="Z65" s="20">
        <v>-1.8087574438402516</v>
      </c>
      <c r="AA65" s="20">
        <v>-1.8125794648565932</v>
      </c>
      <c r="AB65" s="20">
        <v>-1.8117213067540998</v>
      </c>
      <c r="AD65" s="15"/>
      <c r="AE65" s="15"/>
      <c r="AF65" s="14"/>
      <c r="AG65" s="14"/>
      <c r="AH65" s="14"/>
      <c r="AI65" s="14"/>
      <c r="AJ65" s="14"/>
      <c r="AK65" s="14"/>
      <c r="AL65" s="14"/>
      <c r="AM65" s="4"/>
      <c r="AN65" s="1"/>
      <c r="AO65" s="1"/>
      <c r="AP65" s="1"/>
      <c r="AQ65" s="1"/>
      <c r="AR65" s="1"/>
      <c r="AS65" s="1"/>
      <c r="AT65" s="1"/>
      <c r="AU65" s="1"/>
    </row>
    <row r="66" spans="1:47" x14ac:dyDescent="0.2">
      <c r="A66" s="7" t="s">
        <v>140</v>
      </c>
      <c r="B66" s="7">
        <v>8.3159521850425078E-2</v>
      </c>
      <c r="C66" s="7">
        <v>6.5720594824192125E-2</v>
      </c>
      <c r="D66" s="7">
        <v>8.7307673312934098E-2</v>
      </c>
      <c r="E66" s="7">
        <v>7.3181569957170955E-2</v>
      </c>
      <c r="F66" s="7">
        <v>7.957212776532363E-2</v>
      </c>
      <c r="G66" s="7">
        <v>6.5662476886384047E-2</v>
      </c>
      <c r="H66" s="7">
        <v>0.2873218839311924</v>
      </c>
      <c r="I66" s="7">
        <v>0.10375912857157465</v>
      </c>
      <c r="J66" s="7">
        <v>4.5644588410630016E-2</v>
      </c>
      <c r="K66" s="7">
        <v>6.2569175135430255E-2</v>
      </c>
      <c r="L66" s="29">
        <f t="shared" si="10"/>
        <v>6.7701226455729485E-2</v>
      </c>
      <c r="M66" s="20">
        <v>-2.049987041618035</v>
      </c>
      <c r="N66" s="20">
        <v>-2.0047674229950729</v>
      </c>
      <c r="O66" s="20">
        <v>-1.9021722611974501</v>
      </c>
      <c r="P66" s="20">
        <v>-1.9021722611974501</v>
      </c>
      <c r="Q66" s="20">
        <v>-1.9164856328914461</v>
      </c>
      <c r="R66" s="20">
        <v>-1.8828414695616857</v>
      </c>
      <c r="S66" s="29">
        <f t="shared" si="11"/>
        <v>2.2698707338724092E-3</v>
      </c>
      <c r="T66" s="20">
        <v>-6.7401504006557658E-2</v>
      </c>
      <c r="U66" s="20">
        <v>-6.1928125664618E-2</v>
      </c>
      <c r="V66" s="20">
        <v>-6.4140068931286195E-2</v>
      </c>
      <c r="W66" s="20">
        <v>-6.3863340643694727E-2</v>
      </c>
      <c r="X66" s="29">
        <f t="shared" si="12"/>
        <v>1.8790141048725788E-3</v>
      </c>
      <c r="Y66" s="20">
        <v>-1.9163135648035661</v>
      </c>
      <c r="Z66" s="20">
        <v>-1.9162783996119563</v>
      </c>
      <c r="AA66" s="20">
        <v>-1.9198835871830382</v>
      </c>
      <c r="AB66" s="20">
        <v>-1.9191292702175302</v>
      </c>
      <c r="AD66" s="15"/>
      <c r="AE66" s="15"/>
      <c r="AF66" s="14"/>
      <c r="AG66" s="14"/>
      <c r="AH66" s="14"/>
      <c r="AI66" s="14"/>
      <c r="AJ66" s="14"/>
      <c r="AK66" s="14"/>
      <c r="AL66" s="14"/>
      <c r="AM66" s="4"/>
      <c r="AN66" s="1"/>
      <c r="AO66" s="1"/>
      <c r="AP66" s="1"/>
      <c r="AQ66" s="1"/>
      <c r="AR66" s="1"/>
      <c r="AS66" s="1"/>
      <c r="AT66" s="1"/>
      <c r="AU66" s="1"/>
    </row>
    <row r="67" spans="1:47" x14ac:dyDescent="0.2">
      <c r="A67" s="7" t="s">
        <v>107</v>
      </c>
      <c r="B67" s="7">
        <v>0.11139910935810327</v>
      </c>
      <c r="C67" s="7">
        <v>0.11369706761696352</v>
      </c>
      <c r="D67" s="7">
        <v>0.18478149106645181</v>
      </c>
      <c r="E67" s="7">
        <v>0.16883037859073879</v>
      </c>
      <c r="F67" s="7">
        <v>0.16769728270914919</v>
      </c>
      <c r="G67" s="7">
        <v>0.15205908958512038</v>
      </c>
      <c r="H67" s="7">
        <v>7.0492072686315632E-2</v>
      </c>
      <c r="I67" s="7">
        <v>0.19007852641744249</v>
      </c>
      <c r="J67" s="7">
        <v>9.7561459643553006E-2</v>
      </c>
      <c r="K67" s="7">
        <v>0.14246812082371041</v>
      </c>
      <c r="L67" s="29">
        <f t="shared" si="10"/>
        <v>8.7943003100893286E-2</v>
      </c>
      <c r="M67" s="20">
        <v>-1.9241534467346004</v>
      </c>
      <c r="N67" s="20">
        <v>-1.8683343450707099</v>
      </c>
      <c r="O67" s="20">
        <v>-1.7332223660765378</v>
      </c>
      <c r="P67" s="20">
        <v>-1.7332223660765378</v>
      </c>
      <c r="Q67" s="20">
        <v>-1.7439730787731027</v>
      </c>
      <c r="R67" s="20">
        <v>-1.7120574576884313</v>
      </c>
      <c r="S67" s="29">
        <f t="shared" si="11"/>
        <v>1.2161947991984423E-2</v>
      </c>
      <c r="T67" s="20">
        <v>-6.6711288757311596E-2</v>
      </c>
      <c r="U67" s="20">
        <v>-5.0539421693762986E-2</v>
      </c>
      <c r="V67" s="20">
        <v>-3.7318481279194717E-2</v>
      </c>
      <c r="W67" s="20">
        <v>-4.7813788483672411E-2</v>
      </c>
      <c r="X67" s="29">
        <f t="shared" si="12"/>
        <v>2.6360340738609471E-3</v>
      </c>
      <c r="Y67" s="20">
        <v>-1.804597787428569</v>
      </c>
      <c r="Z67" s="20">
        <v>-1.8061237087144029</v>
      </c>
      <c r="AA67" s="20">
        <v>-1.8100062613224741</v>
      </c>
      <c r="AB67" s="20">
        <v>-1.8095662215520705</v>
      </c>
      <c r="AD67" s="15"/>
      <c r="AE67" s="15"/>
      <c r="AF67" s="14"/>
      <c r="AG67" s="14"/>
      <c r="AH67" s="14"/>
      <c r="AI67" s="14"/>
      <c r="AJ67" s="14"/>
      <c r="AK67" s="14"/>
      <c r="AL67" s="14"/>
      <c r="AM67" s="4"/>
      <c r="AN67" s="1"/>
      <c r="AO67" s="1"/>
      <c r="AP67" s="1"/>
      <c r="AQ67" s="1"/>
      <c r="AR67" s="1"/>
      <c r="AS67" s="1"/>
      <c r="AT67" s="1"/>
      <c r="AU67" s="1"/>
    </row>
    <row r="68" spans="1:47" x14ac:dyDescent="0.2">
      <c r="A68" s="7" t="s">
        <v>141</v>
      </c>
      <c r="B68" s="7">
        <v>7.2102373517092255E-2</v>
      </c>
      <c r="C68" s="7">
        <v>6.9041270931534671E-2</v>
      </c>
      <c r="D68" s="7">
        <v>0.10364052998711126</v>
      </c>
      <c r="E68" s="7">
        <v>9.3160877459775859E-2</v>
      </c>
      <c r="F68" s="7">
        <v>9.6979197734896827E-2</v>
      </c>
      <c r="G68" s="7">
        <v>8.6558147511723638E-2</v>
      </c>
      <c r="H68" s="7">
        <v>0.21243423507122716</v>
      </c>
      <c r="I68" s="7">
        <v>9.6121431477829367E-2</v>
      </c>
      <c r="J68" s="7">
        <v>3.5717104614972905E-2</v>
      </c>
      <c r="K68" s="7">
        <v>8.1913677817608166E-2</v>
      </c>
      <c r="L68" s="29">
        <f t="shared" si="10"/>
        <v>8.0463602678199991E-2</v>
      </c>
      <c r="M68" s="20">
        <v>-1.9908945944818486</v>
      </c>
      <c r="N68" s="20">
        <v>-1.9362830633768813</v>
      </c>
      <c r="O68" s="20">
        <v>-1.8147097360524491</v>
      </c>
      <c r="P68" s="20">
        <v>-1.8147097360524491</v>
      </c>
      <c r="Q68" s="20">
        <v>-1.830128575970958</v>
      </c>
      <c r="R68" s="20">
        <v>-1.7929958119854308</v>
      </c>
      <c r="S68" s="29">
        <f t="shared" si="11"/>
        <v>5.6492955200212634E-3</v>
      </c>
      <c r="T68" s="20">
        <v>-6.6086114017471234E-2</v>
      </c>
      <c r="U68" s="20">
        <v>-5.2395100690071097E-2</v>
      </c>
      <c r="V68" s="20">
        <v>-5.7508239193907559E-2</v>
      </c>
      <c r="W68" s="20">
        <v>-5.8495964015480101E-2</v>
      </c>
      <c r="X68" s="29">
        <f t="shared" si="12"/>
        <v>2.8370973733461294E-3</v>
      </c>
      <c r="Y68" s="20">
        <v>-1.8547785502621721</v>
      </c>
      <c r="Z68" s="20">
        <v>-1.8579751080973521</v>
      </c>
      <c r="AA68" s="20">
        <v>-1.8609986345628127</v>
      </c>
      <c r="AB68" s="20">
        <v>-1.8604466337966599</v>
      </c>
      <c r="AD68" s="15"/>
      <c r="AE68" s="15"/>
      <c r="AF68" s="14"/>
      <c r="AG68" s="14"/>
      <c r="AH68" s="14"/>
      <c r="AI68" s="14"/>
      <c r="AJ68" s="14"/>
      <c r="AK68" s="14"/>
      <c r="AL68" s="14"/>
      <c r="AM68" s="4"/>
      <c r="AN68" s="1"/>
      <c r="AO68" s="1"/>
      <c r="AP68" s="1"/>
      <c r="AQ68" s="1"/>
      <c r="AR68" s="1"/>
      <c r="AS68" s="1"/>
      <c r="AT68" s="1"/>
      <c r="AU68" s="1"/>
    </row>
    <row r="69" spans="1:47" x14ac:dyDescent="0.2">
      <c r="A69" s="7" t="s">
        <v>142</v>
      </c>
      <c r="B69" s="7">
        <v>8.5164379496436293E-2</v>
      </c>
      <c r="C69" s="7">
        <v>0.10131162847729769</v>
      </c>
      <c r="D69" s="7">
        <v>0.17313801766781056</v>
      </c>
      <c r="E69" s="7">
        <v>0.15918477696777078</v>
      </c>
      <c r="F69" s="7">
        <v>0.1649215201259624</v>
      </c>
      <c r="G69" s="7">
        <v>0.15091594933070684</v>
      </c>
      <c r="H69" s="7">
        <v>8.6434788417844022E-2</v>
      </c>
      <c r="I69" s="7">
        <v>0.16767224761497745</v>
      </c>
      <c r="J69" s="7">
        <v>0.17005283034640595</v>
      </c>
      <c r="K69" s="7">
        <v>0.13194606692578814</v>
      </c>
      <c r="L69" s="29">
        <f t="shared" si="10"/>
        <v>9.9445138796690632E-2</v>
      </c>
      <c r="M69" s="20">
        <v>-2.2062124778299399</v>
      </c>
      <c r="N69" s="20">
        <v>-2.1275522365794157</v>
      </c>
      <c r="O69" s="20">
        <v>-1.9842612381916938</v>
      </c>
      <c r="P69" s="20">
        <v>-1.9842612381916938</v>
      </c>
      <c r="Q69" s="20">
        <v>-1.9957549805944341</v>
      </c>
      <c r="R69" s="20">
        <v>-1.9622067371809895</v>
      </c>
      <c r="S69" s="29">
        <f t="shared" si="11"/>
        <v>5.22515015138246E-3</v>
      </c>
      <c r="T69" s="20">
        <v>-5.8267870531205398E-2</v>
      </c>
      <c r="U69" s="20">
        <v>-5.2777425245083137E-2</v>
      </c>
      <c r="V69" s="20">
        <v>-4.617738922524995E-2</v>
      </c>
      <c r="W69" s="20">
        <v>-4.9019048795872905E-2</v>
      </c>
      <c r="X69" s="29">
        <f t="shared" si="12"/>
        <v>1.4078903022299123E-3</v>
      </c>
      <c r="Y69" s="20">
        <v>-1.7172169044210024</v>
      </c>
      <c r="Z69" s="20">
        <v>-1.7170532527940432</v>
      </c>
      <c r="AA69" s="20">
        <v>-1.719754082884231</v>
      </c>
      <c r="AB69" s="20">
        <v>-1.7193548220017254</v>
      </c>
      <c r="AD69" s="15"/>
      <c r="AE69" s="15"/>
      <c r="AF69" s="14"/>
      <c r="AG69" s="14"/>
      <c r="AH69" s="14"/>
      <c r="AI69" s="14"/>
      <c r="AJ69" s="14"/>
      <c r="AK69" s="14"/>
      <c r="AL69" s="14"/>
      <c r="AM69" s="4"/>
      <c r="AN69" s="1"/>
      <c r="AO69" s="1"/>
      <c r="AP69" s="1"/>
      <c r="AQ69" s="1"/>
      <c r="AR69" s="1"/>
      <c r="AS69" s="1"/>
      <c r="AT69" s="1"/>
      <c r="AU69" s="1"/>
    </row>
    <row r="70" spans="1:47" x14ac:dyDescent="0.2">
      <c r="A70" s="7" t="s">
        <v>143</v>
      </c>
      <c r="B70" s="7">
        <v>2.3166266343283004E-4</v>
      </c>
      <c r="C70" s="7">
        <v>5.3521553298051694E-2</v>
      </c>
      <c r="D70" s="7">
        <v>4.6456154683713835E-2</v>
      </c>
      <c r="E70" s="7">
        <v>5.6986869269165685E-2</v>
      </c>
      <c r="F70" s="7">
        <v>2.2035471159299769E-2</v>
      </c>
      <c r="G70" s="7">
        <v>2.8643474662587154E-2</v>
      </c>
      <c r="H70" s="7">
        <v>0.23615547391127872</v>
      </c>
      <c r="I70" s="7">
        <v>1.4525823158179685E-2</v>
      </c>
      <c r="J70" s="7">
        <v>5.8313753291765857E-2</v>
      </c>
      <c r="K70" s="7">
        <v>3.1445378500094934E-2</v>
      </c>
      <c r="L70" s="29">
        <f t="shared" si="10"/>
        <v>5.7869126055996804E-2</v>
      </c>
      <c r="M70" s="20">
        <v>-3.019987855083035</v>
      </c>
      <c r="N70" s="20">
        <v>-2.9986706993291916</v>
      </c>
      <c r="O70" s="20">
        <v>-2.9203588718968523</v>
      </c>
      <c r="P70" s="20">
        <v>-2.9203588718968523</v>
      </c>
      <c r="Q70" s="20">
        <v>-2.9090135291647985</v>
      </c>
      <c r="R70" s="20">
        <v>-2.8680677184593857</v>
      </c>
      <c r="S70" s="29">
        <f t="shared" si="11"/>
        <v>5.3070385362748562E-3</v>
      </c>
      <c r="T70" s="20">
        <v>-4.1837816977291602E-2</v>
      </c>
      <c r="U70" s="20">
        <v>-4.2658227509429936E-2</v>
      </c>
      <c r="V70" s="20">
        <v>-3.2790380818287307E-2</v>
      </c>
      <c r="W70" s="20">
        <v>-3.3376953559360864E-2</v>
      </c>
      <c r="X70" s="29">
        <f t="shared" si="12"/>
        <v>3.3806130052502436E-3</v>
      </c>
      <c r="Y70" s="20">
        <v>-1.5942676228816901</v>
      </c>
      <c r="Z70" s="20">
        <v>-1.5998871695552697</v>
      </c>
      <c r="AA70" s="20">
        <v>-1.6022151038229717</v>
      </c>
      <c r="AB70" s="20">
        <v>-1.5976953599531356</v>
      </c>
      <c r="AD70" s="15"/>
      <c r="AE70" s="15"/>
      <c r="AF70" s="14"/>
      <c r="AG70" s="14"/>
      <c r="AH70" s="14"/>
      <c r="AI70" s="14"/>
      <c r="AJ70" s="14"/>
      <c r="AK70" s="14"/>
      <c r="AL70" s="14"/>
      <c r="AM70" s="4"/>
      <c r="AN70" s="1"/>
      <c r="AO70" s="1"/>
      <c r="AP70" s="1"/>
      <c r="AQ70" s="1"/>
      <c r="AR70" s="1"/>
      <c r="AS70" s="1"/>
      <c r="AT70" s="1"/>
      <c r="AU70" s="1"/>
    </row>
    <row r="71" spans="1:47" s="36" customFormat="1" x14ac:dyDescent="0.2">
      <c r="A71" s="10" t="s">
        <v>116</v>
      </c>
      <c r="B71" s="10">
        <f>AVERAGE(B46:B70)</f>
        <v>6.323598588340594E-2</v>
      </c>
      <c r="C71" s="10">
        <f t="shared" ref="C71:H71" si="13">AVERAGE(C46:C70)</f>
        <v>6.7947349744175128E-2</v>
      </c>
      <c r="D71" s="10">
        <f t="shared" si="13"/>
        <v>7.8655572430538293E-2</v>
      </c>
      <c r="E71" s="10">
        <f t="shared" si="13"/>
        <v>7.2429224084385166E-2</v>
      </c>
      <c r="F71" s="10">
        <f t="shared" si="13"/>
        <v>7.0903224371089535E-2</v>
      </c>
      <c r="G71" s="10">
        <f t="shared" si="13"/>
        <v>6.4250654986472366E-2</v>
      </c>
      <c r="H71" s="10">
        <f t="shared" si="13"/>
        <v>0.10013453442895262</v>
      </c>
      <c r="I71" s="10">
        <f>AVERAGE(I46:I70)</f>
        <v>7.5585702871867347E-2</v>
      </c>
      <c r="J71" s="10">
        <f>AVERAGE(J46:J70)</f>
        <v>7.5249563663106908E-2</v>
      </c>
      <c r="K71" s="10">
        <f>AVERAGE(K46:K70)</f>
        <v>6.2797655151882875E-2</v>
      </c>
      <c r="L71" s="29"/>
      <c r="M71" s="33"/>
      <c r="N71" s="33"/>
      <c r="O71" s="33"/>
      <c r="P71" s="33"/>
      <c r="Q71" s="33"/>
      <c r="R71" s="33"/>
      <c r="S71" s="29"/>
      <c r="T71" s="33"/>
      <c r="U71" s="33"/>
      <c r="V71" s="33"/>
      <c r="W71" s="33"/>
      <c r="X71" s="29"/>
      <c r="Y71" s="34"/>
      <c r="Z71" s="34"/>
      <c r="AA71" s="34"/>
      <c r="AB71" s="34"/>
      <c r="AN71" s="35"/>
      <c r="AO71" s="35"/>
      <c r="AP71" s="35"/>
      <c r="AQ71" s="35"/>
      <c r="AR71" s="35"/>
      <c r="AS71" s="35"/>
      <c r="AT71" s="35"/>
      <c r="AU71" s="35"/>
    </row>
    <row r="72" spans="1:47" x14ac:dyDescent="0.2">
      <c r="A72" s="15" t="s">
        <v>198</v>
      </c>
      <c r="B72" s="7" t="s">
        <v>144</v>
      </c>
      <c r="C72" s="7" t="s">
        <v>145</v>
      </c>
      <c r="D72" s="7" t="s">
        <v>146</v>
      </c>
      <c r="E72" s="7" t="s">
        <v>147</v>
      </c>
      <c r="F72" s="7" t="s">
        <v>148</v>
      </c>
      <c r="G72" s="7" t="s">
        <v>149</v>
      </c>
      <c r="H72" s="7" t="s">
        <v>150</v>
      </c>
      <c r="I72" s="7" t="s">
        <v>41</v>
      </c>
      <c r="J72" s="7" t="s">
        <v>42</v>
      </c>
      <c r="K72" s="7" t="s">
        <v>168</v>
      </c>
      <c r="L72" s="28" t="s">
        <v>51</v>
      </c>
      <c r="M72" s="33"/>
      <c r="N72" s="33"/>
      <c r="O72" s="33"/>
      <c r="P72" s="33"/>
      <c r="Q72" s="33"/>
      <c r="R72" s="33"/>
      <c r="S72" s="29" t="s">
        <v>52</v>
      </c>
      <c r="T72" s="33"/>
      <c r="U72" s="33"/>
      <c r="V72" s="33"/>
      <c r="W72" s="33"/>
      <c r="X72" s="29" t="s">
        <v>151</v>
      </c>
      <c r="AD72" s="12"/>
      <c r="AE72" s="12"/>
      <c r="AF72" s="12"/>
      <c r="AG72" s="12"/>
      <c r="AH72" s="12"/>
      <c r="AI72" s="12"/>
      <c r="AJ72" s="12"/>
      <c r="AK72" s="12"/>
    </row>
    <row r="73" spans="1:47" x14ac:dyDescent="0.2">
      <c r="A73" s="7" t="s">
        <v>112</v>
      </c>
      <c r="B73" s="7">
        <v>4.6999999999999931E-2</v>
      </c>
      <c r="C73" s="7">
        <v>4.6999999999999931E-2</v>
      </c>
      <c r="D73" s="7">
        <v>4.6999999999999931E-2</v>
      </c>
      <c r="E73" s="7">
        <v>4.6999999999999931E-2</v>
      </c>
      <c r="F73" s="7">
        <v>4.6999999999999931E-2</v>
      </c>
      <c r="G73" s="7">
        <v>4.6999999999999931E-2</v>
      </c>
      <c r="H73" s="7">
        <v>4.6999999999999931E-2</v>
      </c>
      <c r="I73" s="7">
        <v>4.6999999999999931E-2</v>
      </c>
      <c r="J73" s="7">
        <v>4.6999999999999931E-2</v>
      </c>
      <c r="K73" s="7">
        <v>4.6999999999999931E-2</v>
      </c>
      <c r="L73" s="29">
        <f t="shared" ref="L73:L97" si="14">STDEV(M73:R73)</f>
        <v>6.4943097824568696E-2</v>
      </c>
      <c r="M73" s="20">
        <v>-16.923127498297141</v>
      </c>
      <c r="N73" s="20">
        <v>-16.911459766682885</v>
      </c>
      <c r="O73" s="20">
        <v>-16.879362012041558</v>
      </c>
      <c r="P73" s="20">
        <v>-16.879362012041558</v>
      </c>
      <c r="Q73" s="20">
        <v>-16.851894616661326</v>
      </c>
      <c r="R73" s="20">
        <v>-16.742659543367189</v>
      </c>
      <c r="S73" s="29">
        <f t="shared" ref="S73:S97" si="15">STDEV(T73:W73)</f>
        <v>5.7442399536961194E-4</v>
      </c>
      <c r="T73" s="20">
        <v>0.31138807699670129</v>
      </c>
      <c r="U73" s="20">
        <v>0.31036411077170056</v>
      </c>
      <c r="V73" s="20">
        <v>0.31165139554243498</v>
      </c>
      <c r="W73" s="20">
        <v>0.3114287089470113</v>
      </c>
      <c r="X73" s="29">
        <f t="shared" ref="X73:X97" si="16">STDEV(Y73:AB73)</f>
        <v>1.3840281618896181E-3</v>
      </c>
      <c r="Y73" s="20">
        <v>-0.12283055446249595</v>
      </c>
      <c r="Z73" s="20">
        <v>-0.12488453054842624</v>
      </c>
      <c r="AA73" s="20">
        <v>-0.12597644481042092</v>
      </c>
      <c r="AB73" s="20">
        <v>-0.12549050633800513</v>
      </c>
      <c r="AD73" s="15"/>
      <c r="AE73" s="15"/>
      <c r="AF73" s="14"/>
      <c r="AG73" s="14"/>
      <c r="AH73" s="14"/>
      <c r="AI73" s="14"/>
      <c r="AJ73" s="14"/>
      <c r="AK73" s="14"/>
      <c r="AL73" s="14"/>
      <c r="AM73" s="5"/>
      <c r="AN73" s="1"/>
      <c r="AO73" s="1"/>
      <c r="AP73" s="1"/>
      <c r="AQ73" s="1"/>
      <c r="AR73" s="1"/>
      <c r="AS73" s="1"/>
      <c r="AT73" s="1"/>
      <c r="AU73" s="1"/>
    </row>
    <row r="74" spans="1:47" x14ac:dyDescent="0.2">
      <c r="A74" s="7" t="s">
        <v>123</v>
      </c>
      <c r="B74" s="7">
        <v>1.5188342556767376E-2</v>
      </c>
      <c r="C74" s="7">
        <v>1.9683634325517341E-2</v>
      </c>
      <c r="D74" s="7">
        <v>2.5337098577354E-2</v>
      </c>
      <c r="E74" s="7">
        <v>2.7287203594467124E-2</v>
      </c>
      <c r="F74" s="7">
        <v>2.479519593414925E-2</v>
      </c>
      <c r="G74" s="7">
        <v>2.653479142319104E-2</v>
      </c>
      <c r="H74" s="7">
        <v>2.7713362869137947E-2</v>
      </c>
      <c r="I74" s="7">
        <v>2.6036497645873569E-2</v>
      </c>
      <c r="J74" s="7">
        <v>2.7764427641088441E-2</v>
      </c>
      <c r="K74" s="7">
        <v>2.6432278197792813E-2</v>
      </c>
      <c r="L74" s="29">
        <f t="shared" si="14"/>
        <v>6.2480227929095439E-2</v>
      </c>
      <c r="M74" s="20">
        <v>-16.885214484953483</v>
      </c>
      <c r="N74" s="20">
        <v>-16.881580729567915</v>
      </c>
      <c r="O74" s="20">
        <v>-16.854645998588772</v>
      </c>
      <c r="P74" s="20">
        <v>-16.854645998588772</v>
      </c>
      <c r="Q74" s="20">
        <v>-16.824377474899503</v>
      </c>
      <c r="R74" s="20">
        <v>-16.716881997094408</v>
      </c>
      <c r="S74" s="29">
        <f t="shared" si="15"/>
        <v>1.0011264157485848E-3</v>
      </c>
      <c r="T74" s="20">
        <v>0.31915351282879689</v>
      </c>
      <c r="U74" s="20">
        <v>0.32110062324130306</v>
      </c>
      <c r="V74" s="20">
        <v>0.31950711446857977</v>
      </c>
      <c r="W74" s="20">
        <v>0.31885276238362731</v>
      </c>
      <c r="X74" s="29">
        <f t="shared" si="16"/>
        <v>9.0906524045247415E-4</v>
      </c>
      <c r="Y74" s="20">
        <v>-0.12719734619501868</v>
      </c>
      <c r="Z74" s="20">
        <v>-0.12868371445851515</v>
      </c>
      <c r="AA74" s="20">
        <v>-0.12933538078381851</v>
      </c>
      <c r="AB74" s="20">
        <v>-0.12872689747059385</v>
      </c>
      <c r="AD74" s="15"/>
      <c r="AE74" s="15"/>
      <c r="AF74" s="14"/>
      <c r="AG74" s="14"/>
      <c r="AH74" s="14"/>
      <c r="AI74" s="14"/>
      <c r="AJ74" s="14"/>
      <c r="AK74" s="14"/>
      <c r="AL74" s="14"/>
      <c r="AM74" s="5"/>
      <c r="AN74" s="1"/>
      <c r="AO74" s="1"/>
      <c r="AP74" s="1"/>
      <c r="AQ74" s="1"/>
      <c r="AR74" s="1"/>
      <c r="AS74" s="1"/>
      <c r="AT74" s="1"/>
      <c r="AU74" s="1"/>
    </row>
    <row r="75" spans="1:47" x14ac:dyDescent="0.2">
      <c r="A75" s="6" t="s">
        <v>124</v>
      </c>
      <c r="B75" s="7">
        <v>2.3106603681364524E-2</v>
      </c>
      <c r="C75" s="7">
        <v>2.3169427826919664E-2</v>
      </c>
      <c r="D75" s="7">
        <v>2.6086849175323001E-2</v>
      </c>
      <c r="E75" s="7">
        <v>2.6738169915664356E-2</v>
      </c>
      <c r="F75" s="7">
        <v>2.553010275377221E-2</v>
      </c>
      <c r="G75" s="7">
        <v>2.6139924863310737E-2</v>
      </c>
      <c r="H75" s="7">
        <v>2.8568184554711662E-2</v>
      </c>
      <c r="I75" s="7">
        <v>2.8787956818240756E-2</v>
      </c>
      <c r="J75" s="7">
        <v>2.8442747152230607E-2</v>
      </c>
      <c r="K75" s="7">
        <v>2.7823647340545987E-2</v>
      </c>
      <c r="L75" s="29">
        <f t="shared" si="14"/>
        <v>6.4091606459647829E-2</v>
      </c>
      <c r="M75" s="20">
        <v>-16.868506343905068</v>
      </c>
      <c r="N75" s="20">
        <v>-16.857039646835172</v>
      </c>
      <c r="O75" s="20">
        <v>-16.828137779269696</v>
      </c>
      <c r="P75" s="20">
        <v>-16.828137779269696</v>
      </c>
      <c r="Q75" s="20">
        <v>-16.799617101544925</v>
      </c>
      <c r="R75" s="20">
        <v>-16.690991850360323</v>
      </c>
      <c r="S75" s="29">
        <f t="shared" si="15"/>
        <v>5.6520750870556495E-4</v>
      </c>
      <c r="T75" s="20">
        <v>0.31990047865429139</v>
      </c>
      <c r="U75" s="20">
        <v>0.31862977102211659</v>
      </c>
      <c r="V75" s="20">
        <v>0.31974040531579406</v>
      </c>
      <c r="W75" s="20">
        <v>0.31944764275616894</v>
      </c>
      <c r="X75" s="29">
        <f t="shared" si="16"/>
        <v>1.2607597338102313E-3</v>
      </c>
      <c r="Y75" s="20">
        <v>-0.11807071419352594</v>
      </c>
      <c r="Z75" s="20">
        <v>-0.11973973847347393</v>
      </c>
      <c r="AA75" s="20">
        <v>-0.12102785727130295</v>
      </c>
      <c r="AB75" s="20">
        <v>-0.12031705801733868</v>
      </c>
      <c r="AD75" s="15"/>
      <c r="AE75" s="15"/>
      <c r="AF75" s="14"/>
      <c r="AG75" s="14"/>
      <c r="AH75" s="14"/>
      <c r="AI75" s="14"/>
      <c r="AJ75" s="14"/>
      <c r="AK75" s="14"/>
      <c r="AL75" s="14"/>
      <c r="AM75" s="5"/>
      <c r="AN75" s="1"/>
      <c r="AO75" s="1"/>
      <c r="AP75" s="1"/>
      <c r="AQ75" s="1"/>
      <c r="AR75" s="1"/>
      <c r="AS75" s="1"/>
      <c r="AT75" s="1"/>
      <c r="AU75" s="1"/>
    </row>
    <row r="76" spans="1:47" x14ac:dyDescent="0.2">
      <c r="A76" s="7" t="s">
        <v>125</v>
      </c>
      <c r="B76" s="7">
        <v>2.313591597475928E-2</v>
      </c>
      <c r="C76" s="7">
        <v>2.2009107269578054E-2</v>
      </c>
      <c r="D76" s="7">
        <v>2.4827535180875993E-2</v>
      </c>
      <c r="E76" s="7">
        <v>2.7609816926600361E-2</v>
      </c>
      <c r="F76" s="7">
        <v>2.593949602729162E-2</v>
      </c>
      <c r="G76" s="7">
        <v>2.8007337643813246E-2</v>
      </c>
      <c r="H76" s="7">
        <v>2.9467184387695911E-2</v>
      </c>
      <c r="I76" s="7">
        <v>2.7993699325843169E-2</v>
      </c>
      <c r="J76" s="7">
        <v>2.6765074007553347E-2</v>
      </c>
      <c r="K76" s="7">
        <v>2.7424850668065881E-2</v>
      </c>
      <c r="L76" s="29">
        <f t="shared" si="14"/>
        <v>6.3366923320878801E-2</v>
      </c>
      <c r="M76" s="20">
        <v>-16.851833184375309</v>
      </c>
      <c r="N76" s="20">
        <v>-16.840160418666652</v>
      </c>
      <c r="O76" s="20">
        <v>-16.812755961720036</v>
      </c>
      <c r="P76" s="20">
        <v>-16.812755961720036</v>
      </c>
      <c r="Q76" s="20">
        <v>-16.783607039818143</v>
      </c>
      <c r="R76" s="20">
        <v>-16.676439808140525</v>
      </c>
      <c r="S76" s="29">
        <f t="shared" si="15"/>
        <v>3.3785262028615385E-4</v>
      </c>
      <c r="T76" s="20">
        <v>0.32294202990031845</v>
      </c>
      <c r="U76" s="20">
        <v>0.32237235401743286</v>
      </c>
      <c r="V76" s="20">
        <v>0.3228209367850281</v>
      </c>
      <c r="W76" s="20">
        <v>0.32224659552100482</v>
      </c>
      <c r="X76" s="29">
        <f t="shared" si="16"/>
        <v>1.061160740195148E-3</v>
      </c>
      <c r="Y76" s="20">
        <v>-0.11781473726270532</v>
      </c>
      <c r="Z76" s="20">
        <v>-0.11920122907996918</v>
      </c>
      <c r="AA76" s="20">
        <v>-0.12036185330113579</v>
      </c>
      <c r="AB76" s="20">
        <v>-0.11953546578247547</v>
      </c>
      <c r="AD76" s="15"/>
      <c r="AE76" s="15"/>
      <c r="AF76" s="14"/>
      <c r="AG76" s="14"/>
      <c r="AH76" s="14"/>
      <c r="AI76" s="14"/>
      <c r="AJ76" s="14"/>
      <c r="AK76" s="14"/>
      <c r="AL76" s="14"/>
      <c r="AM76" s="5"/>
      <c r="AN76" s="1"/>
      <c r="AO76" s="1"/>
      <c r="AP76" s="1"/>
      <c r="AQ76" s="1"/>
      <c r="AR76" s="1"/>
      <c r="AS76" s="1"/>
      <c r="AT76" s="1"/>
      <c r="AU76" s="1"/>
    </row>
    <row r="77" spans="1:47" x14ac:dyDescent="0.2">
      <c r="A77" s="7" t="s">
        <v>126</v>
      </c>
      <c r="B77" s="7">
        <v>1.2545095296048747E-2</v>
      </c>
      <c r="C77" s="7">
        <v>8.3677937017850867E-3</v>
      </c>
      <c r="D77" s="7">
        <v>4.7141046617752425E-3</v>
      </c>
      <c r="E77" s="7">
        <v>4.2011154110578319E-3</v>
      </c>
      <c r="F77" s="7">
        <v>5.3601926649841092E-3</v>
      </c>
      <c r="G77" s="7">
        <v>5.0795255395988947E-3</v>
      </c>
      <c r="H77" s="7">
        <v>1.9840958699451905E-3</v>
      </c>
      <c r="I77" s="7">
        <v>1.4616452402630431E-3</v>
      </c>
      <c r="J77" s="7">
        <v>2.0015192799470727E-3</v>
      </c>
      <c r="K77" s="7">
        <v>2.3800342464977975E-3</v>
      </c>
      <c r="L77" s="29">
        <f t="shared" si="14"/>
        <v>6.350663048367701E-2</v>
      </c>
      <c r="M77" s="20">
        <v>-16.782036340937541</v>
      </c>
      <c r="N77" s="20">
        <v>-16.774457327169916</v>
      </c>
      <c r="O77" s="20">
        <v>-16.745763824879766</v>
      </c>
      <c r="P77" s="20">
        <v>-16.745763824879766</v>
      </c>
      <c r="Q77" s="20">
        <v>-16.717187280945176</v>
      </c>
      <c r="R77" s="20">
        <v>-16.608232874776423</v>
      </c>
      <c r="S77" s="29">
        <f t="shared" si="15"/>
        <v>6.7933994791342261E-4</v>
      </c>
      <c r="T77" s="20">
        <v>0.31486496861974506</v>
      </c>
      <c r="U77" s="20">
        <v>0.31346523032839102</v>
      </c>
      <c r="V77" s="20">
        <v>0.3149172021174812</v>
      </c>
      <c r="W77" s="20">
        <v>0.31460822024860663</v>
      </c>
      <c r="X77" s="29">
        <f t="shared" si="16"/>
        <v>1.6802137700492967E-3</v>
      </c>
      <c r="Y77" s="20">
        <v>-0.13485350814909125</v>
      </c>
      <c r="Z77" s="20">
        <v>-0.13662029591630004</v>
      </c>
      <c r="AA77" s="20">
        <v>-0.13863932313619776</v>
      </c>
      <c r="AB77" s="20">
        <v>-0.13801716069076828</v>
      </c>
      <c r="AD77" s="15"/>
      <c r="AE77" s="15"/>
      <c r="AF77" s="14"/>
      <c r="AG77" s="14"/>
      <c r="AH77" s="14"/>
      <c r="AI77" s="14"/>
      <c r="AJ77" s="14"/>
      <c r="AK77" s="14"/>
      <c r="AL77" s="14"/>
      <c r="AM77" s="5"/>
      <c r="AN77" s="1"/>
      <c r="AO77" s="1"/>
      <c r="AP77" s="1"/>
      <c r="AQ77" s="1"/>
      <c r="AR77" s="1"/>
      <c r="AS77" s="1"/>
      <c r="AT77" s="1"/>
      <c r="AU77" s="1"/>
    </row>
    <row r="78" spans="1:47" x14ac:dyDescent="0.2">
      <c r="A78" s="7" t="s">
        <v>127</v>
      </c>
      <c r="B78" s="7">
        <v>2.848184811408716E-2</v>
      </c>
      <c r="C78" s="7">
        <v>2.7976011359875042E-2</v>
      </c>
      <c r="D78" s="7">
        <v>3.3844347113684226E-2</v>
      </c>
      <c r="E78" s="7">
        <v>3.323517263285547E-2</v>
      </c>
      <c r="F78" s="7">
        <v>3.4627884957787014E-2</v>
      </c>
      <c r="G78" s="7">
        <v>3.2980482797068778E-2</v>
      </c>
      <c r="H78" s="7">
        <v>3.2576276257580528E-2</v>
      </c>
      <c r="I78" s="7">
        <v>3.3239039361091738E-2</v>
      </c>
      <c r="J78" s="7">
        <v>3.1997230157035705E-2</v>
      </c>
      <c r="K78" s="7">
        <v>3.1719146746817639E-2</v>
      </c>
      <c r="L78" s="29">
        <f t="shared" si="14"/>
        <v>6.3291543829661193E-2</v>
      </c>
      <c r="M78" s="20">
        <v>-16.812837897739605</v>
      </c>
      <c r="N78" s="20">
        <v>-16.802072228337035</v>
      </c>
      <c r="O78" s="20">
        <v>-16.774726958743472</v>
      </c>
      <c r="P78" s="20">
        <v>-16.774726958743472</v>
      </c>
      <c r="Q78" s="20">
        <v>-16.748734406270064</v>
      </c>
      <c r="R78" s="20">
        <v>-16.637851930815206</v>
      </c>
      <c r="S78" s="29">
        <f t="shared" si="15"/>
        <v>4.2070624370068541E-4</v>
      </c>
      <c r="T78" s="20">
        <v>0.30636201473482744</v>
      </c>
      <c r="U78" s="20">
        <v>0.30678023918717662</v>
      </c>
      <c r="V78" s="20">
        <v>0.3073574131507571</v>
      </c>
      <c r="W78" s="20">
        <v>0.30703771001892133</v>
      </c>
      <c r="X78" s="29">
        <f t="shared" si="16"/>
        <v>1.2860569103700231E-3</v>
      </c>
      <c r="Y78" s="20">
        <v>-0.11307594087224532</v>
      </c>
      <c r="Z78" s="20">
        <v>-0.11516420866962618</v>
      </c>
      <c r="AA78" s="20">
        <v>-0.11605268834968185</v>
      </c>
      <c r="AB78" s="20">
        <v>-0.1153876027589672</v>
      </c>
      <c r="AD78" s="15"/>
      <c r="AE78" s="15"/>
      <c r="AF78" s="14"/>
      <c r="AG78" s="14"/>
      <c r="AH78" s="14"/>
      <c r="AI78" s="14"/>
      <c r="AJ78" s="14"/>
      <c r="AK78" s="14"/>
      <c r="AL78" s="14"/>
      <c r="AM78" s="5"/>
      <c r="AN78" s="1"/>
      <c r="AO78" s="1"/>
      <c r="AP78" s="1"/>
      <c r="AQ78" s="1"/>
      <c r="AR78" s="1"/>
      <c r="AS78" s="1"/>
      <c r="AT78" s="1"/>
      <c r="AU78" s="1"/>
    </row>
    <row r="79" spans="1:47" x14ac:dyDescent="0.2">
      <c r="A79" s="7" t="s">
        <v>128</v>
      </c>
      <c r="B79" s="7">
        <v>1.7956448299824124E-2</v>
      </c>
      <c r="C79" s="7">
        <v>1.205049152894444E-2</v>
      </c>
      <c r="D79" s="7">
        <v>2.5603464528836439E-2</v>
      </c>
      <c r="E79" s="7">
        <v>2.4908294098281991E-2</v>
      </c>
      <c r="F79" s="7">
        <v>2.6651588965825979E-2</v>
      </c>
      <c r="G79" s="7">
        <v>2.4771825221296395E-2</v>
      </c>
      <c r="H79" s="7">
        <v>1.4019407735952227E-2</v>
      </c>
      <c r="I79" s="7">
        <v>1.453779435428737E-2</v>
      </c>
      <c r="J79" s="7">
        <v>1.6819409497702664E-2</v>
      </c>
      <c r="K79" s="7">
        <v>1.6632562937500039E-2</v>
      </c>
      <c r="L79" s="29">
        <f t="shared" si="14"/>
        <v>6.3577127958143714E-2</v>
      </c>
      <c r="M79" s="20">
        <v>-16.815465825967248</v>
      </c>
      <c r="N79" s="20">
        <v>-16.810363561110961</v>
      </c>
      <c r="O79" s="20">
        <v>-16.780416837186191</v>
      </c>
      <c r="P79" s="20">
        <v>-16.780416837186191</v>
      </c>
      <c r="Q79" s="20">
        <v>-16.753603173471696</v>
      </c>
      <c r="R79" s="20">
        <v>-16.642488336433029</v>
      </c>
      <c r="S79" s="29">
        <f t="shared" si="15"/>
        <v>4.9438625249700104E-3</v>
      </c>
      <c r="T79" s="20">
        <v>0.32211065454462995</v>
      </c>
      <c r="U79" s="20">
        <v>0.3321122027424267</v>
      </c>
      <c r="V79" s="20">
        <v>0.32316979412826363</v>
      </c>
      <c r="W79" s="20">
        <v>0.32164188097581992</v>
      </c>
      <c r="X79" s="29">
        <f t="shared" si="16"/>
        <v>9.5710765164404982E-4</v>
      </c>
      <c r="Y79" s="20">
        <v>-0.12217125264014317</v>
      </c>
      <c r="Z79" s="20">
        <v>-0.12277931962001912</v>
      </c>
      <c r="AA79" s="20">
        <v>-0.12434831234989666</v>
      </c>
      <c r="AB79" s="20">
        <v>-0.12364671052227129</v>
      </c>
      <c r="AD79" s="15"/>
      <c r="AE79" s="15"/>
      <c r="AF79" s="14"/>
      <c r="AG79" s="14"/>
      <c r="AH79" s="14"/>
      <c r="AI79" s="14"/>
      <c r="AJ79" s="14"/>
      <c r="AK79" s="14"/>
      <c r="AL79" s="14"/>
      <c r="AM79" s="5"/>
      <c r="AN79" s="1"/>
      <c r="AO79" s="1"/>
      <c r="AP79" s="1"/>
      <c r="AQ79" s="1"/>
      <c r="AR79" s="1"/>
      <c r="AS79" s="1"/>
      <c r="AT79" s="1"/>
      <c r="AU79" s="1"/>
    </row>
    <row r="80" spans="1:47" x14ac:dyDescent="0.2">
      <c r="A80" s="7" t="s">
        <v>129</v>
      </c>
      <c r="B80" s="7">
        <v>1.8404023259748159E-2</v>
      </c>
      <c r="C80" s="7">
        <v>7.6094078128389753E-3</v>
      </c>
      <c r="D80" s="7">
        <v>2.6794822949318176E-2</v>
      </c>
      <c r="E80" s="7">
        <v>2.6856712386014558E-2</v>
      </c>
      <c r="F80" s="7">
        <v>2.770126346353935E-2</v>
      </c>
      <c r="G80" s="7">
        <v>2.6477932108762425E-2</v>
      </c>
      <c r="H80" s="7">
        <v>1.0458376350390652E-2</v>
      </c>
      <c r="I80" s="7">
        <v>1.1775423508168126E-2</v>
      </c>
      <c r="J80" s="7">
        <v>1.6254830669454934E-2</v>
      </c>
      <c r="K80" s="7">
        <v>1.659223340671806E-2</v>
      </c>
      <c r="L80" s="29">
        <f t="shared" si="14"/>
        <v>6.2945917135934087E-2</v>
      </c>
      <c r="M80" s="20">
        <v>-16.762649767443545</v>
      </c>
      <c r="N80" s="20">
        <v>-16.756917401237544</v>
      </c>
      <c r="O80" s="20">
        <v>-16.73021368760044</v>
      </c>
      <c r="P80" s="20">
        <v>-16.73021368760044</v>
      </c>
      <c r="Q80" s="20">
        <v>-16.702173246215153</v>
      </c>
      <c r="R80" s="20">
        <v>-16.591714841566237</v>
      </c>
      <c r="S80" s="29">
        <f t="shared" si="15"/>
        <v>6.5667060516935031E-3</v>
      </c>
      <c r="T80" s="20">
        <v>0.32926283011587493</v>
      </c>
      <c r="U80" s="20">
        <v>0.34285343637409094</v>
      </c>
      <c r="V80" s="20">
        <v>0.3311499980605479</v>
      </c>
      <c r="W80" s="20">
        <v>0.32913654371883644</v>
      </c>
      <c r="X80" s="29">
        <f t="shared" si="16"/>
        <v>9.3157700504755499E-4</v>
      </c>
      <c r="Y80" s="20">
        <v>-0.1160870616950162</v>
      </c>
      <c r="Z80" s="20">
        <v>-0.11602562940899717</v>
      </c>
      <c r="AA80" s="20">
        <v>-0.11798008415566398</v>
      </c>
      <c r="AB80" s="20">
        <v>-0.11712097501954574</v>
      </c>
      <c r="AD80" s="15"/>
      <c r="AE80" s="15"/>
      <c r="AF80" s="14"/>
      <c r="AG80" s="14"/>
      <c r="AH80" s="14"/>
      <c r="AI80" s="14"/>
      <c r="AJ80" s="14"/>
      <c r="AK80" s="14"/>
      <c r="AL80" s="14"/>
      <c r="AM80" s="5"/>
      <c r="AN80" s="1"/>
      <c r="AO80" s="1"/>
      <c r="AP80" s="1"/>
      <c r="AQ80" s="1"/>
      <c r="AR80" s="1"/>
      <c r="AS80" s="1"/>
      <c r="AT80" s="1"/>
      <c r="AU80" s="1"/>
    </row>
    <row r="81" spans="1:47" x14ac:dyDescent="0.2">
      <c r="A81" s="7" t="s">
        <v>130</v>
      </c>
      <c r="B81" s="7">
        <v>5.2443715595650309E-3</v>
      </c>
      <c r="C81" s="7">
        <v>1.2646027356989165E-2</v>
      </c>
      <c r="D81" s="7">
        <v>2.045532648017756E-2</v>
      </c>
      <c r="E81" s="7">
        <v>2.1429157201272253E-2</v>
      </c>
      <c r="F81" s="7">
        <v>1.8498441764103979E-2</v>
      </c>
      <c r="G81" s="7">
        <v>1.9091886738986985E-2</v>
      </c>
      <c r="H81" s="7">
        <v>2.0409874046439014E-2</v>
      </c>
      <c r="I81" s="7">
        <v>2.2279749193932274E-2</v>
      </c>
      <c r="J81" s="7">
        <v>2.0685207753700197E-2</v>
      </c>
      <c r="K81" s="7">
        <v>2.2225903427570137E-2</v>
      </c>
      <c r="L81" s="29">
        <f t="shared" si="14"/>
        <v>6.2108032396336492E-2</v>
      </c>
      <c r="M81" s="20">
        <v>-16.763750914509163</v>
      </c>
      <c r="N81" s="20">
        <v>-16.760444987557332</v>
      </c>
      <c r="O81" s="20">
        <v>-16.7359291596559</v>
      </c>
      <c r="P81" s="20">
        <v>-16.7359291596559</v>
      </c>
      <c r="Q81" s="20">
        <v>-16.705756452483485</v>
      </c>
      <c r="R81" s="20">
        <v>-16.59711482416423</v>
      </c>
      <c r="S81" s="29">
        <f t="shared" si="15"/>
        <v>5.9780466476021038E-4</v>
      </c>
      <c r="T81" s="20">
        <v>0.30383945691928865</v>
      </c>
      <c r="U81" s="20">
        <v>0.30453437020075108</v>
      </c>
      <c r="V81" s="20">
        <v>0.30520000546152426</v>
      </c>
      <c r="W81" s="20">
        <v>0.30496645882329421</v>
      </c>
      <c r="X81" s="29">
        <f t="shared" si="16"/>
        <v>1.9661312152226018E-3</v>
      </c>
      <c r="Y81" s="20">
        <v>-6.2902889732627115E-2</v>
      </c>
      <c r="Z81" s="20">
        <v>-6.5715596460019038E-2</v>
      </c>
      <c r="AA81" s="20">
        <v>-6.7387064316438899E-2</v>
      </c>
      <c r="AB81" s="20">
        <v>-6.6664862156235821E-2</v>
      </c>
      <c r="AD81" s="15"/>
      <c r="AE81" s="15"/>
      <c r="AF81" s="15"/>
      <c r="AG81" s="14"/>
      <c r="AH81" s="14"/>
      <c r="AI81" s="14"/>
      <c r="AJ81" s="14"/>
      <c r="AK81" s="14"/>
      <c r="AL81" s="14"/>
      <c r="AM81" s="5"/>
      <c r="AN81" s="1"/>
      <c r="AO81" s="1"/>
      <c r="AP81" s="1"/>
      <c r="AQ81" s="1"/>
      <c r="AR81" s="1"/>
      <c r="AS81" s="1"/>
      <c r="AT81" s="1"/>
      <c r="AU81" s="1"/>
    </row>
    <row r="82" spans="1:47" x14ac:dyDescent="0.2">
      <c r="A82" s="7" t="s">
        <v>131</v>
      </c>
      <c r="B82" s="7">
        <v>2.1983056354943686E-2</v>
      </c>
      <c r="C82" s="7">
        <v>6.1180391472304141E-3</v>
      </c>
      <c r="D82" s="7">
        <v>3.7238099066982722E-2</v>
      </c>
      <c r="E82" s="7">
        <v>3.6181107818060498E-2</v>
      </c>
      <c r="F82" s="7">
        <v>4.0757138307614627E-2</v>
      </c>
      <c r="G82" s="7">
        <v>3.7220151835241966E-2</v>
      </c>
      <c r="H82" s="7">
        <v>2.4201097679614536E-2</v>
      </c>
      <c r="I82" s="7">
        <v>2.9209562378994969E-2</v>
      </c>
      <c r="J82" s="7">
        <v>4.0716386977817098E-3</v>
      </c>
      <c r="K82" s="7">
        <v>4.9866426159248523E-3</v>
      </c>
      <c r="L82" s="29">
        <f t="shared" si="14"/>
        <v>6.2579624516827109E-2</v>
      </c>
      <c r="M82" s="20">
        <v>-16.711842365905646</v>
      </c>
      <c r="N82" s="20">
        <v>-16.711759540074191</v>
      </c>
      <c r="O82" s="20">
        <v>-16.684170417557802</v>
      </c>
      <c r="P82" s="20">
        <v>-16.684170417557802</v>
      </c>
      <c r="Q82" s="20">
        <v>-16.657706720046345</v>
      </c>
      <c r="R82" s="20">
        <v>-16.544934660279836</v>
      </c>
      <c r="S82" s="29">
        <f t="shared" si="15"/>
        <v>1.2209172686928012E-2</v>
      </c>
      <c r="T82" s="20">
        <v>0.34822777365960988</v>
      </c>
      <c r="U82" s="20">
        <v>0.37052631807271769</v>
      </c>
      <c r="V82" s="20">
        <v>0.34764997927758451</v>
      </c>
      <c r="W82" s="20">
        <v>0.34352949084866558</v>
      </c>
      <c r="X82" s="29">
        <f t="shared" si="16"/>
        <v>1.0894945675599438E-3</v>
      </c>
      <c r="Y82" s="20">
        <v>-0.11843843987184312</v>
      </c>
      <c r="Z82" s="20">
        <v>-0.11636500360536707</v>
      </c>
      <c r="AA82" s="20">
        <v>-0.11884773084738517</v>
      </c>
      <c r="AB82" s="20">
        <v>-0.11803632316225508</v>
      </c>
      <c r="AD82" s="15"/>
      <c r="AE82" s="15"/>
      <c r="AF82" s="15"/>
      <c r="AG82" s="14"/>
      <c r="AH82" s="14"/>
      <c r="AI82" s="14"/>
      <c r="AJ82" s="14"/>
      <c r="AK82" s="14"/>
      <c r="AL82" s="14"/>
      <c r="AM82" s="5"/>
      <c r="AN82" s="1"/>
      <c r="AO82" s="1"/>
      <c r="AP82" s="1"/>
      <c r="AQ82" s="1"/>
      <c r="AR82" s="1"/>
      <c r="AS82" s="1"/>
      <c r="AT82" s="1"/>
      <c r="AU82" s="1"/>
    </row>
    <row r="83" spans="1:47" x14ac:dyDescent="0.2">
      <c r="A83" s="7" t="s">
        <v>106</v>
      </c>
      <c r="B83" s="7">
        <v>2.6466887352311397E-2</v>
      </c>
      <c r="C83" s="7">
        <v>1.666240220459303E-2</v>
      </c>
      <c r="D83" s="7">
        <v>1.007816099441039E-2</v>
      </c>
      <c r="E83" s="7">
        <v>1.2479953589043746E-2</v>
      </c>
      <c r="F83" s="7">
        <v>2.4252480097800899E-2</v>
      </c>
      <c r="G83" s="7">
        <v>2.4556569372915171E-2</v>
      </c>
      <c r="H83" s="7">
        <v>1.3686324122218374E-2</v>
      </c>
      <c r="I83" s="7">
        <v>1.7414883761538769E-2</v>
      </c>
      <c r="J83" s="7">
        <v>1.6490456564831057E-2</v>
      </c>
      <c r="K83" s="7">
        <v>1.8482745938765199E-2</v>
      </c>
      <c r="L83" s="29">
        <f t="shared" si="14"/>
        <v>6.5040466899298058E-2</v>
      </c>
      <c r="M83" s="20">
        <v>-17.187577897582127</v>
      </c>
      <c r="N83" s="20">
        <v>-17.181475665531668</v>
      </c>
      <c r="O83" s="20">
        <v>-17.158292300002</v>
      </c>
      <c r="P83" s="20">
        <v>-17.158292300002</v>
      </c>
      <c r="Q83" s="20">
        <v>-17.1220937089515</v>
      </c>
      <c r="R83" s="20">
        <v>-17.012554546382248</v>
      </c>
      <c r="S83" s="29">
        <f t="shared" si="15"/>
        <v>2.6604683616035089E-3</v>
      </c>
      <c r="T83" s="20">
        <v>0.3392246538573167</v>
      </c>
      <c r="U83" s="20">
        <v>0.33339748884147197</v>
      </c>
      <c r="V83" s="20">
        <v>0.33737324159241389</v>
      </c>
      <c r="W83" s="20">
        <v>0.33882667463134952</v>
      </c>
      <c r="X83" s="29">
        <f t="shared" si="16"/>
        <v>1.1697675104199536E-3</v>
      </c>
      <c r="Y83" s="20">
        <v>-5.6249844685814523E-2</v>
      </c>
      <c r="Z83" s="20">
        <v>-5.7739607564821362E-2</v>
      </c>
      <c r="AA83" s="20">
        <v>-5.6788049310912088E-2</v>
      </c>
      <c r="AB83" s="20">
        <v>-5.4936899634370533E-2</v>
      </c>
      <c r="AD83" s="15"/>
      <c r="AE83" s="15"/>
      <c r="AF83" s="15"/>
      <c r="AG83" s="14"/>
      <c r="AH83" s="14"/>
      <c r="AI83" s="14"/>
      <c r="AJ83" s="14"/>
      <c r="AK83" s="14"/>
      <c r="AL83" s="14"/>
      <c r="AM83" s="5"/>
      <c r="AN83" s="1"/>
      <c r="AO83" s="1"/>
      <c r="AP83" s="1"/>
      <c r="AQ83" s="1"/>
      <c r="AR83" s="1"/>
      <c r="AS83" s="1"/>
      <c r="AT83" s="1"/>
      <c r="AU83" s="1"/>
    </row>
    <row r="84" spans="1:47" x14ac:dyDescent="0.2">
      <c r="A84" s="7" t="s">
        <v>132</v>
      </c>
      <c r="B84" s="7">
        <v>5.3767053163612744E-2</v>
      </c>
      <c r="C84" s="7">
        <v>4.8096361421395173E-2</v>
      </c>
      <c r="D84" s="7">
        <v>4.0645906194035852E-2</v>
      </c>
      <c r="E84" s="7">
        <v>4.0027829530173697E-2</v>
      </c>
      <c r="F84" s="7">
        <v>4.7521787500067525E-2</v>
      </c>
      <c r="G84" s="7">
        <v>4.6618084446000907E-2</v>
      </c>
      <c r="H84" s="7">
        <v>4.1157925366340997E-2</v>
      </c>
      <c r="I84" s="7">
        <v>4.2750805557463245E-2</v>
      </c>
      <c r="J84" s="7">
        <v>4.5791539098067879E-2</v>
      </c>
      <c r="K84" s="7">
        <v>4.5230608935526995E-2</v>
      </c>
      <c r="L84" s="29">
        <f t="shared" si="14"/>
        <v>6.3632084937406755E-2</v>
      </c>
      <c r="M84" s="20">
        <v>-16.943760532772362</v>
      </c>
      <c r="N84" s="20">
        <v>-16.938542815708114</v>
      </c>
      <c r="O84" s="20">
        <v>-16.916338851056931</v>
      </c>
      <c r="P84" s="20">
        <v>-16.916338851056931</v>
      </c>
      <c r="Q84" s="20">
        <v>-16.881367558772755</v>
      </c>
      <c r="R84" s="20">
        <v>-16.773036188532686</v>
      </c>
      <c r="S84" s="29">
        <f t="shared" si="15"/>
        <v>1.0876036521167978E-3</v>
      </c>
      <c r="T84" s="20">
        <v>0.31091847892512359</v>
      </c>
      <c r="U84" s="20">
        <v>0.31003749732266922</v>
      </c>
      <c r="V84" s="20">
        <v>0.31248782404040254</v>
      </c>
      <c r="W84" s="20">
        <v>0.31193754983093064</v>
      </c>
      <c r="X84" s="29">
        <f t="shared" si="16"/>
        <v>7.8961726101387647E-4</v>
      </c>
      <c r="Y84" s="20">
        <v>-6.3960868752084274E-2</v>
      </c>
      <c r="Z84" s="20">
        <v>-6.5378506652771534E-2</v>
      </c>
      <c r="AA84" s="20">
        <v>-6.5808204762839398E-2</v>
      </c>
      <c r="AB84" s="20">
        <v>-6.5004617610427667E-2</v>
      </c>
      <c r="AD84" s="15"/>
      <c r="AE84" s="15"/>
      <c r="AF84" s="15"/>
      <c r="AG84" s="14"/>
      <c r="AH84" s="14"/>
      <c r="AI84" s="14"/>
      <c r="AJ84" s="14"/>
      <c r="AK84" s="14"/>
      <c r="AL84" s="14"/>
      <c r="AM84" s="5"/>
      <c r="AN84" s="1"/>
      <c r="AO84" s="1"/>
      <c r="AP84" s="1"/>
      <c r="AQ84" s="1"/>
      <c r="AR84" s="1"/>
      <c r="AS84" s="1"/>
      <c r="AT84" s="1"/>
      <c r="AU84" s="1"/>
    </row>
    <row r="85" spans="1:47" x14ac:dyDescent="0.2">
      <c r="A85" s="7" t="s">
        <v>133</v>
      </c>
      <c r="B85" s="7">
        <v>1.8802576446489416E-3</v>
      </c>
      <c r="C85" s="7">
        <v>6.5669443551689133E-3</v>
      </c>
      <c r="D85" s="7">
        <v>1.6013570646746245E-2</v>
      </c>
      <c r="E85" s="7">
        <v>1.7190812819161017E-2</v>
      </c>
      <c r="F85" s="7">
        <v>1.0534386777050542E-2</v>
      </c>
      <c r="G85" s="7">
        <v>1.1567876962379819E-2</v>
      </c>
      <c r="H85" s="7">
        <v>1.6363279710747469E-2</v>
      </c>
      <c r="I85" s="7">
        <v>1.2721926924665339E-2</v>
      </c>
      <c r="J85" s="7">
        <v>1.0295484943516064E-2</v>
      </c>
      <c r="K85" s="7">
        <v>1.1172931791763374E-2</v>
      </c>
      <c r="L85" s="29">
        <f t="shared" si="14"/>
        <v>6.2902949798246205E-2</v>
      </c>
      <c r="M85" s="20">
        <v>-16.903009994610851</v>
      </c>
      <c r="N85" s="20">
        <v>-16.896386415345834</v>
      </c>
      <c r="O85" s="20">
        <v>-16.877220788284287</v>
      </c>
      <c r="P85" s="20">
        <v>-16.877220788284287</v>
      </c>
      <c r="Q85" s="20">
        <v>-16.842299587968988</v>
      </c>
      <c r="R85" s="20">
        <v>-16.734098004860179</v>
      </c>
      <c r="S85" s="29">
        <f t="shared" si="15"/>
        <v>1.2936291999190049E-3</v>
      </c>
      <c r="T85" s="20">
        <v>0.32292503098836817</v>
      </c>
      <c r="U85" s="20">
        <v>0.32061821407222396</v>
      </c>
      <c r="V85" s="20">
        <v>0.32342153425718989</v>
      </c>
      <c r="W85" s="20">
        <v>0.32317397922655855</v>
      </c>
      <c r="X85" s="29">
        <f t="shared" si="16"/>
        <v>4.2773330718842657E-4</v>
      </c>
      <c r="Y85" s="20">
        <v>-0.1653652697851006</v>
      </c>
      <c r="Z85" s="20">
        <v>-0.16577892954116988</v>
      </c>
      <c r="AA85" s="20">
        <v>-0.16607862010160696</v>
      </c>
      <c r="AB85" s="20">
        <v>-0.16636519208694206</v>
      </c>
      <c r="AD85" s="15"/>
      <c r="AE85" s="15"/>
      <c r="AF85" s="15"/>
      <c r="AG85" s="14"/>
      <c r="AH85" s="14"/>
      <c r="AI85" s="14"/>
      <c r="AJ85" s="14"/>
      <c r="AK85" s="14"/>
      <c r="AL85" s="14"/>
      <c r="AM85" s="5"/>
      <c r="AN85" s="1"/>
      <c r="AO85" s="1"/>
      <c r="AP85" s="1"/>
      <c r="AQ85" s="1"/>
      <c r="AR85" s="1"/>
      <c r="AS85" s="1"/>
      <c r="AT85" s="1"/>
      <c r="AU85" s="1"/>
    </row>
    <row r="86" spans="1:47" x14ac:dyDescent="0.2">
      <c r="A86" s="7" t="s">
        <v>114</v>
      </c>
      <c r="B86" s="7">
        <v>3.3287596996162905E-2</v>
      </c>
      <c r="C86" s="7">
        <v>2.6401265185648115E-2</v>
      </c>
      <c r="D86" s="7">
        <v>9.8755896787455777E-3</v>
      </c>
      <c r="E86" s="7">
        <v>1.1935346807602998E-2</v>
      </c>
      <c r="F86" s="7">
        <v>2.2489240001531408E-2</v>
      </c>
      <c r="G86" s="7">
        <v>2.1882540388628358E-2</v>
      </c>
      <c r="H86" s="7">
        <v>1.2382314578044729E-2</v>
      </c>
      <c r="I86" s="7">
        <v>1.4958296390421233E-2</v>
      </c>
      <c r="J86" s="7">
        <v>1.7042577733787589E-2</v>
      </c>
      <c r="K86" s="7">
        <v>1.7023295787699788E-2</v>
      </c>
      <c r="L86" s="29">
        <f t="shared" si="14"/>
        <v>6.2246452412989234E-2</v>
      </c>
      <c r="M86" s="20">
        <v>-16.999349300100207</v>
      </c>
      <c r="N86" s="20">
        <v>-16.987929592902322</v>
      </c>
      <c r="O86" s="20">
        <v>-16.978467513300227</v>
      </c>
      <c r="P86" s="20">
        <v>-16.978467513300227</v>
      </c>
      <c r="Q86" s="20">
        <v>-16.940953193477664</v>
      </c>
      <c r="R86" s="20">
        <v>-16.83232481979643</v>
      </c>
      <c r="S86" s="29">
        <f t="shared" si="15"/>
        <v>3.4007851881369439E-3</v>
      </c>
      <c r="T86" s="20">
        <v>0.33111161512439369</v>
      </c>
      <c r="U86" s="20">
        <v>0.32480096337344128</v>
      </c>
      <c r="V86" s="20">
        <v>0.33168165020008028</v>
      </c>
      <c r="W86" s="20">
        <v>0.33191386892208119</v>
      </c>
      <c r="X86" s="29">
        <f t="shared" si="16"/>
        <v>1.4078750397694836E-3</v>
      </c>
      <c r="Y86" s="20">
        <v>-4.204469379096179E-2</v>
      </c>
      <c r="Z86" s="20">
        <v>-4.54502917450798E-2</v>
      </c>
      <c r="AA86" s="20">
        <v>-4.3965851401792648E-2</v>
      </c>
      <c r="AB86" s="20">
        <v>-4.3427849495206956E-2</v>
      </c>
      <c r="AD86" s="15"/>
      <c r="AE86" s="15"/>
      <c r="AF86" s="15"/>
      <c r="AG86" s="14"/>
      <c r="AH86" s="14"/>
      <c r="AI86" s="14"/>
      <c r="AJ86" s="14"/>
      <c r="AK86" s="14"/>
      <c r="AL86" s="14"/>
      <c r="AM86" s="5"/>
      <c r="AN86" s="1"/>
      <c r="AO86" s="1"/>
      <c r="AP86" s="1"/>
      <c r="AQ86" s="1"/>
      <c r="AR86" s="1"/>
      <c r="AS86" s="1"/>
      <c r="AT86" s="1"/>
      <c r="AU86" s="1"/>
    </row>
    <row r="87" spans="1:47" x14ac:dyDescent="0.2">
      <c r="A87" s="7" t="s">
        <v>134</v>
      </c>
      <c r="B87" s="7">
        <v>1.5989953280437619E-2</v>
      </c>
      <c r="C87" s="7">
        <v>3.7917120257585091E-2</v>
      </c>
      <c r="D87" s="7">
        <v>2.2730869138602672E-2</v>
      </c>
      <c r="E87" s="7">
        <v>2.3310323410887457E-2</v>
      </c>
      <c r="F87" s="7">
        <v>1.9902684608127275E-2</v>
      </c>
      <c r="G87" s="7">
        <v>2.0482159289464286E-2</v>
      </c>
      <c r="H87" s="7">
        <v>2.5072999545115437E-2</v>
      </c>
      <c r="I87" s="7">
        <v>2.1826861314581891E-2</v>
      </c>
      <c r="J87" s="7">
        <v>2.0401057296987823E-2</v>
      </c>
      <c r="K87" s="7">
        <v>2.1257703808752582E-2</v>
      </c>
      <c r="L87" s="29">
        <f t="shared" si="14"/>
        <v>6.3922377261814531E-2</v>
      </c>
      <c r="M87" s="20">
        <v>-16.91663855522598</v>
      </c>
      <c r="N87" s="20">
        <v>-16.907088825223941</v>
      </c>
      <c r="O87" s="20">
        <v>-16.881315390581044</v>
      </c>
      <c r="P87" s="20">
        <v>-16.881315390581044</v>
      </c>
      <c r="Q87" s="20">
        <v>-16.850113564719209</v>
      </c>
      <c r="R87" s="20">
        <v>-16.741457966106406</v>
      </c>
      <c r="S87" s="29">
        <f t="shared" si="15"/>
        <v>1.0890334279757028E-2</v>
      </c>
      <c r="T87" s="20">
        <v>0.3228701498259704</v>
      </c>
      <c r="U87" s="20">
        <v>0.30105611529192533</v>
      </c>
      <c r="V87" s="20">
        <v>0.3228940454488245</v>
      </c>
      <c r="W87" s="20">
        <v>0.322744979093815</v>
      </c>
      <c r="X87" s="29">
        <f t="shared" si="16"/>
        <v>8.2299174172151051E-4</v>
      </c>
      <c r="Y87" s="20">
        <v>-0.14279152364336462</v>
      </c>
      <c r="Z87" s="20">
        <v>-0.14386459678518143</v>
      </c>
      <c r="AA87" s="20">
        <v>-0.1445760395882093</v>
      </c>
      <c r="AB87" s="20">
        <v>-0.14449051303505528</v>
      </c>
      <c r="AD87" s="15"/>
      <c r="AE87" s="15"/>
      <c r="AF87" s="15"/>
      <c r="AG87" s="14"/>
      <c r="AH87" s="14"/>
      <c r="AI87" s="14"/>
      <c r="AJ87" s="14"/>
      <c r="AK87" s="14"/>
      <c r="AL87" s="14"/>
      <c r="AM87" s="5"/>
      <c r="AN87" s="1"/>
      <c r="AO87" s="1"/>
      <c r="AP87" s="1"/>
      <c r="AQ87" s="1"/>
      <c r="AR87" s="1"/>
      <c r="AS87" s="1"/>
      <c r="AT87" s="1"/>
      <c r="AU87" s="1"/>
    </row>
    <row r="88" spans="1:47" x14ac:dyDescent="0.2">
      <c r="A88" s="7" t="s">
        <v>135</v>
      </c>
      <c r="B88" s="7">
        <v>4.3080369524941875E-2</v>
      </c>
      <c r="C88" s="7">
        <v>3.4217781252903978E-2</v>
      </c>
      <c r="D88" s="7">
        <v>2.338173111927222E-2</v>
      </c>
      <c r="E88" s="7">
        <v>2.5539546979470695E-2</v>
      </c>
      <c r="F88" s="7">
        <v>2.2469218396140245E-2</v>
      </c>
      <c r="G88" s="7">
        <v>2.4078923349815429E-2</v>
      </c>
      <c r="H88" s="7">
        <v>3.5252872825999648E-2</v>
      </c>
      <c r="I88" s="7">
        <v>3.4795270865749184E-2</v>
      </c>
      <c r="J88" s="7">
        <v>3.7920837078069591E-2</v>
      </c>
      <c r="K88" s="7">
        <v>3.6809274877518727E-2</v>
      </c>
      <c r="L88" s="29">
        <f t="shared" si="14"/>
        <v>7.019947077637323E-2</v>
      </c>
      <c r="M88" s="20">
        <v>-16.669828404583235</v>
      </c>
      <c r="N88" s="20">
        <v>-16.652873664988682</v>
      </c>
      <c r="O88" s="20">
        <v>-16.609848675064985</v>
      </c>
      <c r="P88" s="20">
        <v>-16.609848675064985</v>
      </c>
      <c r="Q88" s="20">
        <v>-16.579690183088541</v>
      </c>
      <c r="R88" s="20">
        <v>-16.47206481474808</v>
      </c>
      <c r="S88" s="29">
        <f t="shared" si="15"/>
        <v>1.127974377528027E-3</v>
      </c>
      <c r="T88" s="20">
        <v>0.32737873705006937</v>
      </c>
      <c r="U88" s="20">
        <v>0.33009507895172241</v>
      </c>
      <c r="V88" s="20">
        <v>0.32831849511072481</v>
      </c>
      <c r="W88" s="20">
        <v>0.32847628133621182</v>
      </c>
      <c r="X88" s="29">
        <f t="shared" si="16"/>
        <v>1.1383671625335235E-3</v>
      </c>
      <c r="Y88" s="20">
        <v>-0.12120067775471401</v>
      </c>
      <c r="Z88" s="20">
        <v>-0.12341938167555523</v>
      </c>
      <c r="AA88" s="20">
        <v>-0.1236964283347521</v>
      </c>
      <c r="AB88" s="20">
        <v>-0.12321173069613252</v>
      </c>
      <c r="AD88" s="15"/>
      <c r="AE88" s="15"/>
      <c r="AF88" s="15"/>
      <c r="AG88" s="14"/>
      <c r="AH88" s="14"/>
      <c r="AI88" s="14"/>
      <c r="AJ88" s="14"/>
      <c r="AK88" s="14"/>
      <c r="AL88" s="14"/>
      <c r="AM88" s="5"/>
      <c r="AN88" s="1"/>
      <c r="AO88" s="1"/>
      <c r="AP88" s="1"/>
      <c r="AQ88" s="1"/>
      <c r="AR88" s="1"/>
      <c r="AS88" s="1"/>
      <c r="AT88" s="1"/>
      <c r="AU88" s="1"/>
    </row>
    <row r="89" spans="1:47" x14ac:dyDescent="0.2">
      <c r="A89" s="7" t="s">
        <v>136</v>
      </c>
      <c r="B89" s="7">
        <v>4.2638149030978234E-3</v>
      </c>
      <c r="C89" s="7">
        <v>4.2794955255367945E-2</v>
      </c>
      <c r="D89" s="7">
        <v>7.3667220683652196E-2</v>
      </c>
      <c r="E89" s="7">
        <v>7.4522181453745368E-2</v>
      </c>
      <c r="F89" s="7">
        <v>7.2888433935762748E-2</v>
      </c>
      <c r="G89" s="7">
        <v>7.6264390590558256E-2</v>
      </c>
      <c r="H89" s="7">
        <v>5.1741091820241031E-2</v>
      </c>
      <c r="I89" s="7">
        <v>4.7055987455022069E-2</v>
      </c>
      <c r="J89" s="7">
        <v>5.7507470819151002E-2</v>
      </c>
      <c r="K89" s="7">
        <v>5.2849832203638619E-2</v>
      </c>
      <c r="L89" s="29">
        <f t="shared" si="14"/>
        <v>8.6113582079747467E-2</v>
      </c>
      <c r="M89" s="20">
        <v>-16.300591843430702</v>
      </c>
      <c r="N89" s="20">
        <v>-16.244584627159458</v>
      </c>
      <c r="O89" s="20">
        <v>-16.18271280988942</v>
      </c>
      <c r="P89" s="20">
        <v>-16.18271280988942</v>
      </c>
      <c r="Q89" s="20">
        <v>-16.158185034854828</v>
      </c>
      <c r="R89" s="20">
        <v>-16.045574004905895</v>
      </c>
      <c r="S89" s="29">
        <f t="shared" si="15"/>
        <v>2.2848816296115919E-3</v>
      </c>
      <c r="T89" s="20">
        <v>0.30013856303203346</v>
      </c>
      <c r="U89" s="20">
        <v>0.29464142920438857</v>
      </c>
      <c r="V89" s="20">
        <v>0.2965433905857523</v>
      </c>
      <c r="W89" s="20">
        <v>0.29742398986633378</v>
      </c>
      <c r="X89" s="29">
        <f t="shared" si="16"/>
        <v>1.5490272325790512E-3</v>
      </c>
      <c r="Y89" s="20">
        <v>-0.12885288046116905</v>
      </c>
      <c r="Z89" s="20">
        <v>-0.13224203324917311</v>
      </c>
      <c r="AA89" s="20">
        <v>-0.13199546055212871</v>
      </c>
      <c r="AB89" s="20">
        <v>-0.13130693512806674</v>
      </c>
      <c r="AD89" s="15"/>
      <c r="AE89" s="15"/>
      <c r="AF89" s="14"/>
      <c r="AG89" s="14"/>
      <c r="AH89" s="14"/>
      <c r="AI89" s="14"/>
      <c r="AJ89" s="14"/>
      <c r="AK89" s="14"/>
      <c r="AL89" s="14"/>
      <c r="AM89" s="5"/>
      <c r="AN89" s="1"/>
      <c r="AO89" s="1"/>
      <c r="AP89" s="1"/>
      <c r="AQ89" s="1"/>
      <c r="AR89" s="1"/>
      <c r="AS89" s="1"/>
      <c r="AT89" s="1"/>
      <c r="AU89" s="1"/>
    </row>
    <row r="90" spans="1:47" x14ac:dyDescent="0.2">
      <c r="A90" s="7" t="s">
        <v>137</v>
      </c>
      <c r="B90" s="7">
        <v>7.6559234605251505E-2</v>
      </c>
      <c r="C90" s="7">
        <v>9.8960836471452276E-2</v>
      </c>
      <c r="D90" s="7">
        <v>0.14107837769747289</v>
      </c>
      <c r="E90" s="7">
        <v>0.14085680268574063</v>
      </c>
      <c r="F90" s="7">
        <v>0.14372740694107855</v>
      </c>
      <c r="G90" s="7">
        <v>0.14538015612775923</v>
      </c>
      <c r="H90" s="7">
        <v>0.14869487914545787</v>
      </c>
      <c r="I90" s="7">
        <v>0.14599867770259078</v>
      </c>
      <c r="J90" s="7">
        <v>0.15211555488866169</v>
      </c>
      <c r="K90" s="7">
        <v>0.14442644274179384</v>
      </c>
      <c r="L90" s="29">
        <f t="shared" si="14"/>
        <v>9.1697398370420083E-2</v>
      </c>
      <c r="M90" s="20">
        <v>-16.370143368616155</v>
      </c>
      <c r="N90" s="20">
        <v>-16.29051355385548</v>
      </c>
      <c r="O90" s="20">
        <v>-16.234260422041775</v>
      </c>
      <c r="P90" s="20">
        <v>-16.234260422041775</v>
      </c>
      <c r="Q90" s="20">
        <v>-16.204994743150944</v>
      </c>
      <c r="R90" s="20">
        <v>-16.094106920670129</v>
      </c>
      <c r="S90" s="29">
        <f t="shared" si="15"/>
        <v>1.8916224654339366E-2</v>
      </c>
      <c r="T90" s="20">
        <v>0.32188909177956587</v>
      </c>
      <c r="U90" s="20">
        <v>0.2763813433239441</v>
      </c>
      <c r="V90" s="20">
        <v>0.29259899344569201</v>
      </c>
      <c r="W90" s="20">
        <v>0.29339527843316154</v>
      </c>
      <c r="X90" s="29">
        <f t="shared" si="16"/>
        <v>1.319669528056849E-3</v>
      </c>
      <c r="Y90" s="20">
        <v>-3.4756464321096886E-2</v>
      </c>
      <c r="Z90" s="20">
        <v>-3.788713945662036E-2</v>
      </c>
      <c r="AA90" s="20">
        <v>-3.6168830027719964E-2</v>
      </c>
      <c r="AB90" s="20">
        <v>-3.5629542393458356E-2</v>
      </c>
      <c r="AD90" s="15"/>
      <c r="AE90" s="15"/>
      <c r="AF90" s="14"/>
      <c r="AG90" s="14"/>
      <c r="AH90" s="14"/>
      <c r="AI90" s="14"/>
      <c r="AJ90" s="14"/>
      <c r="AK90" s="14"/>
      <c r="AL90" s="14"/>
      <c r="AM90" s="5"/>
      <c r="AN90" s="1"/>
      <c r="AO90" s="1"/>
      <c r="AP90" s="1"/>
      <c r="AQ90" s="1"/>
      <c r="AR90" s="1"/>
      <c r="AS90" s="1"/>
      <c r="AT90" s="1"/>
      <c r="AU90" s="1"/>
    </row>
    <row r="91" spans="1:47" x14ac:dyDescent="0.2">
      <c r="A91" s="7" t="s">
        <v>138</v>
      </c>
      <c r="B91" s="7">
        <v>4.6402295470269583E-2</v>
      </c>
      <c r="C91" s="7">
        <v>5.2016115539237295E-2</v>
      </c>
      <c r="D91" s="7">
        <v>4.9838542896335658E-2</v>
      </c>
      <c r="E91" s="7">
        <v>5.1788686012302632E-2</v>
      </c>
      <c r="F91" s="7">
        <v>5.9426687125985145E-2</v>
      </c>
      <c r="G91" s="7">
        <v>6.0023841002924738E-2</v>
      </c>
      <c r="H91" s="7">
        <v>4.5957086903719746E-2</v>
      </c>
      <c r="I91" s="7">
        <v>4.6844563845777676E-2</v>
      </c>
      <c r="J91" s="7">
        <v>4.759990667758135E-2</v>
      </c>
      <c r="K91" s="7">
        <v>4.7794501661719335E-2</v>
      </c>
      <c r="L91" s="29">
        <f t="shared" si="14"/>
        <v>6.8248552847006358E-2</v>
      </c>
      <c r="M91" s="20">
        <v>-16.780337729784986</v>
      </c>
      <c r="N91" s="20">
        <v>-16.759520508656252</v>
      </c>
      <c r="O91" s="20">
        <v>-16.731426382046934</v>
      </c>
      <c r="P91" s="20">
        <v>-16.731426382046934</v>
      </c>
      <c r="Q91" s="20">
        <v>-16.697570857474524</v>
      </c>
      <c r="R91" s="20">
        <v>-16.587738630303448</v>
      </c>
      <c r="S91" s="29">
        <f t="shared" si="15"/>
        <v>1.4181027668719521E-3</v>
      </c>
      <c r="T91" s="20">
        <v>0.34267712059804561</v>
      </c>
      <c r="U91" s="20">
        <v>0.34029925355809681</v>
      </c>
      <c r="V91" s="20">
        <v>0.34297718939684396</v>
      </c>
      <c r="W91" s="20">
        <v>0.34350234211016739</v>
      </c>
      <c r="X91" s="29">
        <f t="shared" si="16"/>
        <v>1.7858590417806472E-3</v>
      </c>
      <c r="Y91" s="20">
        <v>-7.50707110572709E-3</v>
      </c>
      <c r="Z91" s="20">
        <v>-1.1742815822218262E-2</v>
      </c>
      <c r="AA91" s="20">
        <v>-1.0449182647147823E-2</v>
      </c>
      <c r="AB91" s="20">
        <v>-9.4612115619799632E-3</v>
      </c>
      <c r="AD91" s="15"/>
      <c r="AE91" s="15"/>
      <c r="AF91" s="14"/>
      <c r="AG91" s="14"/>
      <c r="AH91" s="14"/>
      <c r="AI91" s="14"/>
      <c r="AJ91" s="14"/>
      <c r="AK91" s="14"/>
      <c r="AL91" s="14"/>
      <c r="AM91" s="5"/>
      <c r="AN91" s="1"/>
      <c r="AO91" s="1"/>
      <c r="AP91" s="1"/>
      <c r="AQ91" s="1"/>
      <c r="AR91" s="1"/>
      <c r="AS91" s="1"/>
      <c r="AT91" s="1"/>
      <c r="AU91" s="1"/>
    </row>
    <row r="92" spans="1:47" x14ac:dyDescent="0.2">
      <c r="A92" s="7" t="s">
        <v>139</v>
      </c>
      <c r="B92" s="7">
        <v>6.6196441020575869E-2</v>
      </c>
      <c r="C92" s="7">
        <v>6.8172115157094759E-2</v>
      </c>
      <c r="D92" s="7">
        <v>6.3212493426545557E-2</v>
      </c>
      <c r="E92" s="7">
        <v>7.0286164324454448E-2</v>
      </c>
      <c r="F92" s="7">
        <v>6.3408785037852966E-2</v>
      </c>
      <c r="G92" s="7">
        <v>7.026624019356531E-2</v>
      </c>
      <c r="H92" s="7">
        <v>7.5437338814444588E-2</v>
      </c>
      <c r="I92" s="7">
        <v>7.3871724371444736E-2</v>
      </c>
      <c r="J92" s="7">
        <v>7.0066041036694338E-2</v>
      </c>
      <c r="K92" s="7">
        <v>7.2617406123685613E-2</v>
      </c>
      <c r="L92" s="29">
        <f t="shared" si="14"/>
        <v>6.465285162501487E-2</v>
      </c>
      <c r="M92" s="20">
        <v>-17.014813834631763</v>
      </c>
      <c r="N92" s="20">
        <v>-17.007348051267439</v>
      </c>
      <c r="O92" s="20">
        <v>-16.975700437241802</v>
      </c>
      <c r="P92" s="20">
        <v>-16.975700437241802</v>
      </c>
      <c r="Q92" s="20">
        <v>-16.940729660610799</v>
      </c>
      <c r="R92" s="20">
        <v>-16.838352042472373</v>
      </c>
      <c r="S92" s="29">
        <f t="shared" si="15"/>
        <v>1.0464733223527979E-3</v>
      </c>
      <c r="T92" s="20">
        <v>0.33585579255538528</v>
      </c>
      <c r="U92" s="20">
        <v>0.33771146611474506</v>
      </c>
      <c r="V92" s="20">
        <v>0.33674371984768159</v>
      </c>
      <c r="W92" s="20">
        <v>0.33532695270790586</v>
      </c>
      <c r="X92" s="29">
        <f t="shared" si="16"/>
        <v>1.4121449559449362E-3</v>
      </c>
      <c r="Y92" s="20">
        <v>-1.180837470713407E-2</v>
      </c>
      <c r="Z92" s="20">
        <v>-1.4515716464011787E-2</v>
      </c>
      <c r="AA92" s="20">
        <v>-1.5016508239874103E-2</v>
      </c>
      <c r="AB92" s="20">
        <v>-1.3962491187282012E-2</v>
      </c>
      <c r="AD92" s="15"/>
      <c r="AE92" s="15"/>
      <c r="AF92" s="14"/>
      <c r="AG92" s="14"/>
      <c r="AH92" s="14"/>
      <c r="AI92" s="14"/>
      <c r="AJ92" s="14"/>
      <c r="AK92" s="14"/>
      <c r="AL92" s="14"/>
      <c r="AM92" s="5"/>
      <c r="AN92" s="1"/>
      <c r="AO92" s="1"/>
      <c r="AP92" s="1"/>
      <c r="AQ92" s="1"/>
      <c r="AR92" s="1"/>
      <c r="AS92" s="1"/>
      <c r="AT92" s="1"/>
      <c r="AU92" s="1"/>
    </row>
    <row r="93" spans="1:47" x14ac:dyDescent="0.2">
      <c r="A93" s="7" t="s">
        <v>140</v>
      </c>
      <c r="B93" s="7">
        <v>2.5097734681049477E-2</v>
      </c>
      <c r="C93" s="7">
        <v>2.8992004482680134E-2</v>
      </c>
      <c r="D93" s="7">
        <v>2.3963327213410768E-2</v>
      </c>
      <c r="E93" s="7">
        <v>2.8278552124785694E-2</v>
      </c>
      <c r="F93" s="7">
        <v>2.27981233269543E-2</v>
      </c>
      <c r="G93" s="7">
        <v>2.7486657681105253E-2</v>
      </c>
      <c r="H93" s="7">
        <v>3.2113631854887803E-2</v>
      </c>
      <c r="I93" s="7">
        <v>3.0424095679004726E-2</v>
      </c>
      <c r="J93" s="7">
        <v>2.5603960556800143E-2</v>
      </c>
      <c r="K93" s="7">
        <v>2.8588778912514545E-2</v>
      </c>
      <c r="L93" s="29">
        <f t="shared" si="14"/>
        <v>6.5687702865348668E-2</v>
      </c>
      <c r="M93" s="20">
        <v>-17.074827499392551</v>
      </c>
      <c r="N93" s="20">
        <v>-17.070118147015208</v>
      </c>
      <c r="O93" s="20">
        <v>-17.033318117661921</v>
      </c>
      <c r="P93" s="20">
        <v>-17.033318117661921</v>
      </c>
      <c r="Q93" s="20">
        <v>-17.000651269459617</v>
      </c>
      <c r="R93" s="20">
        <v>-16.896104730519628</v>
      </c>
      <c r="S93" s="29">
        <f t="shared" si="15"/>
        <v>1.4039042458722716E-3</v>
      </c>
      <c r="T93" s="20">
        <v>0.33016025551785894</v>
      </c>
      <c r="U93" s="20">
        <v>0.33260849512339308</v>
      </c>
      <c r="V93" s="20">
        <v>0.33000463531224677</v>
      </c>
      <c r="W93" s="20">
        <v>0.3294426697583086</v>
      </c>
      <c r="X93" s="29">
        <f t="shared" si="16"/>
        <v>1.541688095137349E-3</v>
      </c>
      <c r="Y93" s="20">
        <v>-1.9000466569295167E-2</v>
      </c>
      <c r="Z93" s="20">
        <v>-2.1462539050474811E-2</v>
      </c>
      <c r="AA93" s="20">
        <v>-2.265213108465498E-2</v>
      </c>
      <c r="AB93" s="20">
        <v>-2.154593767796804E-2</v>
      </c>
      <c r="AD93" s="15"/>
      <c r="AE93" s="15"/>
      <c r="AF93" s="14"/>
      <c r="AG93" s="14"/>
      <c r="AH93" s="14"/>
      <c r="AI93" s="14"/>
      <c r="AJ93" s="14"/>
      <c r="AK93" s="14"/>
      <c r="AL93" s="14"/>
      <c r="AM93" s="5"/>
      <c r="AN93" s="1"/>
      <c r="AO93" s="1"/>
      <c r="AP93" s="1"/>
      <c r="AQ93" s="1"/>
      <c r="AR93" s="1"/>
      <c r="AS93" s="1"/>
      <c r="AT93" s="1"/>
      <c r="AU93" s="1"/>
    </row>
    <row r="94" spans="1:47" x14ac:dyDescent="0.2">
      <c r="A94" s="7" t="s">
        <v>107</v>
      </c>
      <c r="B94" s="7">
        <v>2.6637997215179232E-3</v>
      </c>
      <c r="C94" s="7">
        <v>1.792734700213533E-2</v>
      </c>
      <c r="D94" s="7">
        <v>4.7093616119413151E-2</v>
      </c>
      <c r="E94" s="7">
        <v>4.4777238509898398E-2</v>
      </c>
      <c r="F94" s="7">
        <v>4.4710548997277721E-2</v>
      </c>
      <c r="G94" s="7">
        <v>4.3257709168070202E-2</v>
      </c>
      <c r="H94" s="7">
        <v>6.0735662668693069E-2</v>
      </c>
      <c r="I94" s="7">
        <v>5.89427166550896E-2</v>
      </c>
      <c r="J94" s="7">
        <v>4.3549606406825314E-2</v>
      </c>
      <c r="K94" s="7">
        <v>4.4544278280958027E-2</v>
      </c>
      <c r="L94" s="29">
        <f t="shared" si="14"/>
        <v>7.4331918875833833E-2</v>
      </c>
      <c r="M94" s="20">
        <v>-16.729408987506261</v>
      </c>
      <c r="N94" s="20">
        <v>-16.702426395888004</v>
      </c>
      <c r="O94" s="20">
        <v>-16.654910431272487</v>
      </c>
      <c r="P94" s="20">
        <v>-16.654910431272487</v>
      </c>
      <c r="Q94" s="20">
        <v>-16.623984701033901</v>
      </c>
      <c r="R94" s="20">
        <v>-16.516202467568974</v>
      </c>
      <c r="S94" s="29">
        <f t="shared" si="15"/>
        <v>6.1136579958422374E-3</v>
      </c>
      <c r="T94" s="20">
        <v>0.31788350044696495</v>
      </c>
      <c r="U94" s="20">
        <v>0.3197486272182658</v>
      </c>
      <c r="V94" s="20">
        <v>0.33091647591488044</v>
      </c>
      <c r="W94" s="20">
        <v>0.32697712919243793</v>
      </c>
      <c r="X94" s="29">
        <f t="shared" si="16"/>
        <v>6.3653284357042487E-4</v>
      </c>
      <c r="Y94" s="20">
        <v>-4.1208288425159757E-2</v>
      </c>
      <c r="Z94" s="20">
        <v>-4.0875070787737167E-2</v>
      </c>
      <c r="AA94" s="20">
        <v>-4.0415867442038615E-2</v>
      </c>
      <c r="AB94" s="20">
        <v>-3.9738293213580009E-2</v>
      </c>
      <c r="AD94" s="15"/>
      <c r="AE94" s="15"/>
      <c r="AF94" s="14"/>
      <c r="AG94" s="14"/>
      <c r="AH94" s="14"/>
      <c r="AI94" s="14"/>
      <c r="AJ94" s="14"/>
      <c r="AK94" s="14"/>
      <c r="AL94" s="14"/>
      <c r="AM94" s="5"/>
      <c r="AN94" s="1"/>
      <c r="AO94" s="1"/>
      <c r="AP94" s="1"/>
      <c r="AQ94" s="1"/>
      <c r="AR94" s="1"/>
      <c r="AS94" s="1"/>
      <c r="AT94" s="1"/>
      <c r="AU94" s="1"/>
    </row>
    <row r="95" spans="1:47" x14ac:dyDescent="0.2">
      <c r="A95" s="7" t="s">
        <v>141</v>
      </c>
      <c r="B95" s="7">
        <v>1.0943978111537245E-3</v>
      </c>
      <c r="C95" s="7">
        <v>8.667792772881322E-3</v>
      </c>
      <c r="D95" s="7">
        <v>1.895199996189878E-2</v>
      </c>
      <c r="E95" s="7">
        <v>1.5729083878738281E-2</v>
      </c>
      <c r="F95" s="7">
        <v>2.151777208406469E-2</v>
      </c>
      <c r="G95" s="7">
        <v>1.805977872715947E-2</v>
      </c>
      <c r="H95" s="7">
        <v>8.5892173503838709E-3</v>
      </c>
      <c r="I95" s="7">
        <v>6.934729359581171E-3</v>
      </c>
      <c r="J95" s="7">
        <v>1.0818777227426191E-2</v>
      </c>
      <c r="K95" s="7">
        <v>1.0023284085459716E-2</v>
      </c>
      <c r="L95" s="29">
        <f t="shared" si="14"/>
        <v>7.1046473719694817E-2</v>
      </c>
      <c r="M95" s="20">
        <v>-16.865742914165018</v>
      </c>
      <c r="N95" s="20">
        <v>-16.846340051973009</v>
      </c>
      <c r="O95" s="20">
        <v>-16.803374503826024</v>
      </c>
      <c r="P95" s="20">
        <v>-16.803374503826024</v>
      </c>
      <c r="Q95" s="20">
        <v>-16.77074317320692</v>
      </c>
      <c r="R95" s="20">
        <v>-16.664966093269687</v>
      </c>
      <c r="S95" s="29">
        <f t="shared" si="15"/>
        <v>1.5888066346266426E-3</v>
      </c>
      <c r="T95" s="20">
        <v>0.33266638041549856</v>
      </c>
      <c r="U95" s="20">
        <v>0.33558324529185773</v>
      </c>
      <c r="V95" s="20">
        <v>0.332276288390218</v>
      </c>
      <c r="W95" s="20">
        <v>0.33233059403114418</v>
      </c>
      <c r="X95" s="29">
        <f t="shared" si="16"/>
        <v>1.9765644979852343E-3</v>
      </c>
      <c r="Y95" s="20">
        <v>-3.4587839824571774E-2</v>
      </c>
      <c r="Z95" s="20">
        <v>-3.8555587005579581E-2</v>
      </c>
      <c r="AA95" s="20">
        <v>-3.885976199499707E-2</v>
      </c>
      <c r="AB95" s="20">
        <v>-3.8026062792481392E-2</v>
      </c>
      <c r="AD95" s="15"/>
      <c r="AE95" s="15"/>
      <c r="AF95" s="14"/>
      <c r="AG95" s="14"/>
      <c r="AH95" s="14"/>
      <c r="AI95" s="14"/>
      <c r="AJ95" s="14"/>
      <c r="AK95" s="14"/>
      <c r="AL95" s="14"/>
      <c r="AM95" s="5"/>
      <c r="AN95" s="1"/>
      <c r="AO95" s="1"/>
      <c r="AP95" s="1"/>
      <c r="AQ95" s="1"/>
      <c r="AR95" s="1"/>
      <c r="AS95" s="1"/>
      <c r="AT95" s="1"/>
      <c r="AU95" s="1"/>
    </row>
    <row r="96" spans="1:47" x14ac:dyDescent="0.2">
      <c r="A96" s="7" t="s">
        <v>142</v>
      </c>
      <c r="B96" s="7">
        <v>0.10534482995767636</v>
      </c>
      <c r="C96" s="7">
        <v>0.15075364483985509</v>
      </c>
      <c r="D96" s="7">
        <v>0.17963427532489973</v>
      </c>
      <c r="E96" s="7">
        <v>0.17740234806058719</v>
      </c>
      <c r="F96" s="7">
        <v>0.17858446922742999</v>
      </c>
      <c r="G96" s="7">
        <v>0.17711315018699902</v>
      </c>
      <c r="H96" s="7">
        <v>0.17963844001878371</v>
      </c>
      <c r="I96" s="7">
        <v>0.17476026178061577</v>
      </c>
      <c r="J96" s="7">
        <v>0.17807903791952195</v>
      </c>
      <c r="K96" s="7">
        <v>0.17815637658477435</v>
      </c>
      <c r="L96" s="29">
        <f t="shared" si="14"/>
        <v>7.7721708982581114E-2</v>
      </c>
      <c r="M96" s="20">
        <v>-16.740500971032588</v>
      </c>
      <c r="N96" s="20">
        <v>-16.704631936330582</v>
      </c>
      <c r="O96" s="20">
        <v>-16.652982051776387</v>
      </c>
      <c r="P96" s="20">
        <v>-16.652982051776387</v>
      </c>
      <c r="Q96" s="20">
        <v>-16.622561029022386</v>
      </c>
      <c r="R96" s="20">
        <v>-16.514797274768679</v>
      </c>
      <c r="S96" s="29">
        <f t="shared" si="15"/>
        <v>9.2980364749250689E-3</v>
      </c>
      <c r="T96" s="20">
        <v>0.30353689148156865</v>
      </c>
      <c r="U96" s="20">
        <v>0.31778559001824935</v>
      </c>
      <c r="V96" s="20">
        <v>0.32412402861362816</v>
      </c>
      <c r="W96" s="20">
        <v>0.32217418482525206</v>
      </c>
      <c r="X96" s="29">
        <f t="shared" si="16"/>
        <v>2.4034459316041252E-3</v>
      </c>
      <c r="Y96" s="20">
        <v>-8.6261066254239085E-2</v>
      </c>
      <c r="Z96" s="20">
        <v>-8.2380195307422258E-2</v>
      </c>
      <c r="AA96" s="20">
        <v>-8.1426690086196629E-2</v>
      </c>
      <c r="AB96" s="20">
        <v>-8.0985100627757781E-2</v>
      </c>
      <c r="AD96" s="15"/>
      <c r="AE96" s="15"/>
      <c r="AF96" s="14"/>
      <c r="AG96" s="14"/>
      <c r="AH96" s="14"/>
      <c r="AI96" s="14"/>
      <c r="AJ96" s="14"/>
      <c r="AK96" s="14"/>
      <c r="AL96" s="14"/>
      <c r="AM96" s="5"/>
      <c r="AN96" s="1"/>
      <c r="AO96" s="1"/>
      <c r="AP96" s="1"/>
      <c r="AQ96" s="1"/>
      <c r="AR96" s="1"/>
      <c r="AS96" s="1"/>
      <c r="AT96" s="1"/>
      <c r="AU96" s="1"/>
    </row>
    <row r="97" spans="1:47" x14ac:dyDescent="0.2">
      <c r="A97" s="7" t="s">
        <v>143</v>
      </c>
      <c r="B97" s="7">
        <v>6.9672206841608908E-3</v>
      </c>
      <c r="C97" s="7">
        <v>2.2767470840085791E-2</v>
      </c>
      <c r="D97" s="7">
        <v>2.4327479768515792E-2</v>
      </c>
      <c r="E97" s="7">
        <v>2.7441716545324679E-2</v>
      </c>
      <c r="F97" s="7">
        <v>1.562837576442333E-2</v>
      </c>
      <c r="G97" s="7">
        <v>1.7662619564853932E-2</v>
      </c>
      <c r="H97" s="7">
        <v>2.5159606148511093E-2</v>
      </c>
      <c r="I97" s="7">
        <v>2.5478577300827032E-2</v>
      </c>
      <c r="J97" s="7">
        <v>2.244902624035805E-2</v>
      </c>
      <c r="K97" s="7">
        <v>2.2201997753805491E-2</v>
      </c>
      <c r="L97" s="29">
        <f t="shared" si="14"/>
        <v>6.3606713241017382E-2</v>
      </c>
      <c r="M97" s="20">
        <v>-17.186686934870213</v>
      </c>
      <c r="N97" s="20">
        <v>-17.185738730413714</v>
      </c>
      <c r="O97" s="20">
        <v>-17.166418528063051</v>
      </c>
      <c r="P97" s="20">
        <v>-17.166418528063051</v>
      </c>
      <c r="Q97" s="20">
        <v>-17.127114841878836</v>
      </c>
      <c r="R97" s="20">
        <v>-17.019914012385129</v>
      </c>
      <c r="S97" s="29">
        <f t="shared" si="15"/>
        <v>3.3439626720167047E-3</v>
      </c>
      <c r="T97" s="20">
        <v>0.340245202335415</v>
      </c>
      <c r="U97" s="20">
        <v>0.33470182015197841</v>
      </c>
      <c r="V97" s="20">
        <v>0.34162521241782012</v>
      </c>
      <c r="W97" s="20">
        <v>0.34184419011814704</v>
      </c>
      <c r="X97" s="29">
        <f t="shared" si="16"/>
        <v>1.0686770638007241E-3</v>
      </c>
      <c r="Y97" s="20">
        <v>-3.8095463912297428E-2</v>
      </c>
      <c r="Z97" s="20">
        <v>-4.071074703796014E-2</v>
      </c>
      <c r="AA97" s="20">
        <v>-3.9335462209635637E-2</v>
      </c>
      <c r="AB97" s="20">
        <v>-3.9314138056054479E-2</v>
      </c>
      <c r="AD97" s="15"/>
      <c r="AE97" s="15"/>
      <c r="AF97" s="14"/>
      <c r="AG97" s="14"/>
      <c r="AH97" s="14"/>
      <c r="AI97" s="14"/>
      <c r="AJ97" s="14"/>
      <c r="AK97" s="14"/>
      <c r="AL97" s="14"/>
      <c r="AM97" s="5"/>
      <c r="AN97" s="1"/>
      <c r="AO97" s="1"/>
      <c r="AP97" s="1"/>
      <c r="AQ97" s="1"/>
      <c r="AR97" s="1"/>
      <c r="AS97" s="1"/>
      <c r="AT97" s="1"/>
      <c r="AU97" s="1"/>
    </row>
    <row r="98" spans="1:47" s="36" customFormat="1" x14ac:dyDescent="0.2">
      <c r="A98" s="8" t="s">
        <v>116</v>
      </c>
      <c r="B98" s="8">
        <f>AVERAGE(B73:B97)</f>
        <v>2.8884303676559066E-2</v>
      </c>
      <c r="C98" s="8">
        <f t="shared" ref="C98:K98" si="17">AVERAGE(C73:C97)</f>
        <v>3.3901763894710502E-2</v>
      </c>
      <c r="D98" s="8">
        <f t="shared" si="17"/>
        <v>4.0655792343931393E-2</v>
      </c>
      <c r="E98" s="8">
        <f t="shared" si="17"/>
        <v>4.1480533468647662E-2</v>
      </c>
      <c r="F98" s="8">
        <f t="shared" si="17"/>
        <v>4.1868868186424629E-2</v>
      </c>
      <c r="G98" s="8">
        <f t="shared" si="17"/>
        <v>4.2320182208938802E-2</v>
      </c>
      <c r="H98" s="8">
        <f t="shared" si="17"/>
        <v>4.0335221225002285E-2</v>
      </c>
      <c r="I98" s="8">
        <f t="shared" si="17"/>
        <v>3.9884029871642732E-2</v>
      </c>
      <c r="J98" s="8">
        <f t="shared" si="17"/>
        <v>3.910133677379099E-2</v>
      </c>
      <c r="K98" s="8">
        <f t="shared" si="17"/>
        <v>3.8975870363032378E-2</v>
      </c>
      <c r="L98" s="29">
        <f>AVERAGE(L16:L97)</f>
        <v>7.5422209850925515E-2</v>
      </c>
      <c r="M98" s="33"/>
      <c r="N98" s="33"/>
      <c r="O98" s="33"/>
      <c r="P98" s="33"/>
      <c r="Q98" s="33"/>
      <c r="R98" s="33"/>
      <c r="S98" s="29">
        <f>AVERAGE(S16:S97)</f>
        <v>4.7666831017993206E-3</v>
      </c>
      <c r="T98" s="33"/>
      <c r="U98" s="33"/>
      <c r="V98" s="33"/>
      <c r="W98" s="33"/>
      <c r="X98" s="29">
        <f>AVERAGE(X16:X97)</f>
        <v>1.8385022751603581E-3</v>
      </c>
      <c r="Y98" s="34"/>
      <c r="Z98" s="34"/>
      <c r="AA98" s="34"/>
      <c r="AB98" s="34"/>
      <c r="AN98" s="37"/>
      <c r="AO98" s="37"/>
      <c r="AP98" s="37"/>
      <c r="AQ98" s="37"/>
      <c r="AR98" s="37"/>
      <c r="AS98" s="37"/>
      <c r="AT98" s="37"/>
      <c r="AU98" s="37"/>
    </row>
    <row r="99" spans="1:47" x14ac:dyDescent="0.2">
      <c r="AC99" s="16"/>
      <c r="AD99" s="17"/>
      <c r="AE99" s="17"/>
      <c r="AF99" s="17"/>
      <c r="AG99" s="17"/>
      <c r="AH99" s="17"/>
      <c r="AI99" s="17"/>
      <c r="AJ99" s="17"/>
      <c r="AK99" s="17"/>
      <c r="AL99" s="17"/>
      <c r="AM99" s="17"/>
    </row>
    <row r="100" spans="1:47" x14ac:dyDescent="0.2">
      <c r="B100" s="2"/>
      <c r="C100" s="2"/>
      <c r="D100" s="2"/>
      <c r="E100" s="2"/>
      <c r="AC100" s="16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</row>
    <row r="101" spans="1:47" x14ac:dyDescent="0.2">
      <c r="H101" s="11"/>
      <c r="L101" s="18"/>
      <c r="Q101" s="31"/>
      <c r="S101" s="19"/>
      <c r="U101" s="31"/>
      <c r="X101" s="19"/>
      <c r="Z101" s="20"/>
      <c r="AA101" s="30"/>
      <c r="AB101" s="30"/>
      <c r="AC101" s="17"/>
      <c r="AD101" s="17"/>
      <c r="AE101" s="17"/>
      <c r="AF101" s="17"/>
      <c r="AG101" s="17"/>
      <c r="AH101" s="17"/>
      <c r="AI101" s="17"/>
      <c r="AJ101"/>
      <c r="AK101"/>
      <c r="AL101"/>
      <c r="AM101"/>
    </row>
    <row r="102" spans="1:47" x14ac:dyDescent="0.2">
      <c r="H102" s="11"/>
      <c r="L102" s="18"/>
      <c r="Q102" s="31"/>
      <c r="S102" s="19"/>
      <c r="U102" s="31"/>
      <c r="X102" s="19"/>
      <c r="Z102" s="20"/>
      <c r="AA102" s="30"/>
      <c r="AB102" s="30"/>
      <c r="AC102" s="17"/>
      <c r="AD102" s="17"/>
      <c r="AE102" s="17"/>
      <c r="AF102" s="17"/>
      <c r="AG102" s="17"/>
      <c r="AH102" s="17"/>
      <c r="AI102" s="17"/>
      <c r="AJ102"/>
      <c r="AK102"/>
      <c r="AL102"/>
      <c r="AM102"/>
    </row>
    <row r="103" spans="1:47" x14ac:dyDescent="0.2">
      <c r="H103" s="11"/>
      <c r="L103" s="18"/>
      <c r="Q103" s="31"/>
      <c r="S103" s="19"/>
      <c r="U103" s="31"/>
      <c r="X103" s="19"/>
      <c r="Z103" s="20"/>
      <c r="AA103" s="30"/>
      <c r="AB103" s="30"/>
      <c r="AC103" s="17"/>
      <c r="AD103" s="17"/>
      <c r="AE103" s="17"/>
      <c r="AF103" s="17"/>
      <c r="AG103" s="17"/>
      <c r="AH103" s="17"/>
      <c r="AI103" s="17"/>
      <c r="AJ103"/>
      <c r="AK103"/>
      <c r="AL103"/>
      <c r="AM103"/>
    </row>
    <row r="104" spans="1:47" x14ac:dyDescent="0.2">
      <c r="B104" s="2"/>
      <c r="C104" s="2"/>
      <c r="D104" s="2"/>
      <c r="E104" s="2"/>
      <c r="AC104" s="16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</row>
    <row r="105" spans="1:47" x14ac:dyDescent="0.2">
      <c r="AC105" s="16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</row>
    <row r="106" spans="1:47" x14ac:dyDescent="0.2">
      <c r="AC106" s="16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</row>
    <row r="107" spans="1:47" x14ac:dyDescent="0.2">
      <c r="AC107" s="16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</row>
    <row r="108" spans="1:47" x14ac:dyDescent="0.2">
      <c r="AC108" s="16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</row>
    <row r="109" spans="1:47" x14ac:dyDescent="0.2">
      <c r="AC109" s="16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</row>
    <row r="110" spans="1:47" x14ac:dyDescent="0.2">
      <c r="AC110" s="16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</row>
    <row r="111" spans="1:47" x14ac:dyDescent="0.2">
      <c r="AC111" s="16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 spans="1:47" x14ac:dyDescent="0.2">
      <c r="AC112" s="16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</row>
    <row r="113" spans="8:39" x14ac:dyDescent="0.2">
      <c r="AC113" s="16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</row>
    <row r="114" spans="8:39" x14ac:dyDescent="0.2">
      <c r="AC114" s="16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</row>
    <row r="115" spans="8:39" x14ac:dyDescent="0.2">
      <c r="AC115" s="16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</row>
    <row r="116" spans="8:39" x14ac:dyDescent="0.2">
      <c r="AC116" s="16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</row>
    <row r="117" spans="8:39" x14ac:dyDescent="0.2">
      <c r="H117" s="7"/>
      <c r="AC117" s="16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</row>
    <row r="118" spans="8:39" x14ac:dyDescent="0.2">
      <c r="H118" s="7"/>
      <c r="AC118" s="16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</row>
    <row r="119" spans="8:39" x14ac:dyDescent="0.2">
      <c r="H119" s="7"/>
      <c r="AC119" s="16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</row>
    <row r="120" spans="8:39" x14ac:dyDescent="0.2">
      <c r="H120" s="7"/>
      <c r="AC120" s="16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</row>
    <row r="121" spans="8:39" x14ac:dyDescent="0.2">
      <c r="AC121" s="16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</row>
    <row r="122" spans="8:39" x14ac:dyDescent="0.2">
      <c r="AC122" s="16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</row>
    <row r="123" spans="8:39" x14ac:dyDescent="0.2">
      <c r="AC123" s="16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</row>
    <row r="124" spans="8:39" x14ac:dyDescent="0.2">
      <c r="AC124" s="16"/>
    </row>
  </sheetData>
  <phoneticPr fontId="1" type="noConversion"/>
  <conditionalFormatting sqref="H117:H1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16:AU4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44:AU4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:AU1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14:AU1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46:AU52 AN63:AU70 AN54:AU6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53:AU5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62:AU6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71:AU7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73:AU9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98:AU9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K14 B16:K44 B46:K71 B73:K98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:AM10 AD44:AM44 AD12:AM12 AD11:AK11 AD13:AK15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SetA</vt:lpstr>
      <vt:lpstr>SetB</vt:lpstr>
      <vt:lpstr>SetC</vt:lpstr>
      <vt:lpstr>Results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Yicheng Chen</dc:creator>
  <cp:keywords/>
  <dc:description/>
  <cp:lastModifiedBy>Chen Yicheng</cp:lastModifiedBy>
  <cp:revision/>
  <dcterms:created xsi:type="dcterms:W3CDTF">2025-07-16T14:12:41Z</dcterms:created>
  <dcterms:modified xsi:type="dcterms:W3CDTF">2025-12-18T06:51:29Z</dcterms:modified>
  <cp:category/>
  <cp:contentStatus/>
</cp:coreProperties>
</file>